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Default Extension="jpg" ContentType="image/jpeg"/>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harts/colors9.xml" ContentType="application/vnd.ms-office.chartcolorstyle+xml"/>
  <Override PartName="/xl/charts/style9.xml" ContentType="application/vnd.ms-office.chartstyle+xml"/>
  <Override PartName="/xl/charts/chart9.xml" ContentType="application/vnd.openxmlformats-officedocument.drawingml.chart+xml"/>
  <Override PartName="/xl/charts/style6.xml" ContentType="application/vnd.ms-office.chartstyle+xml"/>
  <Override PartName="/xl/worksheets/sheet1.xml" ContentType="application/vnd.openxmlformats-officedocument.spreadsheetml.worksheet+xml"/>
  <Override PartName="/xl/drawings/drawing7.xml" ContentType="application/vnd.openxmlformats-officedocument.drawing+xml"/>
  <Override PartName="/xl/charts/colors5.xml" ContentType="application/vnd.ms-office.chartcolorstyle+xml"/>
  <Override PartName="/xl/charts/style5.xml" ContentType="application/vnd.ms-office.chartstyle+xml"/>
  <Override PartName="/xl/charts/chart5.xml" ContentType="application/vnd.openxmlformats-officedocument.drawingml.chart+xml"/>
  <Override PartName="/xl/drawings/drawing6.xml" ContentType="application/vnd.openxmlformats-officedocument.drawing+xml"/>
  <Override PartName="/xl/charts/colors6.xml" ContentType="application/vnd.ms-office.chartcolorstyle+xml"/>
  <Override PartName="/xl/drawings/drawing8.xml" ContentType="application/vnd.openxmlformats-officedocument.drawing+xml"/>
  <Override PartName="/xl/charts/chart7.xml" ContentType="application/vnd.openxmlformats-officedocument.drawingml.chart+xml"/>
  <Override PartName="/xl/drawings/drawing10.xml" ContentType="application/vnd.openxmlformats-officedocument.drawing+xml"/>
  <Override PartName="/xl/charts/colors8.xml" ContentType="application/vnd.ms-office.chartcolorstyle+xml"/>
  <Override PartName="/xl/charts/style8.xml" ContentType="application/vnd.ms-office.chartstyle+xml"/>
  <Override PartName="/xl/charts/chart8.xml" ContentType="application/vnd.openxmlformats-officedocument.drawingml.chart+xml"/>
  <Override PartName="/xl/drawings/drawing9.xml" ContentType="application/vnd.openxmlformats-officedocument.drawing+xml"/>
  <Override PartName="/xl/charts/colors7.xml" ContentType="application/vnd.ms-office.chartcolorstyle+xml"/>
  <Override PartName="/xl/charts/style7.xml" ContentType="application/vnd.ms-office.chartstyle+xml"/>
  <Override PartName="/xl/charts/colors4.xml" ContentType="application/vnd.ms-office.chartcolorstyle+xml"/>
  <Override PartName="/xl/charts/chart6.xml" ContentType="application/vnd.openxmlformats-officedocument.drawingml.chart+xml"/>
  <Override PartName="/xl/charts/chart4.xml" ContentType="application/vnd.openxmlformats-officedocument.drawingml.chart+xml"/>
  <Override PartName="/xl/worksheets/sheet34.xml" ContentType="application/vnd.openxmlformats-officedocument.spreadsheetml.worksheet+xml"/>
  <Override PartName="/xl/worksheets/sheet33.xml" ContentType="application/vnd.openxmlformats-officedocument.spreadsheetml.worksheet+xml"/>
  <Override PartName="/xl/worksheets/sheet32.xml" ContentType="application/vnd.openxmlformats-officedocument.spreadsheetml.worksheet+xml"/>
  <Override PartName="/xl/worksheets/sheet31.xml" ContentType="application/vnd.openxmlformats-officedocument.spreadsheetml.worksheet+xml"/>
  <Override PartName="/xl/worksheets/sheet30.xml" ContentType="application/vnd.openxmlformats-officedocument.spreadsheetml.worksheet+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40.xml" ContentType="application/vnd.openxmlformats-officedocument.spreadsheetml.worksheet+xml"/>
  <Override PartName="/xl/worksheets/sheet39.xml" ContentType="application/vnd.openxmlformats-officedocument.spreadsheetml.worksheet+xml"/>
  <Override PartName="/xl/worksheets/sheet38.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12.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20.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charts/style4.xml" ContentType="application/vnd.ms-office.chartstyle+xml"/>
  <Override PartName="/xl/charts/chart1.xml" ContentType="application/vnd.openxmlformats-officedocument.drawingml.chart+xml"/>
  <Override PartName="/xl/charts/style2.xml" ContentType="application/vnd.ms-office.chartstyle+xml"/>
  <Override PartName="/xl/charts/chart2.xml" ContentType="application/vnd.openxmlformats-officedocument.drawingml.chart+xml"/>
  <Override PartName="/xl/drawings/drawing3.xml" ContentType="application/vnd.openxmlformats-officedocument.drawing+xml"/>
  <Override PartName="/xl/charts/colors1.xml" ContentType="application/vnd.ms-office.chartcolorstyle+xml"/>
  <Override PartName="/xl/charts/style1.xml" ContentType="application/vnd.ms-office.chartstyle+xml"/>
  <Override PartName="/xl/charts/colors2.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drawings/drawing2.xml" ContentType="application/vnd.openxmlformats-officedocument.drawing+xml"/>
  <Override PartName="/xl/charts/colors3.xml" ContentType="application/vnd.ms-office.chartcolorstyle+xml"/>
  <Override PartName="/xl/charts/style3.xml" ContentType="application/vnd.ms-office.chartstyle+xml"/>
  <Override PartName="/xl/drawings/drawing5.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xl/comments1.xml" ContentType="application/vnd.openxmlformats-officedocument.spreadsheetml.comments+xml"/>
  <Override PartName="/xl/comments2.xml" ContentType="application/vnd.openxmlformats-officedocument.spreadsheetml.comment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comments3.xml" ContentType="application/vnd.openxmlformats-officedocument.spreadsheetml.comment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9126"/>
  <workbookPr updateLinks="always"/>
  <mc:AlternateContent xmlns:mc="http://schemas.openxmlformats.org/markup-compatibility/2006">
    <mc:Choice Requires="x15">
      <x15ac:absPath xmlns:x15ac="http://schemas.microsoft.com/office/spreadsheetml/2010/11/ac" url="C:\Users\BrunoBendavid\PeriGen\PeriGen Corporate Portal - RFPs &amp; Surveys\Security and Privacy Surveys\Avera\"/>
    </mc:Choice>
  </mc:AlternateContent>
  <xr:revisionPtr revIDLastSave="0" documentId="10_ncr:100000_{5D7ECCCE-F309-4015-9CE3-A9BE218F4815}" xr6:coauthVersionLast="31" xr6:coauthVersionMax="37" xr10:uidLastSave="{00000000-0000-0000-0000-000000000000}"/>
  <bookViews>
    <workbookView xWindow="0" yWindow="0" windowWidth="12600" windowHeight="6588" tabRatio="824" activeTab="5" xr2:uid="{00000000-000D-0000-FFFF-FFFF00000000}"/>
  </bookViews>
  <sheets>
    <sheet name="Cover Page" sheetId="47" r:id="rId1"/>
    <sheet name="Instructions" sheetId="4" r:id="rId2"/>
    <sheet name="Data Validation Key" sheetId="2" state="hidden" r:id="rId3"/>
    <sheet name="IVPQ" sheetId="6" state="hidden" r:id="rId4"/>
    <sheet name="IRQ" sheetId="63" state="hidden" r:id="rId5"/>
    <sheet name="Vendor Profile Questionnaire" sheetId="45" r:id="rId6"/>
    <sheet name="Scope" sheetId="46" r:id="rId7"/>
    <sheet name="Network_Architecture_Diagrams" sheetId="61" state="hidden" r:id="rId8"/>
    <sheet name="Connectivity Mapping" sheetId="62" state="hidden" r:id="rId9"/>
    <sheet name="Required Evidence" sheetId="3" state="hidden" r:id="rId10"/>
    <sheet name="1. Access Controls" sheetId="5" state="hidden" r:id="rId11"/>
    <sheet name="2. Awareness and Training" sheetId="7" state="hidden" r:id="rId12"/>
    <sheet name="3. Audit and Accountability" sheetId="8" state="hidden" r:id="rId13"/>
    <sheet name="4. Security Assessment" sheetId="9" state="hidden" r:id="rId14"/>
    <sheet name="5. Configuration" sheetId="48" state="hidden" r:id="rId15"/>
    <sheet name="6. Contingency Planning" sheetId="49" state="hidden" r:id="rId16"/>
    <sheet name="7. Authentication&amp;Authorization" sheetId="50" state="hidden" r:id="rId17"/>
    <sheet name="8. Incident Response" sheetId="51" state="hidden" r:id="rId18"/>
    <sheet name="9. Maintenance" sheetId="52" state="hidden" r:id="rId19"/>
    <sheet name="10. Media Protection" sheetId="53" state="hidden" r:id="rId20"/>
    <sheet name="11. Physical Security" sheetId="54" state="hidden" r:id="rId21"/>
    <sheet name="12. Planning" sheetId="55" state="hidden" r:id="rId22"/>
    <sheet name="13. Personnel Security" sheetId="56" state="hidden" r:id="rId23"/>
    <sheet name="14. Risk Assessments" sheetId="57" state="hidden" r:id="rId24"/>
    <sheet name="15. System Acquisition" sheetId="58" state="hidden" r:id="rId25"/>
    <sheet name="16. System Data Protection" sheetId="59" state="hidden" r:id="rId26"/>
    <sheet name="17. System Data Integrity" sheetId="60" state="hidden" r:id="rId27"/>
    <sheet name="Override Control Env1" sheetId="23" state="hidden" r:id="rId28"/>
    <sheet name="Override Control Env2" sheetId="28" state="hidden" r:id="rId29"/>
    <sheet name="Override Control Env3" sheetId="29" state="hidden" r:id="rId30"/>
    <sheet name="Grading" sheetId="24" state="hidden" r:id="rId31"/>
    <sheet name="Distribution Env1" sheetId="25" state="hidden" r:id="rId32"/>
    <sheet name="Distribution Env2" sheetId="32" state="hidden" r:id="rId33"/>
    <sheet name="Distribution Env3" sheetId="33" state="hidden" r:id="rId34"/>
    <sheet name="Inadequacy Distribution Env1" sheetId="27" state="hidden" r:id="rId35"/>
    <sheet name="Inadequacy Distribution Env2" sheetId="37" state="hidden" r:id="rId36"/>
    <sheet name="Inadequacy Distribution Env3" sheetId="38" state="hidden" r:id="rId37"/>
    <sheet name="Adequacy Distribution Env1" sheetId="26" state="hidden" r:id="rId38"/>
    <sheet name="Adequacy Distribution Env2" sheetId="41" state="hidden" r:id="rId39"/>
    <sheet name="Adequacy Distribution Env3" sheetId="42" state="hidden" r:id="rId40"/>
  </sheets>
  <calcPr calcId="179017"/>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32" i="29" l="1"/>
  <c r="P32" i="29"/>
  <c r="O32" i="29"/>
  <c r="I32" i="29"/>
  <c r="J32" i="29" s="1"/>
  <c r="H32" i="29"/>
  <c r="C32" i="29"/>
  <c r="S32" i="29" s="1"/>
  <c r="R32" i="28"/>
  <c r="J32" i="28"/>
  <c r="L32" i="28" s="1"/>
  <c r="I32" i="28"/>
  <c r="O32" i="28" s="1"/>
  <c r="H32" i="28"/>
  <c r="P32" i="28" s="1"/>
  <c r="C32" i="28"/>
  <c r="S32" i="28" s="1"/>
  <c r="L32" i="29" l="1"/>
  <c r="N32" i="29" s="1"/>
  <c r="N32" i="28"/>
  <c r="Q32" i="28"/>
  <c r="T32" i="28" s="1"/>
  <c r="H32" i="23"/>
  <c r="P32" i="23" s="1"/>
  <c r="I32" i="23"/>
  <c r="O32" i="23" s="1"/>
  <c r="R32" i="23"/>
  <c r="C32" i="23"/>
  <c r="S32" i="23" s="1"/>
  <c r="Q32" i="29" l="1"/>
  <c r="T32" i="29" s="1"/>
  <c r="J32" i="23"/>
  <c r="L32" i="23" l="1"/>
  <c r="Q32" i="23" l="1"/>
  <c r="T32" i="23" s="1"/>
  <c r="N32" i="23"/>
  <c r="H6" i="29" l="1"/>
  <c r="H5" i="29"/>
  <c r="H4" i="29"/>
  <c r="F4" i="29"/>
  <c r="H3" i="29"/>
  <c r="H6" i="28"/>
  <c r="H5" i="28"/>
  <c r="H4" i="28"/>
  <c r="F4" i="28"/>
  <c r="H3" i="28"/>
  <c r="G6" i="29"/>
  <c r="G5" i="29"/>
  <c r="G4" i="29"/>
  <c r="G3" i="29"/>
  <c r="F3" i="29"/>
  <c r="G6" i="28"/>
  <c r="G5" i="28"/>
  <c r="G4" i="28"/>
  <c r="G3" i="28"/>
  <c r="F3" i="28"/>
  <c r="I7" i="29" l="1"/>
  <c r="I6" i="29"/>
  <c r="I5" i="29"/>
  <c r="I4" i="29"/>
  <c r="I3" i="29"/>
  <c r="I7" i="28"/>
  <c r="I6" i="28"/>
  <c r="I5" i="28"/>
  <c r="I4" i="28"/>
  <c r="I3" i="28"/>
  <c r="J5" i="29"/>
  <c r="J4" i="29"/>
  <c r="J3" i="29"/>
  <c r="J5" i="28"/>
  <c r="J4" i="28"/>
  <c r="J3" i="28"/>
  <c r="R102" i="23" l="1"/>
  <c r="R103" i="23"/>
  <c r="R102" i="28"/>
  <c r="R103" i="28"/>
  <c r="R102" i="29"/>
  <c r="R103" i="29"/>
  <c r="I102" i="29"/>
  <c r="J102" i="29" s="1"/>
  <c r="I103" i="29"/>
  <c r="O103" i="29" s="1"/>
  <c r="H102" i="29"/>
  <c r="P102" i="29" s="1"/>
  <c r="H103" i="29"/>
  <c r="P103" i="29" s="1"/>
  <c r="I102" i="28"/>
  <c r="J102" i="28" s="1"/>
  <c r="I103" i="28"/>
  <c r="O103" i="28" s="1"/>
  <c r="H102" i="28"/>
  <c r="P102" i="28" s="1"/>
  <c r="H103" i="28"/>
  <c r="P103" i="28" s="1"/>
  <c r="I102" i="23"/>
  <c r="J102" i="23" s="1"/>
  <c r="L102" i="23" s="1"/>
  <c r="Q102" i="23" s="1"/>
  <c r="I103" i="23"/>
  <c r="O103" i="23" s="1"/>
  <c r="H102" i="23"/>
  <c r="P102" i="23" s="1"/>
  <c r="H103" i="23"/>
  <c r="P103" i="23" s="1"/>
  <c r="C103" i="29"/>
  <c r="S103" i="29" s="1"/>
  <c r="C102" i="29"/>
  <c r="S102" i="29" s="1"/>
  <c r="C103" i="28"/>
  <c r="S103" i="28" s="1"/>
  <c r="C102" i="28"/>
  <c r="S102" i="28" s="1"/>
  <c r="C103" i="23"/>
  <c r="S103" i="23" s="1"/>
  <c r="C102" i="23"/>
  <c r="S102" i="23" s="1"/>
  <c r="J103" i="29" l="1"/>
  <c r="L103" i="29" s="1"/>
  <c r="Q103" i="29" s="1"/>
  <c r="J103" i="28"/>
  <c r="L103" i="28" s="1"/>
  <c r="Q103" i="28" s="1"/>
  <c r="J103" i="23"/>
  <c r="O102" i="23"/>
  <c r="N102" i="23"/>
  <c r="L102" i="29"/>
  <c r="Q102" i="29" s="1"/>
  <c r="O102" i="29"/>
  <c r="L102" i="28"/>
  <c r="N102" i="28" s="1"/>
  <c r="O102" i="28"/>
  <c r="N103" i="29" l="1"/>
  <c r="T103" i="28"/>
  <c r="N103" i="28"/>
  <c r="L103" i="23"/>
  <c r="Q103" i="23" s="1"/>
  <c r="N102" i="29"/>
  <c r="Q102" i="28"/>
  <c r="T102" i="28" s="1"/>
  <c r="N103" i="23" l="1"/>
  <c r="H9" i="23"/>
  <c r="J5" i="23" l="1"/>
  <c r="J4" i="23"/>
  <c r="J3" i="23"/>
  <c r="F4" i="23"/>
  <c r="F3" i="23"/>
  <c r="I7" i="23"/>
  <c r="I6" i="23"/>
  <c r="I5" i="23"/>
  <c r="I4" i="23" l="1"/>
  <c r="I3" i="23"/>
  <c r="H5" i="23"/>
  <c r="H4" i="23"/>
  <c r="H3" i="23"/>
  <c r="H6" i="23"/>
  <c r="G6" i="23"/>
  <c r="G5" i="23"/>
  <c r="G3" i="23"/>
  <c r="G4" i="23"/>
  <c r="A37" i="24" l="1"/>
  <c r="A19" i="24"/>
  <c r="L1" i="60"/>
  <c r="K1" i="60"/>
  <c r="J1" i="60"/>
  <c r="I1" i="60"/>
  <c r="H1" i="60"/>
  <c r="G1" i="60"/>
  <c r="L1" i="59"/>
  <c r="K1" i="59"/>
  <c r="J1" i="59"/>
  <c r="I1" i="59"/>
  <c r="H1" i="59"/>
  <c r="G1" i="59"/>
  <c r="L1" i="58"/>
  <c r="K1" i="58"/>
  <c r="J1" i="58"/>
  <c r="I1" i="58"/>
  <c r="H1" i="58"/>
  <c r="G1" i="58"/>
  <c r="L1" i="57"/>
  <c r="K1" i="57"/>
  <c r="J1" i="57"/>
  <c r="I1" i="57"/>
  <c r="H1" i="57"/>
  <c r="G1" i="57"/>
  <c r="L1" i="56"/>
  <c r="K1" i="56"/>
  <c r="J1" i="56"/>
  <c r="I1" i="56"/>
  <c r="H1" i="56"/>
  <c r="G1" i="56"/>
  <c r="L1" i="55"/>
  <c r="K1" i="55"/>
  <c r="J1" i="55"/>
  <c r="I1" i="55"/>
  <c r="H1" i="55"/>
  <c r="G1" i="55"/>
  <c r="L1" i="54"/>
  <c r="K1" i="54"/>
  <c r="J1" i="54"/>
  <c r="I1" i="54"/>
  <c r="H1" i="54"/>
  <c r="G1" i="54"/>
  <c r="L1" i="53"/>
  <c r="K1" i="53"/>
  <c r="J1" i="53"/>
  <c r="I1" i="53"/>
  <c r="H1" i="53"/>
  <c r="G1" i="53"/>
  <c r="L1" i="52"/>
  <c r="K1" i="52"/>
  <c r="J1" i="52"/>
  <c r="I1" i="52"/>
  <c r="H1" i="52"/>
  <c r="G1" i="52"/>
  <c r="L1" i="51"/>
  <c r="K1" i="51"/>
  <c r="J1" i="51"/>
  <c r="I1" i="51"/>
  <c r="H1" i="51"/>
  <c r="G1" i="51"/>
  <c r="L1" i="50"/>
  <c r="K1" i="50"/>
  <c r="J1" i="50"/>
  <c r="I1" i="50"/>
  <c r="H1" i="50"/>
  <c r="G1" i="50"/>
  <c r="L1" i="49"/>
  <c r="K1" i="49"/>
  <c r="J1" i="49"/>
  <c r="I1" i="49"/>
  <c r="H1" i="49"/>
  <c r="G1" i="49"/>
  <c r="L1" i="48"/>
  <c r="K1" i="48"/>
  <c r="J1" i="48"/>
  <c r="I1" i="48"/>
  <c r="H1" i="48"/>
  <c r="G1" i="48"/>
  <c r="L1" i="9"/>
  <c r="K1" i="9"/>
  <c r="J1" i="9"/>
  <c r="I1" i="9"/>
  <c r="H1" i="9"/>
  <c r="G1" i="9"/>
  <c r="L1" i="8"/>
  <c r="K1" i="8"/>
  <c r="J1" i="8"/>
  <c r="I1" i="8"/>
  <c r="H1" i="8"/>
  <c r="G1" i="8"/>
  <c r="L1" i="7"/>
  <c r="K1" i="7"/>
  <c r="J1" i="7"/>
  <c r="I1" i="7"/>
  <c r="H1" i="7"/>
  <c r="G1" i="7"/>
  <c r="L1" i="5"/>
  <c r="K1" i="5"/>
  <c r="J1" i="5"/>
  <c r="I1" i="5"/>
  <c r="A1" i="24"/>
  <c r="H1" i="5"/>
  <c r="G1" i="5"/>
  <c r="I224" i="29" l="1"/>
  <c r="I270" i="29" l="1"/>
  <c r="I271" i="29"/>
  <c r="I272" i="29"/>
  <c r="I273" i="29"/>
  <c r="I274" i="29"/>
  <c r="I275" i="29"/>
  <c r="I276" i="29"/>
  <c r="I277" i="29"/>
  <c r="I278" i="29"/>
  <c r="I279" i="29"/>
  <c r="I280" i="29"/>
  <c r="I281" i="29"/>
  <c r="I282" i="29"/>
  <c r="H270" i="29"/>
  <c r="H271" i="29"/>
  <c r="H272" i="29"/>
  <c r="H273" i="29"/>
  <c r="H274" i="29"/>
  <c r="H275" i="29"/>
  <c r="H276" i="29"/>
  <c r="H277" i="29"/>
  <c r="H278" i="29"/>
  <c r="H279" i="29"/>
  <c r="H280" i="29"/>
  <c r="H281" i="29"/>
  <c r="H282" i="29"/>
  <c r="I269" i="29"/>
  <c r="H269" i="29"/>
  <c r="I243" i="29"/>
  <c r="I244" i="29"/>
  <c r="I245" i="29"/>
  <c r="I246" i="29"/>
  <c r="I247" i="29"/>
  <c r="I248" i="29"/>
  <c r="I249" i="29"/>
  <c r="I250" i="29"/>
  <c r="I251" i="29"/>
  <c r="I252" i="29"/>
  <c r="I253" i="29"/>
  <c r="I254" i="29"/>
  <c r="I255" i="29"/>
  <c r="I256" i="29"/>
  <c r="I257" i="29"/>
  <c r="I258" i="29"/>
  <c r="I259" i="29"/>
  <c r="I260" i="29"/>
  <c r="I261" i="29"/>
  <c r="I262" i="29"/>
  <c r="I263" i="29"/>
  <c r="I264" i="29"/>
  <c r="I265" i="29"/>
  <c r="I266" i="29"/>
  <c r="I267" i="29"/>
  <c r="I268" i="29"/>
  <c r="H243" i="29"/>
  <c r="H244" i="29"/>
  <c r="H245" i="29"/>
  <c r="H246" i="29"/>
  <c r="H247" i="29"/>
  <c r="H248" i="29"/>
  <c r="H249" i="29"/>
  <c r="H250" i="29"/>
  <c r="H251" i="29"/>
  <c r="H252" i="29"/>
  <c r="H253" i="29"/>
  <c r="H254" i="29"/>
  <c r="H255" i="29"/>
  <c r="H256" i="29"/>
  <c r="H257" i="29"/>
  <c r="H258" i="29"/>
  <c r="H259" i="29"/>
  <c r="H260" i="29"/>
  <c r="H261" i="29"/>
  <c r="H262" i="29"/>
  <c r="H263" i="29"/>
  <c r="H264" i="29"/>
  <c r="H265" i="29"/>
  <c r="H266" i="29"/>
  <c r="H267" i="29"/>
  <c r="H268" i="29"/>
  <c r="I242" i="29"/>
  <c r="H242" i="29"/>
  <c r="I230" i="29"/>
  <c r="I231" i="29"/>
  <c r="I232" i="29"/>
  <c r="I233" i="29"/>
  <c r="I234" i="29"/>
  <c r="I235" i="29"/>
  <c r="I236" i="29"/>
  <c r="I237" i="29"/>
  <c r="I238" i="29"/>
  <c r="I239" i="29"/>
  <c r="I240" i="29"/>
  <c r="I241" i="29"/>
  <c r="J241" i="29" s="1"/>
  <c r="L241" i="29" s="1"/>
  <c r="H230" i="29"/>
  <c r="H231" i="29"/>
  <c r="H232" i="29"/>
  <c r="H233" i="29"/>
  <c r="H234" i="29"/>
  <c r="H235" i="29"/>
  <c r="H236" i="29"/>
  <c r="H237" i="29"/>
  <c r="H238" i="29"/>
  <c r="H239" i="29"/>
  <c r="H240" i="29"/>
  <c r="H241" i="29"/>
  <c r="I229" i="29"/>
  <c r="H229" i="29"/>
  <c r="I226" i="29"/>
  <c r="I227" i="29"/>
  <c r="I228" i="29"/>
  <c r="H226" i="29"/>
  <c r="H227" i="29"/>
  <c r="H228" i="29"/>
  <c r="I225" i="29"/>
  <c r="H225" i="29"/>
  <c r="I215" i="29"/>
  <c r="I216" i="29"/>
  <c r="I217" i="29"/>
  <c r="I218" i="29"/>
  <c r="I219" i="29"/>
  <c r="I220" i="29"/>
  <c r="I221" i="29"/>
  <c r="I222" i="29"/>
  <c r="I223" i="29"/>
  <c r="H215" i="29"/>
  <c r="H216" i="29"/>
  <c r="H217" i="29"/>
  <c r="H218" i="29"/>
  <c r="H219" i="29"/>
  <c r="H220" i="29"/>
  <c r="H221" i="29"/>
  <c r="H222" i="29"/>
  <c r="H223" i="29"/>
  <c r="H224" i="29"/>
  <c r="I214" i="29"/>
  <c r="H214" i="29"/>
  <c r="I203" i="29"/>
  <c r="I204" i="29"/>
  <c r="I205" i="29"/>
  <c r="I206" i="29"/>
  <c r="I207" i="29"/>
  <c r="I208" i="29"/>
  <c r="I209" i="29"/>
  <c r="I210" i="29"/>
  <c r="I211" i="29"/>
  <c r="I212" i="29"/>
  <c r="I213" i="29"/>
  <c r="H203" i="29"/>
  <c r="H204" i="29"/>
  <c r="H205" i="29"/>
  <c r="H206" i="29"/>
  <c r="H207" i="29"/>
  <c r="H208" i="29"/>
  <c r="H209" i="29"/>
  <c r="H210" i="29"/>
  <c r="H211" i="29"/>
  <c r="H212" i="29"/>
  <c r="H213" i="29"/>
  <c r="I202" i="29"/>
  <c r="H202" i="29"/>
  <c r="I201" i="29"/>
  <c r="H201" i="29"/>
  <c r="I175" i="29"/>
  <c r="I176" i="29"/>
  <c r="I177" i="29"/>
  <c r="I178" i="29"/>
  <c r="I179" i="29"/>
  <c r="I180" i="29"/>
  <c r="I181" i="29"/>
  <c r="I182" i="29"/>
  <c r="I183" i="29"/>
  <c r="I184" i="29"/>
  <c r="I185" i="29"/>
  <c r="I186" i="29"/>
  <c r="I187" i="29"/>
  <c r="I188" i="29"/>
  <c r="I189" i="29"/>
  <c r="I190" i="29"/>
  <c r="I191" i="29"/>
  <c r="I192" i="29"/>
  <c r="I193" i="29"/>
  <c r="I194" i="29"/>
  <c r="I195" i="29"/>
  <c r="I196" i="29"/>
  <c r="I197" i="29"/>
  <c r="I198" i="29"/>
  <c r="I199" i="29"/>
  <c r="I200" i="29"/>
  <c r="H175" i="29"/>
  <c r="H176" i="29"/>
  <c r="H177" i="29"/>
  <c r="H178" i="29"/>
  <c r="H179" i="29"/>
  <c r="H180" i="29"/>
  <c r="H181" i="29"/>
  <c r="H182" i="29"/>
  <c r="H183" i="29"/>
  <c r="H184" i="29"/>
  <c r="H185" i="29"/>
  <c r="H186" i="29"/>
  <c r="H187" i="29"/>
  <c r="H188" i="29"/>
  <c r="H189" i="29"/>
  <c r="H190" i="29"/>
  <c r="H191" i="29"/>
  <c r="H192" i="29"/>
  <c r="H193" i="29"/>
  <c r="H194" i="29"/>
  <c r="H195" i="29"/>
  <c r="H196" i="29"/>
  <c r="H197" i="29"/>
  <c r="H198" i="29"/>
  <c r="H199" i="29"/>
  <c r="H200" i="29"/>
  <c r="I174" i="29"/>
  <c r="H174" i="29"/>
  <c r="I165" i="29"/>
  <c r="I166" i="29"/>
  <c r="I167" i="29"/>
  <c r="I168" i="29"/>
  <c r="I169" i="29"/>
  <c r="I170" i="29"/>
  <c r="I171" i="29"/>
  <c r="I172" i="29"/>
  <c r="I173" i="29"/>
  <c r="H165" i="29"/>
  <c r="H166" i="29"/>
  <c r="H167" i="29"/>
  <c r="H168" i="29"/>
  <c r="H169" i="29"/>
  <c r="H170" i="29"/>
  <c r="H171" i="29"/>
  <c r="H172" i="29"/>
  <c r="H173" i="29"/>
  <c r="I164" i="29"/>
  <c r="H164" i="29"/>
  <c r="I149" i="29"/>
  <c r="I150" i="29"/>
  <c r="I151" i="29"/>
  <c r="I152" i="29"/>
  <c r="I153" i="29"/>
  <c r="I154" i="29"/>
  <c r="I155" i="29"/>
  <c r="I156" i="29"/>
  <c r="I157" i="29"/>
  <c r="I158" i="29"/>
  <c r="I159" i="29"/>
  <c r="I160" i="29"/>
  <c r="I161" i="29"/>
  <c r="I162" i="29"/>
  <c r="I163" i="29"/>
  <c r="H149" i="29"/>
  <c r="H150" i="29"/>
  <c r="H151" i="29"/>
  <c r="H152" i="29"/>
  <c r="H153" i="29"/>
  <c r="H154" i="29"/>
  <c r="H155" i="29"/>
  <c r="H156" i="29"/>
  <c r="H157" i="29"/>
  <c r="H158" i="29"/>
  <c r="H159" i="29"/>
  <c r="H160" i="29"/>
  <c r="H161" i="29"/>
  <c r="H162" i="29"/>
  <c r="H163" i="29"/>
  <c r="I148" i="29"/>
  <c r="H148" i="29"/>
  <c r="I137" i="29"/>
  <c r="I138" i="29"/>
  <c r="I139" i="29"/>
  <c r="I140" i="29"/>
  <c r="I141" i="29"/>
  <c r="I142" i="29"/>
  <c r="I143" i="29"/>
  <c r="I144" i="29"/>
  <c r="I145" i="29"/>
  <c r="I146" i="29"/>
  <c r="I147" i="29"/>
  <c r="H137" i="29"/>
  <c r="H138" i="29"/>
  <c r="H139" i="29"/>
  <c r="H140" i="29"/>
  <c r="H141" i="29"/>
  <c r="H142" i="29"/>
  <c r="H143" i="29"/>
  <c r="H144" i="29"/>
  <c r="H145" i="29"/>
  <c r="H146" i="29"/>
  <c r="H147" i="29"/>
  <c r="I136" i="29"/>
  <c r="H136" i="29"/>
  <c r="I118" i="29"/>
  <c r="I119" i="29"/>
  <c r="I120" i="29"/>
  <c r="I121" i="29"/>
  <c r="I122" i="29"/>
  <c r="I123" i="29"/>
  <c r="I124" i="29"/>
  <c r="I125" i="29"/>
  <c r="I126" i="29"/>
  <c r="I127" i="29"/>
  <c r="I128" i="29"/>
  <c r="I129" i="29"/>
  <c r="I130" i="29"/>
  <c r="I131" i="29"/>
  <c r="I132" i="29"/>
  <c r="I133" i="29"/>
  <c r="I134" i="29"/>
  <c r="I135" i="29"/>
  <c r="H118" i="29"/>
  <c r="H119" i="29"/>
  <c r="H120" i="29"/>
  <c r="H121" i="29"/>
  <c r="H122" i="29"/>
  <c r="H123" i="29"/>
  <c r="H124" i="29"/>
  <c r="H125" i="29"/>
  <c r="H126" i="29"/>
  <c r="H127" i="29"/>
  <c r="H128" i="29"/>
  <c r="H129" i="29"/>
  <c r="H130" i="29"/>
  <c r="H131" i="29"/>
  <c r="H132" i="29"/>
  <c r="H133" i="29"/>
  <c r="H134" i="29"/>
  <c r="H135" i="29"/>
  <c r="I117" i="29"/>
  <c r="H117" i="29"/>
  <c r="I105" i="29"/>
  <c r="I106" i="29"/>
  <c r="I107" i="29"/>
  <c r="I108" i="29"/>
  <c r="I109" i="29"/>
  <c r="I110" i="29"/>
  <c r="I111" i="29"/>
  <c r="I112" i="29"/>
  <c r="I113" i="29"/>
  <c r="I114" i="29"/>
  <c r="I115" i="29"/>
  <c r="I116" i="29"/>
  <c r="H105" i="29"/>
  <c r="H106" i="29"/>
  <c r="H107" i="29"/>
  <c r="H108" i="29"/>
  <c r="H109" i="29"/>
  <c r="H110" i="29"/>
  <c r="H111" i="29"/>
  <c r="H112" i="29"/>
  <c r="H113" i="29"/>
  <c r="H114" i="29"/>
  <c r="H115" i="29"/>
  <c r="H116" i="29"/>
  <c r="I104" i="29"/>
  <c r="H104" i="29"/>
  <c r="I78" i="29"/>
  <c r="I79" i="29"/>
  <c r="I80" i="29"/>
  <c r="I81" i="29"/>
  <c r="I82" i="29"/>
  <c r="I83" i="29"/>
  <c r="I84" i="29"/>
  <c r="I85" i="29"/>
  <c r="I86" i="29"/>
  <c r="I87" i="29"/>
  <c r="I88" i="29"/>
  <c r="I89" i="29"/>
  <c r="I90" i="29"/>
  <c r="I91" i="29"/>
  <c r="I92" i="29"/>
  <c r="I93" i="29"/>
  <c r="I94" i="29"/>
  <c r="I95" i="29"/>
  <c r="I96" i="29"/>
  <c r="I97" i="29"/>
  <c r="I98" i="29"/>
  <c r="I99" i="29"/>
  <c r="O99" i="29" s="1"/>
  <c r="I100" i="29"/>
  <c r="O100" i="29" s="1"/>
  <c r="I101" i="29"/>
  <c r="O101" i="29" s="1"/>
  <c r="H78" i="29"/>
  <c r="H79" i="29"/>
  <c r="H80" i="29"/>
  <c r="H81" i="29"/>
  <c r="H82" i="29"/>
  <c r="H83" i="29"/>
  <c r="H84" i="29"/>
  <c r="H85" i="29"/>
  <c r="H86" i="29"/>
  <c r="H87" i="29"/>
  <c r="H88" i="29"/>
  <c r="H89" i="29"/>
  <c r="H90" i="29"/>
  <c r="H91" i="29"/>
  <c r="H92" i="29"/>
  <c r="H93" i="29"/>
  <c r="H94" i="29"/>
  <c r="H95" i="29"/>
  <c r="H96" i="29"/>
  <c r="H97" i="29"/>
  <c r="H98" i="29"/>
  <c r="H99" i="29"/>
  <c r="H100" i="29"/>
  <c r="P100" i="29" s="1"/>
  <c r="H101" i="29"/>
  <c r="P101" i="29" s="1"/>
  <c r="I77" i="29"/>
  <c r="H77" i="29"/>
  <c r="C241" i="29"/>
  <c r="R99" i="29"/>
  <c r="R100" i="29"/>
  <c r="R101" i="29"/>
  <c r="P99" i="29"/>
  <c r="C101" i="29"/>
  <c r="S101" i="29" s="1"/>
  <c r="C100" i="29"/>
  <c r="S100" i="29" s="1"/>
  <c r="C99" i="29"/>
  <c r="S99" i="29" s="1"/>
  <c r="R16" i="29"/>
  <c r="R17" i="29"/>
  <c r="I16" i="29"/>
  <c r="J16" i="29" s="1"/>
  <c r="I17" i="29"/>
  <c r="O17" i="29" s="1"/>
  <c r="H16" i="29"/>
  <c r="P16" i="29" s="1"/>
  <c r="H17" i="29"/>
  <c r="P17" i="29" s="1"/>
  <c r="C17" i="29"/>
  <c r="S17" i="29" s="1"/>
  <c r="C16" i="29"/>
  <c r="S16" i="29" s="1"/>
  <c r="R241" i="28"/>
  <c r="R99" i="28"/>
  <c r="R100" i="28"/>
  <c r="R101" i="28"/>
  <c r="R16" i="28"/>
  <c r="R17" i="28"/>
  <c r="I270" i="28"/>
  <c r="I271" i="28"/>
  <c r="I272" i="28"/>
  <c r="I273" i="28"/>
  <c r="I274" i="28"/>
  <c r="I275" i="28"/>
  <c r="I276" i="28"/>
  <c r="I277" i="28"/>
  <c r="I278" i="28"/>
  <c r="I279" i="28"/>
  <c r="I280" i="28"/>
  <c r="I281" i="28"/>
  <c r="I282" i="28"/>
  <c r="H270" i="28"/>
  <c r="H271" i="28"/>
  <c r="H272" i="28"/>
  <c r="H273" i="28"/>
  <c r="H274" i="28"/>
  <c r="H275" i="28"/>
  <c r="H276" i="28"/>
  <c r="H277" i="28"/>
  <c r="H278" i="28"/>
  <c r="H279" i="28"/>
  <c r="H280" i="28"/>
  <c r="H281" i="28"/>
  <c r="H282" i="28"/>
  <c r="I243" i="28"/>
  <c r="I244" i="28"/>
  <c r="I245" i="28"/>
  <c r="I246" i="28"/>
  <c r="I247" i="28"/>
  <c r="I248" i="28"/>
  <c r="I249" i="28"/>
  <c r="I250" i="28"/>
  <c r="I251" i="28"/>
  <c r="I252" i="28"/>
  <c r="I253" i="28"/>
  <c r="I254" i="28"/>
  <c r="I255" i="28"/>
  <c r="I256" i="28"/>
  <c r="I257" i="28"/>
  <c r="I258" i="28"/>
  <c r="I259" i="28"/>
  <c r="I260" i="28"/>
  <c r="I261" i="28"/>
  <c r="I262" i="28"/>
  <c r="I263" i="28"/>
  <c r="I264" i="28"/>
  <c r="I265" i="28"/>
  <c r="I266" i="28"/>
  <c r="I267" i="28"/>
  <c r="I268" i="28"/>
  <c r="H243" i="28"/>
  <c r="H244" i="28"/>
  <c r="H245" i="28"/>
  <c r="H246" i="28"/>
  <c r="H247" i="28"/>
  <c r="H248" i="28"/>
  <c r="H249" i="28"/>
  <c r="H250" i="28"/>
  <c r="H251" i="28"/>
  <c r="H252" i="28"/>
  <c r="H253" i="28"/>
  <c r="H254" i="28"/>
  <c r="H255" i="28"/>
  <c r="H256" i="28"/>
  <c r="H257" i="28"/>
  <c r="H258" i="28"/>
  <c r="H259" i="28"/>
  <c r="H260" i="28"/>
  <c r="H261" i="28"/>
  <c r="H262" i="28"/>
  <c r="H263" i="28"/>
  <c r="H264" i="28"/>
  <c r="H265" i="28"/>
  <c r="H266" i="28"/>
  <c r="H267" i="28"/>
  <c r="H268" i="28"/>
  <c r="R241" i="23"/>
  <c r="R99" i="23"/>
  <c r="R100" i="23"/>
  <c r="R101" i="23"/>
  <c r="R16" i="23"/>
  <c r="R17" i="23"/>
  <c r="I241" i="23"/>
  <c r="J241" i="23" s="1"/>
  <c r="H241" i="23"/>
  <c r="P241" i="23" s="1"/>
  <c r="I241" i="28"/>
  <c r="O241" i="28" s="1"/>
  <c r="H241" i="28"/>
  <c r="P241" i="28" s="1"/>
  <c r="C241" i="28"/>
  <c r="S241" i="28" s="1"/>
  <c r="C241" i="23"/>
  <c r="S241" i="23" s="1"/>
  <c r="I230" i="28"/>
  <c r="I231" i="28"/>
  <c r="I232" i="28"/>
  <c r="I233" i="28"/>
  <c r="I234" i="28"/>
  <c r="I235" i="28"/>
  <c r="I236" i="28"/>
  <c r="I237" i="28"/>
  <c r="I238" i="28"/>
  <c r="I239" i="28"/>
  <c r="I240" i="28"/>
  <c r="H230" i="28"/>
  <c r="H231" i="28"/>
  <c r="H232" i="28"/>
  <c r="H233" i="28"/>
  <c r="H234" i="28"/>
  <c r="H235" i="28"/>
  <c r="H236" i="28"/>
  <c r="H237" i="28"/>
  <c r="H238" i="28"/>
  <c r="H239" i="28"/>
  <c r="H240" i="28"/>
  <c r="I226" i="28"/>
  <c r="I227" i="28"/>
  <c r="I228" i="28"/>
  <c r="H226" i="28"/>
  <c r="H227" i="28"/>
  <c r="H228" i="28"/>
  <c r="I215" i="28"/>
  <c r="I216" i="28"/>
  <c r="I217" i="28"/>
  <c r="I218" i="28"/>
  <c r="I219" i="28"/>
  <c r="I220" i="28"/>
  <c r="I221" i="28"/>
  <c r="I222" i="28"/>
  <c r="I223" i="28"/>
  <c r="I224" i="28"/>
  <c r="H215" i="28"/>
  <c r="H216" i="28"/>
  <c r="H217" i="28"/>
  <c r="H218" i="28"/>
  <c r="H219" i="28"/>
  <c r="H220" i="28"/>
  <c r="H221" i="28"/>
  <c r="H222" i="28"/>
  <c r="H223" i="28"/>
  <c r="H224" i="28"/>
  <c r="I202" i="28"/>
  <c r="I203" i="28"/>
  <c r="I204" i="28"/>
  <c r="I205" i="28"/>
  <c r="I206" i="28"/>
  <c r="I207" i="28"/>
  <c r="I208" i="28"/>
  <c r="I209" i="28"/>
  <c r="I210" i="28"/>
  <c r="I211" i="28"/>
  <c r="I212" i="28"/>
  <c r="I213" i="28"/>
  <c r="H202" i="28"/>
  <c r="H203" i="28"/>
  <c r="H204" i="28"/>
  <c r="H205" i="28"/>
  <c r="H206" i="28"/>
  <c r="H207" i="28"/>
  <c r="H208" i="28"/>
  <c r="H209" i="28"/>
  <c r="H210" i="28"/>
  <c r="H211" i="28"/>
  <c r="H212" i="28"/>
  <c r="H213" i="28"/>
  <c r="I175" i="28"/>
  <c r="I176" i="28"/>
  <c r="I177" i="28"/>
  <c r="I178" i="28"/>
  <c r="I179" i="28"/>
  <c r="I180" i="28"/>
  <c r="I181" i="28"/>
  <c r="I182" i="28"/>
  <c r="I183" i="28"/>
  <c r="I184" i="28"/>
  <c r="I185" i="28"/>
  <c r="I186" i="28"/>
  <c r="I187" i="28"/>
  <c r="I188" i="28"/>
  <c r="I189" i="28"/>
  <c r="I190" i="28"/>
  <c r="I191" i="28"/>
  <c r="I192" i="28"/>
  <c r="I193" i="28"/>
  <c r="I194" i="28"/>
  <c r="I195" i="28"/>
  <c r="I196" i="28"/>
  <c r="I197" i="28"/>
  <c r="I198" i="28"/>
  <c r="I199" i="28"/>
  <c r="I200" i="28"/>
  <c r="H175" i="28"/>
  <c r="H176" i="28"/>
  <c r="H177" i="28"/>
  <c r="H178" i="28"/>
  <c r="H179" i="28"/>
  <c r="H180" i="28"/>
  <c r="H181" i="28"/>
  <c r="H182" i="28"/>
  <c r="H183" i="28"/>
  <c r="H184" i="28"/>
  <c r="H185" i="28"/>
  <c r="H186" i="28"/>
  <c r="H187" i="28"/>
  <c r="H188" i="28"/>
  <c r="H189" i="28"/>
  <c r="H190" i="28"/>
  <c r="H191" i="28"/>
  <c r="H192" i="28"/>
  <c r="H193" i="28"/>
  <c r="H194" i="28"/>
  <c r="H195" i="28"/>
  <c r="H196" i="28"/>
  <c r="H197" i="28"/>
  <c r="H198" i="28"/>
  <c r="H199" i="28"/>
  <c r="H200" i="28"/>
  <c r="I165" i="28"/>
  <c r="I166" i="28"/>
  <c r="I167" i="28"/>
  <c r="I168" i="28"/>
  <c r="I169" i="28"/>
  <c r="I170" i="28"/>
  <c r="I171" i="28"/>
  <c r="I172" i="28"/>
  <c r="I173" i="28"/>
  <c r="H165" i="28"/>
  <c r="H166" i="28"/>
  <c r="H167" i="28"/>
  <c r="H168" i="28"/>
  <c r="H169" i="28"/>
  <c r="H170" i="28"/>
  <c r="H171" i="28"/>
  <c r="H172" i="28"/>
  <c r="H173" i="28"/>
  <c r="I164" i="28"/>
  <c r="H164" i="28"/>
  <c r="I149" i="28"/>
  <c r="I150" i="28"/>
  <c r="I151" i="28"/>
  <c r="I152" i="28"/>
  <c r="I153" i="28"/>
  <c r="I154" i="28"/>
  <c r="I155" i="28"/>
  <c r="I156" i="28"/>
  <c r="I157" i="28"/>
  <c r="I158" i="28"/>
  <c r="I159" i="28"/>
  <c r="I160" i="28"/>
  <c r="I161" i="28"/>
  <c r="I162" i="28"/>
  <c r="I163" i="28"/>
  <c r="H149" i="28"/>
  <c r="H150" i="28"/>
  <c r="H151" i="28"/>
  <c r="H152" i="28"/>
  <c r="H153" i="28"/>
  <c r="H154" i="28"/>
  <c r="H155" i="28"/>
  <c r="H156" i="28"/>
  <c r="H157" i="28"/>
  <c r="H158" i="28"/>
  <c r="H159" i="28"/>
  <c r="H160" i="28"/>
  <c r="H161" i="28"/>
  <c r="H162" i="28"/>
  <c r="H163" i="28"/>
  <c r="I137" i="28"/>
  <c r="I138" i="28"/>
  <c r="I139" i="28"/>
  <c r="I140" i="28"/>
  <c r="I141" i="28"/>
  <c r="I142" i="28"/>
  <c r="I143" i="28"/>
  <c r="I144" i="28"/>
  <c r="I145" i="28"/>
  <c r="I146" i="28"/>
  <c r="I147" i="28"/>
  <c r="H137" i="28"/>
  <c r="H138" i="28"/>
  <c r="H139" i="28"/>
  <c r="H140" i="28"/>
  <c r="H141" i="28"/>
  <c r="H142" i="28"/>
  <c r="H143" i="28"/>
  <c r="H144" i="28"/>
  <c r="H145" i="28"/>
  <c r="H146" i="28"/>
  <c r="H147" i="28"/>
  <c r="I118" i="28"/>
  <c r="I119" i="28"/>
  <c r="I120" i="28"/>
  <c r="I121" i="28"/>
  <c r="I122" i="28"/>
  <c r="I123" i="28"/>
  <c r="I124" i="28"/>
  <c r="I125" i="28"/>
  <c r="I126" i="28"/>
  <c r="I127" i="28"/>
  <c r="I128" i="28"/>
  <c r="I129" i="28"/>
  <c r="I130" i="28"/>
  <c r="I131" i="28"/>
  <c r="I132" i="28"/>
  <c r="I133" i="28"/>
  <c r="I134" i="28"/>
  <c r="I135" i="28"/>
  <c r="H118" i="28"/>
  <c r="H119" i="28"/>
  <c r="H120" i="28"/>
  <c r="H121" i="28"/>
  <c r="H122" i="28"/>
  <c r="H123" i="28"/>
  <c r="H124" i="28"/>
  <c r="H125" i="28"/>
  <c r="H126" i="28"/>
  <c r="H127" i="28"/>
  <c r="H128" i="28"/>
  <c r="H129" i="28"/>
  <c r="H130" i="28"/>
  <c r="H131" i="28"/>
  <c r="H132" i="28"/>
  <c r="H133" i="28"/>
  <c r="H134" i="28"/>
  <c r="H135" i="28"/>
  <c r="I105" i="28"/>
  <c r="I106" i="28"/>
  <c r="I107" i="28"/>
  <c r="I108" i="28"/>
  <c r="I109" i="28"/>
  <c r="I110" i="28"/>
  <c r="I111" i="28"/>
  <c r="I112" i="28"/>
  <c r="I113" i="28"/>
  <c r="I114" i="28"/>
  <c r="I115" i="28"/>
  <c r="I116" i="28"/>
  <c r="H105" i="28"/>
  <c r="H106" i="28"/>
  <c r="H107" i="28"/>
  <c r="H108" i="28"/>
  <c r="H109" i="28"/>
  <c r="H110" i="28"/>
  <c r="H111" i="28"/>
  <c r="H112" i="28"/>
  <c r="H113" i="28"/>
  <c r="H114" i="28"/>
  <c r="H115" i="28"/>
  <c r="H116" i="28"/>
  <c r="I78" i="28"/>
  <c r="I79" i="28"/>
  <c r="I80" i="28"/>
  <c r="I81" i="28"/>
  <c r="I82" i="28"/>
  <c r="I83" i="28"/>
  <c r="I84" i="28"/>
  <c r="I85" i="28"/>
  <c r="I86" i="28"/>
  <c r="I87" i="28"/>
  <c r="I88" i="28"/>
  <c r="I89" i="28"/>
  <c r="I90" i="28"/>
  <c r="I91" i="28"/>
  <c r="I92" i="28"/>
  <c r="I93" i="28"/>
  <c r="I94" i="28"/>
  <c r="I95" i="28"/>
  <c r="I96" i="28"/>
  <c r="I97" i="28"/>
  <c r="I98" i="28"/>
  <c r="I99" i="28"/>
  <c r="J99" i="28" s="1"/>
  <c r="I100" i="28"/>
  <c r="J100" i="28" s="1"/>
  <c r="L100" i="28" s="1"/>
  <c r="I101" i="28"/>
  <c r="J101" i="28" s="1"/>
  <c r="L101" i="28" s="1"/>
  <c r="H78" i="28"/>
  <c r="H79" i="28"/>
  <c r="H80" i="28"/>
  <c r="H81" i="28"/>
  <c r="H82" i="28"/>
  <c r="H83" i="28"/>
  <c r="H84" i="28"/>
  <c r="H85" i="28"/>
  <c r="H86" i="28"/>
  <c r="H87" i="28"/>
  <c r="H88" i="28"/>
  <c r="H89" i="28"/>
  <c r="H90" i="28"/>
  <c r="H91" i="28"/>
  <c r="H92" i="28"/>
  <c r="H93" i="28"/>
  <c r="H94" i="28"/>
  <c r="H95" i="28"/>
  <c r="H96" i="28"/>
  <c r="H97" i="28"/>
  <c r="H98" i="28"/>
  <c r="H99" i="28"/>
  <c r="P99" i="28" s="1"/>
  <c r="H100" i="28"/>
  <c r="P100" i="28" s="1"/>
  <c r="H101" i="28"/>
  <c r="P101" i="28" s="1"/>
  <c r="I269" i="28"/>
  <c r="H269" i="28"/>
  <c r="I242" i="28"/>
  <c r="H242" i="28"/>
  <c r="I229" i="28"/>
  <c r="H229" i="28"/>
  <c r="I225" i="28"/>
  <c r="H225" i="28"/>
  <c r="I214" i="28"/>
  <c r="H214" i="28"/>
  <c r="I201" i="28"/>
  <c r="H201" i="28"/>
  <c r="I174" i="28"/>
  <c r="H174" i="28"/>
  <c r="I148" i="28"/>
  <c r="H148" i="28"/>
  <c r="I136" i="28"/>
  <c r="H136" i="28"/>
  <c r="I117" i="28"/>
  <c r="H117" i="28"/>
  <c r="I104" i="28"/>
  <c r="H104" i="28"/>
  <c r="I77" i="28"/>
  <c r="H77" i="28"/>
  <c r="C101" i="28"/>
  <c r="S101" i="28" s="1"/>
  <c r="C100" i="28"/>
  <c r="S100" i="28" s="1"/>
  <c r="C99" i="28"/>
  <c r="S99" i="28" s="1"/>
  <c r="I16" i="28"/>
  <c r="O16" i="28" s="1"/>
  <c r="I17" i="28"/>
  <c r="J17" i="28" s="1"/>
  <c r="H16" i="28"/>
  <c r="P16" i="28" s="1"/>
  <c r="H17" i="28"/>
  <c r="P17" i="28" s="1"/>
  <c r="C17" i="28"/>
  <c r="S17" i="28" s="1"/>
  <c r="C16" i="28"/>
  <c r="S16" i="28" s="1"/>
  <c r="I270" i="23"/>
  <c r="I271" i="23"/>
  <c r="I272" i="23"/>
  <c r="I273" i="23"/>
  <c r="I274" i="23"/>
  <c r="I275" i="23"/>
  <c r="I276" i="23"/>
  <c r="I277" i="23"/>
  <c r="I278" i="23"/>
  <c r="I279" i="23"/>
  <c r="I280" i="23"/>
  <c r="I281" i="23"/>
  <c r="I282" i="23"/>
  <c r="H270" i="23"/>
  <c r="H271" i="23"/>
  <c r="H272" i="23"/>
  <c r="H273" i="23"/>
  <c r="H274" i="23"/>
  <c r="H275" i="23"/>
  <c r="H276" i="23"/>
  <c r="H277" i="23"/>
  <c r="H278" i="23"/>
  <c r="H279" i="23"/>
  <c r="H280" i="23"/>
  <c r="H281" i="23"/>
  <c r="H282" i="23"/>
  <c r="I269" i="23"/>
  <c r="H269" i="23"/>
  <c r="I243" i="23"/>
  <c r="I244" i="23"/>
  <c r="I245" i="23"/>
  <c r="I246" i="23"/>
  <c r="I247" i="23"/>
  <c r="I248" i="23"/>
  <c r="I249" i="23"/>
  <c r="I250" i="23"/>
  <c r="I251" i="23"/>
  <c r="I252" i="23"/>
  <c r="I253" i="23"/>
  <c r="I254" i="23"/>
  <c r="I255" i="23"/>
  <c r="I256" i="23"/>
  <c r="I257" i="23"/>
  <c r="I258" i="23"/>
  <c r="I259" i="23"/>
  <c r="I260" i="23"/>
  <c r="I261" i="23"/>
  <c r="I262" i="23"/>
  <c r="I263" i="23"/>
  <c r="I264" i="23"/>
  <c r="I265" i="23"/>
  <c r="I266" i="23"/>
  <c r="I267" i="23"/>
  <c r="I268" i="23"/>
  <c r="H243" i="23"/>
  <c r="H244" i="23"/>
  <c r="H245" i="23"/>
  <c r="H246" i="23"/>
  <c r="H247" i="23"/>
  <c r="H248" i="23"/>
  <c r="H249" i="23"/>
  <c r="H250" i="23"/>
  <c r="H251" i="23"/>
  <c r="H252" i="23"/>
  <c r="H253" i="23"/>
  <c r="H254" i="23"/>
  <c r="H255" i="23"/>
  <c r="H256" i="23"/>
  <c r="H257" i="23"/>
  <c r="H258" i="23"/>
  <c r="H259" i="23"/>
  <c r="H260" i="23"/>
  <c r="H261" i="23"/>
  <c r="H262" i="23"/>
  <c r="H263" i="23"/>
  <c r="H264" i="23"/>
  <c r="H265" i="23"/>
  <c r="H266" i="23"/>
  <c r="H267" i="23"/>
  <c r="H268" i="23"/>
  <c r="I242" i="23"/>
  <c r="H242" i="23"/>
  <c r="I230" i="23"/>
  <c r="I231" i="23"/>
  <c r="I232" i="23"/>
  <c r="I233" i="23"/>
  <c r="I234" i="23"/>
  <c r="I235" i="23"/>
  <c r="I236" i="23"/>
  <c r="I237" i="23"/>
  <c r="I238" i="23"/>
  <c r="I239" i="23"/>
  <c r="I240" i="23"/>
  <c r="H230" i="23"/>
  <c r="H231" i="23"/>
  <c r="H232" i="23"/>
  <c r="H233" i="23"/>
  <c r="H234" i="23"/>
  <c r="H235" i="23"/>
  <c r="H236" i="23"/>
  <c r="H237" i="23"/>
  <c r="H238" i="23"/>
  <c r="H239" i="23"/>
  <c r="H240" i="23"/>
  <c r="I229" i="23"/>
  <c r="H229" i="23"/>
  <c r="I226" i="23"/>
  <c r="I227" i="23"/>
  <c r="I228" i="23"/>
  <c r="H226" i="23"/>
  <c r="H227" i="23"/>
  <c r="H228" i="23"/>
  <c r="I225" i="23"/>
  <c r="H225" i="23"/>
  <c r="I215" i="23"/>
  <c r="I216" i="23"/>
  <c r="I217" i="23"/>
  <c r="I218" i="23"/>
  <c r="I219" i="23"/>
  <c r="I220" i="23"/>
  <c r="I221" i="23"/>
  <c r="I222" i="23"/>
  <c r="I223" i="23"/>
  <c r="I224" i="23"/>
  <c r="H215" i="23"/>
  <c r="H216" i="23"/>
  <c r="H217" i="23"/>
  <c r="H218" i="23"/>
  <c r="H219" i="23"/>
  <c r="H220" i="23"/>
  <c r="H221" i="23"/>
  <c r="H222" i="23"/>
  <c r="H223" i="23"/>
  <c r="H224" i="23"/>
  <c r="I214" i="23"/>
  <c r="H214" i="23"/>
  <c r="I202" i="23"/>
  <c r="I203" i="23"/>
  <c r="I204" i="23"/>
  <c r="I205" i="23"/>
  <c r="I206" i="23"/>
  <c r="I207" i="23"/>
  <c r="I208" i="23"/>
  <c r="I209" i="23"/>
  <c r="I210" i="23"/>
  <c r="I211" i="23"/>
  <c r="I212" i="23"/>
  <c r="I213" i="23"/>
  <c r="H202" i="23"/>
  <c r="H203" i="23"/>
  <c r="H204" i="23"/>
  <c r="H205" i="23"/>
  <c r="H206" i="23"/>
  <c r="H207" i="23"/>
  <c r="H208" i="23"/>
  <c r="H209" i="23"/>
  <c r="H210" i="23"/>
  <c r="H211" i="23"/>
  <c r="H212" i="23"/>
  <c r="H213" i="23"/>
  <c r="I201" i="23"/>
  <c r="H201" i="23"/>
  <c r="I175" i="23"/>
  <c r="I176" i="23"/>
  <c r="I177" i="23"/>
  <c r="I178" i="23"/>
  <c r="I179" i="23"/>
  <c r="I180" i="23"/>
  <c r="I181" i="23"/>
  <c r="I182" i="23"/>
  <c r="I183" i="23"/>
  <c r="I184" i="23"/>
  <c r="I185" i="23"/>
  <c r="I186" i="23"/>
  <c r="I187" i="23"/>
  <c r="I188" i="23"/>
  <c r="I189" i="23"/>
  <c r="I190" i="23"/>
  <c r="I191" i="23"/>
  <c r="I192" i="23"/>
  <c r="I193" i="23"/>
  <c r="I194" i="23"/>
  <c r="I195" i="23"/>
  <c r="I196" i="23"/>
  <c r="I197" i="23"/>
  <c r="I198" i="23"/>
  <c r="I199" i="23"/>
  <c r="I200" i="23"/>
  <c r="H175" i="23"/>
  <c r="H176" i="23"/>
  <c r="H177" i="23"/>
  <c r="H178" i="23"/>
  <c r="H179" i="23"/>
  <c r="H180" i="23"/>
  <c r="H181" i="23"/>
  <c r="H182" i="23"/>
  <c r="H183" i="23"/>
  <c r="H184" i="23"/>
  <c r="H185" i="23"/>
  <c r="H186" i="23"/>
  <c r="H187" i="23"/>
  <c r="H188" i="23"/>
  <c r="H189" i="23"/>
  <c r="H190" i="23"/>
  <c r="H191" i="23"/>
  <c r="H192" i="23"/>
  <c r="H193" i="23"/>
  <c r="H194" i="23"/>
  <c r="H195" i="23"/>
  <c r="H196" i="23"/>
  <c r="H197" i="23"/>
  <c r="H198" i="23"/>
  <c r="H199" i="23"/>
  <c r="H200" i="23"/>
  <c r="I174" i="23"/>
  <c r="H174" i="23"/>
  <c r="I165" i="23"/>
  <c r="I166" i="23"/>
  <c r="I167" i="23"/>
  <c r="I168" i="23"/>
  <c r="I169" i="23"/>
  <c r="I170" i="23"/>
  <c r="I171" i="23"/>
  <c r="I172" i="23"/>
  <c r="I173" i="23"/>
  <c r="I164" i="23"/>
  <c r="H165" i="23"/>
  <c r="H166" i="23"/>
  <c r="H167" i="23"/>
  <c r="H168" i="23"/>
  <c r="H169" i="23"/>
  <c r="H170" i="23"/>
  <c r="H171" i="23"/>
  <c r="H172" i="23"/>
  <c r="H173" i="23"/>
  <c r="H164" i="23"/>
  <c r="H149" i="23"/>
  <c r="H150" i="23"/>
  <c r="H151" i="23"/>
  <c r="H152" i="23"/>
  <c r="H153" i="23"/>
  <c r="H154" i="23"/>
  <c r="H155" i="23"/>
  <c r="H156" i="23"/>
  <c r="H157" i="23"/>
  <c r="H158" i="23"/>
  <c r="H159" i="23"/>
  <c r="H160" i="23"/>
  <c r="H161" i="23"/>
  <c r="H162" i="23"/>
  <c r="H163" i="23"/>
  <c r="H148" i="23"/>
  <c r="I149" i="23"/>
  <c r="I150" i="23"/>
  <c r="I151" i="23"/>
  <c r="I152" i="23"/>
  <c r="I153" i="23"/>
  <c r="I154" i="23"/>
  <c r="I155" i="23"/>
  <c r="I156" i="23"/>
  <c r="I157" i="23"/>
  <c r="I158" i="23"/>
  <c r="I159" i="23"/>
  <c r="I160" i="23"/>
  <c r="I161" i="23"/>
  <c r="I162" i="23"/>
  <c r="I163" i="23"/>
  <c r="I148" i="23"/>
  <c r="I137" i="23"/>
  <c r="I138" i="23"/>
  <c r="I139" i="23"/>
  <c r="I140" i="23"/>
  <c r="I141" i="23"/>
  <c r="I142" i="23"/>
  <c r="I143" i="23"/>
  <c r="I144" i="23"/>
  <c r="I145" i="23"/>
  <c r="I146" i="23"/>
  <c r="I147" i="23"/>
  <c r="H137" i="23"/>
  <c r="H138" i="23"/>
  <c r="H139" i="23"/>
  <c r="H140" i="23"/>
  <c r="H141" i="23"/>
  <c r="H142" i="23"/>
  <c r="H143" i="23"/>
  <c r="H144" i="23"/>
  <c r="H145" i="23"/>
  <c r="H146" i="23"/>
  <c r="H147" i="23"/>
  <c r="I136" i="23"/>
  <c r="H136" i="23"/>
  <c r="I118" i="23"/>
  <c r="I119" i="23"/>
  <c r="I120" i="23"/>
  <c r="I121" i="23"/>
  <c r="I122" i="23"/>
  <c r="I123" i="23"/>
  <c r="I124" i="23"/>
  <c r="I125" i="23"/>
  <c r="I126" i="23"/>
  <c r="I127" i="23"/>
  <c r="I128" i="23"/>
  <c r="I129" i="23"/>
  <c r="I130" i="23"/>
  <c r="I131" i="23"/>
  <c r="I132" i="23"/>
  <c r="I133" i="23"/>
  <c r="I134" i="23"/>
  <c r="I135" i="23"/>
  <c r="I117" i="23"/>
  <c r="J117" i="23" s="1"/>
  <c r="H118" i="23"/>
  <c r="H119" i="23"/>
  <c r="H120" i="23"/>
  <c r="H121" i="23"/>
  <c r="H122" i="23"/>
  <c r="H123" i="23"/>
  <c r="H124" i="23"/>
  <c r="H125" i="23"/>
  <c r="H126" i="23"/>
  <c r="H127" i="23"/>
  <c r="H128" i="23"/>
  <c r="H129" i="23"/>
  <c r="H130" i="23"/>
  <c r="H131" i="23"/>
  <c r="H132" i="23"/>
  <c r="H133" i="23"/>
  <c r="H134" i="23"/>
  <c r="H135" i="23"/>
  <c r="H117" i="23"/>
  <c r="I105" i="23"/>
  <c r="I106" i="23"/>
  <c r="I107" i="23"/>
  <c r="I108" i="23"/>
  <c r="I109" i="23"/>
  <c r="I110" i="23"/>
  <c r="I111" i="23"/>
  <c r="I112" i="23"/>
  <c r="I113" i="23"/>
  <c r="I114" i="23"/>
  <c r="I115" i="23"/>
  <c r="I116" i="23"/>
  <c r="I104" i="23"/>
  <c r="H105" i="23"/>
  <c r="H106" i="23"/>
  <c r="H107" i="23"/>
  <c r="H108" i="23"/>
  <c r="H109" i="23"/>
  <c r="H110" i="23"/>
  <c r="H111" i="23"/>
  <c r="H112" i="23"/>
  <c r="H113" i="23"/>
  <c r="H114" i="23"/>
  <c r="H115" i="23"/>
  <c r="H116" i="23"/>
  <c r="H104" i="23"/>
  <c r="I78" i="23"/>
  <c r="I79" i="23"/>
  <c r="I80" i="23"/>
  <c r="I81" i="23"/>
  <c r="I82" i="23"/>
  <c r="I83" i="23"/>
  <c r="I84" i="23"/>
  <c r="I85" i="23"/>
  <c r="I86" i="23"/>
  <c r="I87" i="23"/>
  <c r="I88" i="23"/>
  <c r="I89" i="23"/>
  <c r="I90" i="23"/>
  <c r="I91" i="23"/>
  <c r="I92" i="23"/>
  <c r="I93" i="23"/>
  <c r="I94" i="23"/>
  <c r="I95" i="23"/>
  <c r="I96" i="23"/>
  <c r="I97" i="23"/>
  <c r="I98" i="23"/>
  <c r="I99" i="23"/>
  <c r="J99" i="23" s="1"/>
  <c r="L99" i="23" s="1"/>
  <c r="Q99" i="23" s="1"/>
  <c r="I100" i="23"/>
  <c r="J100" i="23" s="1"/>
  <c r="L100" i="23" s="1"/>
  <c r="Q100" i="23" s="1"/>
  <c r="I101" i="23"/>
  <c r="J101" i="23" s="1"/>
  <c r="L101" i="23" s="1"/>
  <c r="Q101" i="23" s="1"/>
  <c r="I77" i="23"/>
  <c r="H78" i="23"/>
  <c r="H79" i="23"/>
  <c r="H80" i="23"/>
  <c r="H81" i="23"/>
  <c r="H82" i="23"/>
  <c r="H83" i="23"/>
  <c r="H84" i="23"/>
  <c r="H85" i="23"/>
  <c r="H86" i="23"/>
  <c r="H87" i="23"/>
  <c r="H88" i="23"/>
  <c r="H89" i="23"/>
  <c r="H90" i="23"/>
  <c r="H91" i="23"/>
  <c r="H92" i="23"/>
  <c r="H93" i="23"/>
  <c r="H94" i="23"/>
  <c r="H95" i="23"/>
  <c r="H96" i="23"/>
  <c r="H97" i="23"/>
  <c r="H98" i="23"/>
  <c r="H99" i="23"/>
  <c r="P99" i="23" s="1"/>
  <c r="H100" i="23"/>
  <c r="P100" i="23" s="1"/>
  <c r="H101" i="23"/>
  <c r="P101" i="23" s="1"/>
  <c r="H77" i="23"/>
  <c r="C101" i="23"/>
  <c r="S101" i="23" s="1"/>
  <c r="C100" i="23"/>
  <c r="S100" i="23" s="1"/>
  <c r="C99" i="23"/>
  <c r="S99" i="23" s="1"/>
  <c r="I16" i="23"/>
  <c r="J16" i="23" s="1"/>
  <c r="L16" i="23" s="1"/>
  <c r="Q16" i="23" s="1"/>
  <c r="I17" i="23"/>
  <c r="O17" i="23" s="1"/>
  <c r="H16" i="23"/>
  <c r="P16" i="23" s="1"/>
  <c r="H17" i="23"/>
  <c r="P17" i="23" s="1"/>
  <c r="C17" i="23"/>
  <c r="S17" i="23" s="1"/>
  <c r="C16" i="23"/>
  <c r="S16" i="23" s="1"/>
  <c r="C25" i="33" l="1"/>
  <c r="O16" i="29"/>
  <c r="C74" i="33"/>
  <c r="C25" i="25"/>
  <c r="C72" i="25"/>
  <c r="O99" i="28"/>
  <c r="C24" i="33"/>
  <c r="C21" i="32"/>
  <c r="N99" i="23"/>
  <c r="C23" i="33"/>
  <c r="C23" i="32"/>
  <c r="O100" i="28"/>
  <c r="C22" i="33"/>
  <c r="L16" i="29"/>
  <c r="Q16" i="29" s="1"/>
  <c r="J17" i="23"/>
  <c r="L17" i="23" s="1"/>
  <c r="Q17" i="23" s="1"/>
  <c r="O16" i="23"/>
  <c r="C75" i="25"/>
  <c r="C73" i="32"/>
  <c r="C73" i="33"/>
  <c r="L241" i="23"/>
  <c r="C72" i="32"/>
  <c r="O241" i="23"/>
  <c r="J241" i="28"/>
  <c r="C74" i="25"/>
  <c r="C75" i="32"/>
  <c r="C71" i="33"/>
  <c r="C72" i="33"/>
  <c r="C73" i="25"/>
  <c r="C74" i="32"/>
  <c r="C75" i="33"/>
  <c r="C71" i="32"/>
  <c r="C71" i="25"/>
  <c r="L99" i="28"/>
  <c r="N99" i="28" s="1"/>
  <c r="Q101" i="28"/>
  <c r="T101" i="28" s="1"/>
  <c r="C23" i="25"/>
  <c r="C25" i="32"/>
  <c r="N101" i="28"/>
  <c r="C24" i="25"/>
  <c r="C22" i="32"/>
  <c r="N100" i="28"/>
  <c r="N101" i="23"/>
  <c r="O100" i="23"/>
  <c r="Q100" i="28"/>
  <c r="T100" i="28" s="1"/>
  <c r="J100" i="29"/>
  <c r="C21" i="25"/>
  <c r="C22" i="25"/>
  <c r="C24" i="32"/>
  <c r="C21" i="33"/>
  <c r="O101" i="23"/>
  <c r="J101" i="29"/>
  <c r="L101" i="29" s="1"/>
  <c r="Q101" i="29" s="1"/>
  <c r="N100" i="23"/>
  <c r="O99" i="23"/>
  <c r="O101" i="28"/>
  <c r="J99" i="29"/>
  <c r="L17" i="28"/>
  <c r="O17" i="28"/>
  <c r="J17" i="29"/>
  <c r="N16" i="23"/>
  <c r="J16" i="28"/>
  <c r="N101" i="29" l="1"/>
  <c r="N17" i="23"/>
  <c r="N16" i="29"/>
  <c r="T16" i="29"/>
  <c r="Q241" i="23"/>
  <c r="T241" i="23" s="1"/>
  <c r="L241" i="28"/>
  <c r="N241" i="23"/>
  <c r="L100" i="29"/>
  <c r="Q100" i="29" s="1"/>
  <c r="Q99" i="28"/>
  <c r="T99" i="28" s="1"/>
  <c r="L99" i="29"/>
  <c r="Q99" i="29" s="1"/>
  <c r="Q17" i="28"/>
  <c r="T17" i="28" s="1"/>
  <c r="L16" i="28"/>
  <c r="L17" i="29"/>
  <c r="Q17" i="29" s="1"/>
  <c r="T17" i="29" s="1"/>
  <c r="N17" i="28"/>
  <c r="I61" i="23"/>
  <c r="I62" i="23"/>
  <c r="I63" i="23"/>
  <c r="I64" i="23"/>
  <c r="I65" i="23"/>
  <c r="I66" i="23"/>
  <c r="I67" i="23"/>
  <c r="I68" i="23"/>
  <c r="I69" i="23"/>
  <c r="I70" i="23"/>
  <c r="I71" i="23"/>
  <c r="I72" i="23"/>
  <c r="I73" i="23"/>
  <c r="J73" i="23" s="1"/>
  <c r="I74" i="23"/>
  <c r="I75" i="23"/>
  <c r="I76" i="23"/>
  <c r="I60" i="23"/>
  <c r="I48" i="23"/>
  <c r="I49" i="23"/>
  <c r="I50" i="23"/>
  <c r="I51" i="23"/>
  <c r="I52" i="23"/>
  <c r="I53" i="23"/>
  <c r="I54" i="23"/>
  <c r="I55" i="23"/>
  <c r="I56" i="23"/>
  <c r="I57" i="23"/>
  <c r="I58" i="23"/>
  <c r="I59" i="23"/>
  <c r="I47" i="23"/>
  <c r="I43" i="23"/>
  <c r="I44" i="23"/>
  <c r="J44" i="23" s="1"/>
  <c r="I45" i="23"/>
  <c r="I46" i="23"/>
  <c r="I42" i="23"/>
  <c r="I61" i="29"/>
  <c r="I62" i="29"/>
  <c r="I63" i="29"/>
  <c r="I64" i="29"/>
  <c r="I65" i="29"/>
  <c r="I66" i="29"/>
  <c r="I67" i="29"/>
  <c r="I68" i="29"/>
  <c r="I69" i="29"/>
  <c r="I70" i="29"/>
  <c r="I71" i="29"/>
  <c r="I72" i="29"/>
  <c r="I73" i="29"/>
  <c r="I74" i="29"/>
  <c r="I75" i="29"/>
  <c r="I76" i="29"/>
  <c r="I60" i="29"/>
  <c r="I48" i="29"/>
  <c r="I49" i="29"/>
  <c r="I50" i="29"/>
  <c r="I51" i="29"/>
  <c r="I52" i="29"/>
  <c r="I53" i="29"/>
  <c r="I54" i="29"/>
  <c r="I55" i="29"/>
  <c r="I56" i="29"/>
  <c r="I57" i="29"/>
  <c r="I58" i="29"/>
  <c r="I59" i="29"/>
  <c r="I47" i="29"/>
  <c r="I43" i="29"/>
  <c r="I44" i="29"/>
  <c r="J44" i="29" s="1"/>
  <c r="I45" i="29"/>
  <c r="I46" i="29"/>
  <c r="I42" i="29"/>
  <c r="I10" i="29"/>
  <c r="J10" i="29" s="1"/>
  <c r="I11" i="29"/>
  <c r="J11" i="29" s="1"/>
  <c r="I12" i="29"/>
  <c r="J12" i="29" s="1"/>
  <c r="I13" i="29"/>
  <c r="J13" i="29" s="1"/>
  <c r="I14" i="29"/>
  <c r="J14" i="29" s="1"/>
  <c r="I15" i="29"/>
  <c r="J15" i="29" s="1"/>
  <c r="I18" i="29"/>
  <c r="J18" i="29" s="1"/>
  <c r="I19" i="29"/>
  <c r="J19" i="29" s="1"/>
  <c r="I20" i="29"/>
  <c r="J20" i="29" s="1"/>
  <c r="I21" i="29"/>
  <c r="I22" i="29"/>
  <c r="I23" i="29"/>
  <c r="I24" i="29"/>
  <c r="I25" i="29"/>
  <c r="I26" i="29"/>
  <c r="I27" i="29"/>
  <c r="I28" i="29"/>
  <c r="I29" i="29"/>
  <c r="I30" i="29"/>
  <c r="I31" i="29"/>
  <c r="I33" i="29"/>
  <c r="I34" i="29"/>
  <c r="I35" i="29"/>
  <c r="I36" i="29"/>
  <c r="I37" i="29"/>
  <c r="I38" i="29"/>
  <c r="I39" i="29"/>
  <c r="I40" i="29"/>
  <c r="I41" i="29"/>
  <c r="I9" i="29"/>
  <c r="J9" i="29" s="1"/>
  <c r="I76" i="28"/>
  <c r="I75" i="28"/>
  <c r="I74" i="28"/>
  <c r="I73" i="28"/>
  <c r="I72" i="28"/>
  <c r="I71" i="28"/>
  <c r="I70" i="28"/>
  <c r="I69" i="28"/>
  <c r="I68" i="28"/>
  <c r="I67" i="28"/>
  <c r="I66" i="28"/>
  <c r="I65" i="28"/>
  <c r="I64" i="28"/>
  <c r="I63" i="28"/>
  <c r="I62" i="28"/>
  <c r="I61" i="28"/>
  <c r="I60" i="28"/>
  <c r="I59" i="28"/>
  <c r="I58" i="28"/>
  <c r="I57" i="28"/>
  <c r="I56" i="28"/>
  <c r="I55" i="28"/>
  <c r="I54" i="28"/>
  <c r="I53" i="28"/>
  <c r="I52" i="28"/>
  <c r="I51" i="28"/>
  <c r="I50" i="28"/>
  <c r="I49" i="28"/>
  <c r="I48" i="28"/>
  <c r="I47" i="28"/>
  <c r="I46" i="28"/>
  <c r="I45" i="28"/>
  <c r="I44" i="28"/>
  <c r="J44" i="28" s="1"/>
  <c r="I43" i="28"/>
  <c r="I42" i="28"/>
  <c r="I41" i="28"/>
  <c r="I40" i="28"/>
  <c r="I39" i="28"/>
  <c r="I38" i="28"/>
  <c r="I37" i="28"/>
  <c r="I36" i="28"/>
  <c r="I35" i="28"/>
  <c r="I34" i="28"/>
  <c r="I33" i="28"/>
  <c r="I31" i="28"/>
  <c r="I30" i="28"/>
  <c r="I29" i="28"/>
  <c r="I28" i="28"/>
  <c r="I27" i="28"/>
  <c r="I26" i="28"/>
  <c r="I25" i="28"/>
  <c r="I24" i="28"/>
  <c r="I23" i="28"/>
  <c r="I22" i="28"/>
  <c r="I21" i="28"/>
  <c r="I20" i="28"/>
  <c r="I19" i="28"/>
  <c r="J19" i="28" s="1"/>
  <c r="I18" i="28"/>
  <c r="J18" i="28" s="1"/>
  <c r="I15" i="28"/>
  <c r="J15" i="28" s="1"/>
  <c r="I14" i="28"/>
  <c r="J14" i="28" s="1"/>
  <c r="I13" i="28"/>
  <c r="J13" i="28" s="1"/>
  <c r="I12" i="28"/>
  <c r="J12" i="28" s="1"/>
  <c r="I11" i="28"/>
  <c r="J11" i="28" s="1"/>
  <c r="I10" i="28"/>
  <c r="J10" i="28" s="1"/>
  <c r="I9" i="28"/>
  <c r="J9" i="28" s="1"/>
  <c r="H61" i="28"/>
  <c r="H62" i="28"/>
  <c r="H63" i="28"/>
  <c r="H64" i="28"/>
  <c r="H65" i="28"/>
  <c r="H66" i="28"/>
  <c r="H67" i="28"/>
  <c r="H68" i="28"/>
  <c r="H69" i="28"/>
  <c r="H70" i="28"/>
  <c r="H71" i="28"/>
  <c r="H72" i="28"/>
  <c r="H73" i="28"/>
  <c r="H74" i="28"/>
  <c r="H75" i="28"/>
  <c r="H76" i="28"/>
  <c r="H60" i="28"/>
  <c r="H48" i="28"/>
  <c r="H49" i="28"/>
  <c r="H50" i="28"/>
  <c r="H51" i="28"/>
  <c r="H52" i="28"/>
  <c r="H53" i="28"/>
  <c r="H54" i="28"/>
  <c r="H55" i="28"/>
  <c r="H56" i="28"/>
  <c r="H57" i="28"/>
  <c r="H58" i="28"/>
  <c r="H59" i="28"/>
  <c r="H47" i="28"/>
  <c r="H43" i="28"/>
  <c r="H44" i="28"/>
  <c r="H45" i="28"/>
  <c r="H46" i="28"/>
  <c r="H42" i="28"/>
  <c r="H10" i="28"/>
  <c r="H11" i="28"/>
  <c r="H12" i="28"/>
  <c r="H13" i="28"/>
  <c r="H14" i="28"/>
  <c r="H15" i="28"/>
  <c r="H18" i="28"/>
  <c r="H19" i="28"/>
  <c r="H20" i="28"/>
  <c r="H21" i="28"/>
  <c r="H22" i="28"/>
  <c r="H23" i="28"/>
  <c r="H24" i="28"/>
  <c r="H25" i="28"/>
  <c r="H26" i="28"/>
  <c r="H27" i="28"/>
  <c r="H28" i="28"/>
  <c r="H29" i="28"/>
  <c r="H30" i="28"/>
  <c r="H31" i="28"/>
  <c r="H33" i="28"/>
  <c r="H34" i="28"/>
  <c r="H35" i="28"/>
  <c r="H36" i="28"/>
  <c r="H37" i="28"/>
  <c r="H38" i="28"/>
  <c r="H39" i="28"/>
  <c r="H40" i="28"/>
  <c r="H41" i="28"/>
  <c r="H9" i="28"/>
  <c r="H61" i="23"/>
  <c r="H62" i="23"/>
  <c r="H63" i="23"/>
  <c r="H64" i="23"/>
  <c r="H65" i="23"/>
  <c r="H66" i="23"/>
  <c r="H67" i="23"/>
  <c r="H68" i="23"/>
  <c r="H69" i="23"/>
  <c r="H70" i="23"/>
  <c r="H71" i="23"/>
  <c r="H72" i="23"/>
  <c r="H73" i="23"/>
  <c r="H74" i="23"/>
  <c r="H75" i="23"/>
  <c r="H76" i="23"/>
  <c r="H60" i="23"/>
  <c r="H48" i="23"/>
  <c r="H49" i="23"/>
  <c r="H50" i="23"/>
  <c r="H51" i="23"/>
  <c r="H52" i="23"/>
  <c r="H53" i="23"/>
  <c r="H54" i="23"/>
  <c r="H55" i="23"/>
  <c r="H56" i="23"/>
  <c r="H57" i="23"/>
  <c r="H58" i="23"/>
  <c r="H59" i="23"/>
  <c r="H47" i="23"/>
  <c r="H43" i="23"/>
  <c r="H44" i="23"/>
  <c r="H45" i="23"/>
  <c r="H46" i="23"/>
  <c r="H42" i="23"/>
  <c r="H10" i="23"/>
  <c r="H11" i="23"/>
  <c r="H12" i="23"/>
  <c r="H13" i="23"/>
  <c r="H14" i="23"/>
  <c r="H15" i="23"/>
  <c r="H18" i="23"/>
  <c r="H19" i="23"/>
  <c r="H20" i="23"/>
  <c r="H21" i="23"/>
  <c r="H22" i="23"/>
  <c r="H23" i="23"/>
  <c r="H24" i="23"/>
  <c r="H25" i="23"/>
  <c r="H26" i="23"/>
  <c r="H27" i="23"/>
  <c r="H28" i="23"/>
  <c r="H29" i="23"/>
  <c r="H30" i="23"/>
  <c r="H31" i="23"/>
  <c r="H33" i="23"/>
  <c r="H34" i="23"/>
  <c r="H35" i="23"/>
  <c r="H36" i="23"/>
  <c r="H37" i="23"/>
  <c r="H38" i="23"/>
  <c r="H39" i="23"/>
  <c r="H40" i="23"/>
  <c r="H41" i="23"/>
  <c r="N17" i="29" l="1"/>
  <c r="N99" i="29"/>
  <c r="Q241" i="28"/>
  <c r="T241" i="28" s="1"/>
  <c r="N241" i="28"/>
  <c r="N100" i="29"/>
  <c r="Q16" i="28"/>
  <c r="T16" i="28" s="1"/>
  <c r="N16" i="28"/>
  <c r="J76" i="23"/>
  <c r="L76" i="23" s="1"/>
  <c r="J75" i="23"/>
  <c r="L75" i="23" s="1"/>
  <c r="J40" i="29"/>
  <c r="L40" i="29" s="1"/>
  <c r="J40" i="28"/>
  <c r="L40" i="28" s="1"/>
  <c r="J223" i="29"/>
  <c r="L223" i="29" s="1"/>
  <c r="J223" i="28"/>
  <c r="C85" i="33"/>
  <c r="C84" i="33"/>
  <c r="C83" i="33"/>
  <c r="C82" i="33"/>
  <c r="C81" i="33"/>
  <c r="C80" i="33"/>
  <c r="C79" i="33"/>
  <c r="C78" i="33"/>
  <c r="C77" i="33"/>
  <c r="C76" i="33"/>
  <c r="C70" i="33"/>
  <c r="C69" i="33"/>
  <c r="C68" i="33"/>
  <c r="C67" i="33"/>
  <c r="C66" i="33"/>
  <c r="C65" i="33"/>
  <c r="C64" i="33"/>
  <c r="C63" i="33"/>
  <c r="C62" i="33"/>
  <c r="C61" i="33"/>
  <c r="C60" i="33"/>
  <c r="C59" i="33"/>
  <c r="C58" i="33"/>
  <c r="C57" i="33"/>
  <c r="C56" i="33"/>
  <c r="C55" i="33"/>
  <c r="C54" i="33"/>
  <c r="C53" i="33"/>
  <c r="C52" i="33"/>
  <c r="C51" i="33"/>
  <c r="C50" i="33"/>
  <c r="C49" i="33"/>
  <c r="C48" i="33"/>
  <c r="C47" i="33"/>
  <c r="C46" i="33"/>
  <c r="C45" i="33"/>
  <c r="C44" i="33"/>
  <c r="C43" i="33"/>
  <c r="C42" i="33"/>
  <c r="C41" i="33"/>
  <c r="C40" i="33"/>
  <c r="C39" i="33"/>
  <c r="C38" i="33"/>
  <c r="C37" i="33"/>
  <c r="C36" i="33"/>
  <c r="C35" i="33"/>
  <c r="C34" i="33"/>
  <c r="C33" i="33"/>
  <c r="C32" i="33"/>
  <c r="C31" i="33"/>
  <c r="C30" i="33"/>
  <c r="C29" i="33"/>
  <c r="C28" i="33"/>
  <c r="C27" i="33"/>
  <c r="C26" i="33"/>
  <c r="C20" i="33"/>
  <c r="C19" i="33"/>
  <c r="C18" i="33"/>
  <c r="C17" i="33"/>
  <c r="C16" i="33"/>
  <c r="C15" i="33"/>
  <c r="C14" i="33"/>
  <c r="C13" i="33"/>
  <c r="C12" i="33"/>
  <c r="C11" i="33"/>
  <c r="C10" i="33"/>
  <c r="C9" i="33"/>
  <c r="C8" i="33"/>
  <c r="C7" i="33"/>
  <c r="C6" i="33"/>
  <c r="C5" i="33"/>
  <c r="C4" i="33"/>
  <c r="C3" i="33"/>
  <c r="C2" i="33"/>
  <c r="C1" i="33"/>
  <c r="C85" i="32"/>
  <c r="C84" i="32"/>
  <c r="C83" i="32"/>
  <c r="C82" i="32"/>
  <c r="C81" i="32"/>
  <c r="C80" i="32"/>
  <c r="C79" i="32"/>
  <c r="C78" i="32"/>
  <c r="C77" i="32"/>
  <c r="C76" i="32"/>
  <c r="C70" i="32"/>
  <c r="C69" i="32"/>
  <c r="C68" i="32"/>
  <c r="C67" i="32"/>
  <c r="C66" i="32"/>
  <c r="C65" i="32"/>
  <c r="C64" i="32"/>
  <c r="C63" i="32"/>
  <c r="C62" i="32"/>
  <c r="C61" i="32"/>
  <c r="C60" i="32"/>
  <c r="C59" i="32"/>
  <c r="C58" i="32"/>
  <c r="C57" i="32"/>
  <c r="C56" i="32"/>
  <c r="C55" i="32"/>
  <c r="C54" i="32"/>
  <c r="C53" i="32"/>
  <c r="C52" i="32"/>
  <c r="C51" i="32"/>
  <c r="C50" i="32"/>
  <c r="C49" i="32"/>
  <c r="C48" i="32"/>
  <c r="C47" i="32"/>
  <c r="C46" i="32"/>
  <c r="C45" i="32"/>
  <c r="C44" i="32"/>
  <c r="C43" i="32"/>
  <c r="C42" i="32"/>
  <c r="C41" i="32"/>
  <c r="C40" i="32"/>
  <c r="C39" i="32"/>
  <c r="C38" i="32"/>
  <c r="C37" i="32"/>
  <c r="C36" i="32"/>
  <c r="C35" i="32"/>
  <c r="C34" i="32"/>
  <c r="C33" i="32"/>
  <c r="C32" i="32"/>
  <c r="C31" i="32"/>
  <c r="C30" i="32"/>
  <c r="C29" i="32"/>
  <c r="C28" i="32"/>
  <c r="C27" i="32"/>
  <c r="C26" i="32"/>
  <c r="C20" i="32"/>
  <c r="C19" i="32"/>
  <c r="C18" i="32"/>
  <c r="C17" i="32"/>
  <c r="C16" i="32"/>
  <c r="C15" i="32"/>
  <c r="C14" i="32"/>
  <c r="C13" i="32"/>
  <c r="C12" i="32"/>
  <c r="C11" i="32"/>
  <c r="C10" i="32"/>
  <c r="C9" i="32"/>
  <c r="C8" i="32"/>
  <c r="C7" i="32"/>
  <c r="C6" i="32"/>
  <c r="C5" i="32"/>
  <c r="C4" i="32"/>
  <c r="C3" i="32"/>
  <c r="C2" i="32"/>
  <c r="C1" i="32"/>
  <c r="J82" i="23"/>
  <c r="O86" i="23"/>
  <c r="O90" i="23"/>
  <c r="O94" i="23"/>
  <c r="O98" i="23"/>
  <c r="C18" i="25"/>
  <c r="O66" i="23"/>
  <c r="J70" i="23"/>
  <c r="J74" i="23"/>
  <c r="J60" i="23"/>
  <c r="J55" i="23"/>
  <c r="J59" i="23"/>
  <c r="J46" i="23"/>
  <c r="J282" i="29"/>
  <c r="L282" i="29" s="1"/>
  <c r="C282" i="29"/>
  <c r="S282" i="29" s="1"/>
  <c r="R282" i="29"/>
  <c r="P282" i="29"/>
  <c r="O282" i="29"/>
  <c r="J281" i="29"/>
  <c r="L281" i="29" s="1"/>
  <c r="C281" i="29"/>
  <c r="S281" i="29" s="1"/>
  <c r="R281" i="29"/>
  <c r="P281" i="29"/>
  <c r="O281" i="29"/>
  <c r="J280" i="29"/>
  <c r="L280" i="29" s="1"/>
  <c r="Q280" i="29" s="1"/>
  <c r="C280" i="29"/>
  <c r="S280" i="29" s="1"/>
  <c r="R280" i="29"/>
  <c r="P280" i="29"/>
  <c r="O280" i="29"/>
  <c r="J279" i="29"/>
  <c r="L279" i="29" s="1"/>
  <c r="C279" i="29"/>
  <c r="S279" i="29" s="1"/>
  <c r="R279" i="29"/>
  <c r="P279" i="29"/>
  <c r="O279" i="29"/>
  <c r="J278" i="29"/>
  <c r="L278" i="29" s="1"/>
  <c r="Q278" i="29" s="1"/>
  <c r="C278" i="29"/>
  <c r="S278" i="29" s="1"/>
  <c r="R278" i="29"/>
  <c r="P278" i="29"/>
  <c r="O278" i="29"/>
  <c r="J277" i="29"/>
  <c r="L277" i="29" s="1"/>
  <c r="C277" i="29"/>
  <c r="S277" i="29" s="1"/>
  <c r="R277" i="29"/>
  <c r="P277" i="29"/>
  <c r="O277" i="29"/>
  <c r="J276" i="29"/>
  <c r="L276" i="29" s="1"/>
  <c r="Q276" i="29" s="1"/>
  <c r="C276" i="29"/>
  <c r="S276" i="29" s="1"/>
  <c r="R276" i="29"/>
  <c r="P276" i="29"/>
  <c r="O276" i="29"/>
  <c r="J275" i="29"/>
  <c r="L275" i="29" s="1"/>
  <c r="C275" i="29"/>
  <c r="S275" i="29" s="1"/>
  <c r="R275" i="29"/>
  <c r="P275" i="29"/>
  <c r="O275" i="29"/>
  <c r="J274" i="29"/>
  <c r="L274" i="29" s="1"/>
  <c r="Q274" i="29" s="1"/>
  <c r="C274" i="29"/>
  <c r="S274" i="29" s="1"/>
  <c r="R274" i="29"/>
  <c r="P274" i="29"/>
  <c r="O274" i="29"/>
  <c r="J273" i="29"/>
  <c r="L273" i="29" s="1"/>
  <c r="C273" i="29"/>
  <c r="S273" i="29" s="1"/>
  <c r="R273" i="29"/>
  <c r="P273" i="29"/>
  <c r="O273" i="29"/>
  <c r="J272" i="29"/>
  <c r="L272" i="29" s="1"/>
  <c r="Q272" i="29" s="1"/>
  <c r="C272" i="29"/>
  <c r="S272" i="29" s="1"/>
  <c r="R272" i="29"/>
  <c r="P272" i="29"/>
  <c r="O272" i="29"/>
  <c r="J271" i="29"/>
  <c r="L271" i="29" s="1"/>
  <c r="C271" i="29"/>
  <c r="S271" i="29" s="1"/>
  <c r="R271" i="29"/>
  <c r="P271" i="29"/>
  <c r="O271" i="29"/>
  <c r="J270" i="29"/>
  <c r="L270" i="29" s="1"/>
  <c r="C270" i="29"/>
  <c r="S270" i="29" s="1"/>
  <c r="R270" i="29"/>
  <c r="P270" i="29"/>
  <c r="O270" i="29"/>
  <c r="J269" i="29"/>
  <c r="L269" i="29" s="1"/>
  <c r="C269" i="29"/>
  <c r="R269" i="29"/>
  <c r="P269" i="29"/>
  <c r="O269" i="29"/>
  <c r="J268" i="29"/>
  <c r="L268" i="29" s="1"/>
  <c r="C268" i="29"/>
  <c r="S268" i="29" s="1"/>
  <c r="R268" i="29"/>
  <c r="P268" i="29"/>
  <c r="O268" i="29"/>
  <c r="J267" i="29"/>
  <c r="L267" i="29" s="1"/>
  <c r="Q267" i="29" s="1"/>
  <c r="T267" i="29" s="1"/>
  <c r="C267" i="29"/>
  <c r="S267" i="29" s="1"/>
  <c r="R267" i="29"/>
  <c r="P267" i="29"/>
  <c r="O267" i="29"/>
  <c r="J266" i="29"/>
  <c r="L266" i="29" s="1"/>
  <c r="C266" i="29"/>
  <c r="S266" i="29"/>
  <c r="R266" i="29"/>
  <c r="P266" i="29"/>
  <c r="O266" i="29"/>
  <c r="J265" i="29"/>
  <c r="L265" i="29" s="1"/>
  <c r="Q265" i="29" s="1"/>
  <c r="C265" i="29"/>
  <c r="S265" i="29" s="1"/>
  <c r="R265" i="29"/>
  <c r="P265" i="29"/>
  <c r="O265" i="29"/>
  <c r="J264" i="29"/>
  <c r="L264" i="29" s="1"/>
  <c r="C264" i="29"/>
  <c r="S264" i="29" s="1"/>
  <c r="R264" i="29"/>
  <c r="P264" i="29"/>
  <c r="O264" i="29"/>
  <c r="J263" i="29"/>
  <c r="L263" i="29" s="1"/>
  <c r="Q263" i="29" s="1"/>
  <c r="T263" i="29" s="1"/>
  <c r="C263" i="29"/>
  <c r="S263" i="29" s="1"/>
  <c r="R263" i="29"/>
  <c r="P263" i="29"/>
  <c r="O263" i="29"/>
  <c r="J262" i="29"/>
  <c r="L262" i="29" s="1"/>
  <c r="C262" i="29"/>
  <c r="S262" i="29" s="1"/>
  <c r="R262" i="29"/>
  <c r="P262" i="29"/>
  <c r="O262" i="29"/>
  <c r="J261" i="29"/>
  <c r="L261" i="29" s="1"/>
  <c r="Q261" i="29" s="1"/>
  <c r="C261" i="29"/>
  <c r="S261" i="29" s="1"/>
  <c r="R261" i="29"/>
  <c r="P261" i="29"/>
  <c r="O261" i="29"/>
  <c r="J260" i="29"/>
  <c r="L260" i="29" s="1"/>
  <c r="C260" i="29"/>
  <c r="S260" i="29"/>
  <c r="R260" i="29"/>
  <c r="P260" i="29"/>
  <c r="O260" i="29"/>
  <c r="J259" i="29"/>
  <c r="L259" i="29" s="1"/>
  <c r="C259" i="29"/>
  <c r="S259" i="29" s="1"/>
  <c r="R259" i="29"/>
  <c r="P259" i="29"/>
  <c r="O259" i="29"/>
  <c r="J258" i="29"/>
  <c r="L258" i="29" s="1"/>
  <c r="C258" i="29"/>
  <c r="S258" i="29" s="1"/>
  <c r="R258" i="29"/>
  <c r="P258" i="29"/>
  <c r="O258" i="29"/>
  <c r="J257" i="29"/>
  <c r="L257" i="29" s="1"/>
  <c r="Q257" i="29" s="1"/>
  <c r="C257" i="29"/>
  <c r="S257" i="29" s="1"/>
  <c r="R257" i="29"/>
  <c r="P257" i="29"/>
  <c r="O257" i="29"/>
  <c r="J256" i="29"/>
  <c r="L256" i="29" s="1"/>
  <c r="N256" i="29" s="1"/>
  <c r="C256" i="29"/>
  <c r="S256" i="29" s="1"/>
  <c r="R256" i="29"/>
  <c r="P256" i="29"/>
  <c r="O256" i="29"/>
  <c r="J255" i="29"/>
  <c r="L255" i="29" s="1"/>
  <c r="C255" i="29"/>
  <c r="S255" i="29" s="1"/>
  <c r="R255" i="29"/>
  <c r="P255" i="29"/>
  <c r="O255" i="29"/>
  <c r="J254" i="29"/>
  <c r="L254" i="29" s="1"/>
  <c r="C254" i="29"/>
  <c r="S254" i="29" s="1"/>
  <c r="R254" i="29"/>
  <c r="P254" i="29"/>
  <c r="O254" i="29"/>
  <c r="J253" i="29"/>
  <c r="L253" i="29" s="1"/>
  <c r="Q253" i="29" s="1"/>
  <c r="C253" i="29"/>
  <c r="S253" i="29" s="1"/>
  <c r="R253" i="29"/>
  <c r="P253" i="29"/>
  <c r="O253" i="29"/>
  <c r="J252" i="29"/>
  <c r="L252" i="29" s="1"/>
  <c r="C252" i="29"/>
  <c r="S252" i="29" s="1"/>
  <c r="R252" i="29"/>
  <c r="P252" i="29"/>
  <c r="O252" i="29"/>
  <c r="J251" i="29"/>
  <c r="L251" i="29" s="1"/>
  <c r="C251" i="29"/>
  <c r="S251" i="29" s="1"/>
  <c r="R251" i="29"/>
  <c r="P251" i="29"/>
  <c r="O251" i="29"/>
  <c r="J250" i="29"/>
  <c r="L250" i="29" s="1"/>
  <c r="C250" i="29"/>
  <c r="S250" i="29"/>
  <c r="R250" i="29"/>
  <c r="P250" i="29"/>
  <c r="O250" i="29"/>
  <c r="J249" i="29"/>
  <c r="L249" i="29" s="1"/>
  <c r="Q249" i="29" s="1"/>
  <c r="C249" i="29"/>
  <c r="S249" i="29" s="1"/>
  <c r="R249" i="29"/>
  <c r="P249" i="29"/>
  <c r="O249" i="29"/>
  <c r="J248" i="29"/>
  <c r="L248" i="29" s="1"/>
  <c r="C248" i="29"/>
  <c r="S248" i="29" s="1"/>
  <c r="R248" i="29"/>
  <c r="P248" i="29"/>
  <c r="O248" i="29"/>
  <c r="J247" i="29"/>
  <c r="L247" i="29" s="1"/>
  <c r="C247" i="29"/>
  <c r="S247" i="29" s="1"/>
  <c r="R247" i="29"/>
  <c r="P247" i="29"/>
  <c r="O247" i="29"/>
  <c r="J246" i="29"/>
  <c r="L246" i="29" s="1"/>
  <c r="C246" i="29"/>
  <c r="S246" i="29" s="1"/>
  <c r="R246" i="29"/>
  <c r="P246" i="29"/>
  <c r="O246" i="29"/>
  <c r="J245" i="29"/>
  <c r="L245" i="29" s="1"/>
  <c r="Q245" i="29" s="1"/>
  <c r="C245" i="29"/>
  <c r="S245" i="29" s="1"/>
  <c r="R245" i="29"/>
  <c r="P245" i="29"/>
  <c r="O245" i="29"/>
  <c r="J244" i="29"/>
  <c r="L244" i="29" s="1"/>
  <c r="N244" i="29" s="1"/>
  <c r="C244" i="29"/>
  <c r="S244" i="29" s="1"/>
  <c r="R244" i="29"/>
  <c r="P244" i="29"/>
  <c r="O244" i="29"/>
  <c r="J243" i="29"/>
  <c r="L243" i="29" s="1"/>
  <c r="C243" i="29"/>
  <c r="S243" i="29" s="1"/>
  <c r="R243" i="29"/>
  <c r="P243" i="29"/>
  <c r="O243" i="29"/>
  <c r="J242" i="29"/>
  <c r="C242" i="29"/>
  <c r="S242" i="29" s="1"/>
  <c r="R242" i="29"/>
  <c r="P242" i="29"/>
  <c r="O242" i="29"/>
  <c r="J240" i="29"/>
  <c r="L240" i="29" s="1"/>
  <c r="C240" i="29"/>
  <c r="S240" i="29" s="1"/>
  <c r="R240" i="29"/>
  <c r="P240" i="29"/>
  <c r="O240" i="29"/>
  <c r="J239" i="29"/>
  <c r="L239" i="29" s="1"/>
  <c r="C239" i="29"/>
  <c r="S239" i="29" s="1"/>
  <c r="R239" i="29"/>
  <c r="P239" i="29"/>
  <c r="O239" i="29"/>
  <c r="J238" i="29"/>
  <c r="L238" i="29" s="1"/>
  <c r="C238" i="29"/>
  <c r="S238" i="29" s="1"/>
  <c r="R238" i="29"/>
  <c r="P238" i="29"/>
  <c r="O238" i="29"/>
  <c r="J237" i="29"/>
  <c r="L237" i="29" s="1"/>
  <c r="Q237" i="29" s="1"/>
  <c r="C237" i="29"/>
  <c r="S237" i="29" s="1"/>
  <c r="R237" i="29"/>
  <c r="P237" i="29"/>
  <c r="O237" i="29"/>
  <c r="J236" i="29"/>
  <c r="L236" i="29" s="1"/>
  <c r="C236" i="29"/>
  <c r="S236" i="29" s="1"/>
  <c r="R236" i="29"/>
  <c r="P236" i="29"/>
  <c r="O236" i="29"/>
  <c r="J235" i="29"/>
  <c r="L235" i="29" s="1"/>
  <c r="C235" i="29"/>
  <c r="S235" i="29" s="1"/>
  <c r="R235" i="29"/>
  <c r="P235" i="29"/>
  <c r="O235" i="29"/>
  <c r="J234" i="29"/>
  <c r="L234" i="29" s="1"/>
  <c r="C234" i="29"/>
  <c r="S234" i="29" s="1"/>
  <c r="R234" i="29"/>
  <c r="P234" i="29"/>
  <c r="O234" i="29"/>
  <c r="J233" i="29"/>
  <c r="L233" i="29" s="1"/>
  <c r="Q233" i="29" s="1"/>
  <c r="C233" i="29"/>
  <c r="S233" i="29" s="1"/>
  <c r="R233" i="29"/>
  <c r="P233" i="29"/>
  <c r="O233" i="29"/>
  <c r="J232" i="29"/>
  <c r="L232" i="29" s="1"/>
  <c r="C232" i="29"/>
  <c r="S232" i="29" s="1"/>
  <c r="R232" i="29"/>
  <c r="P232" i="29"/>
  <c r="O232" i="29"/>
  <c r="J231" i="29"/>
  <c r="L231" i="29" s="1"/>
  <c r="C231" i="29"/>
  <c r="S231" i="29" s="1"/>
  <c r="R231" i="29"/>
  <c r="P231" i="29"/>
  <c r="O231" i="29"/>
  <c r="J230" i="29"/>
  <c r="L230" i="29" s="1"/>
  <c r="C230" i="29"/>
  <c r="S230" i="29" s="1"/>
  <c r="R230" i="29"/>
  <c r="P230" i="29"/>
  <c r="O230" i="29"/>
  <c r="J229" i="29"/>
  <c r="C229" i="29"/>
  <c r="S229" i="29" s="1"/>
  <c r="R229" i="29"/>
  <c r="P229" i="29"/>
  <c r="O229" i="29"/>
  <c r="J228" i="29"/>
  <c r="L228" i="29" s="1"/>
  <c r="C228" i="29"/>
  <c r="S228" i="29" s="1"/>
  <c r="R228" i="29"/>
  <c r="P228" i="29"/>
  <c r="O228" i="29"/>
  <c r="J227" i="29"/>
  <c r="L227" i="29" s="1"/>
  <c r="C227" i="29"/>
  <c r="S227" i="29" s="1"/>
  <c r="R227" i="29"/>
  <c r="P227" i="29"/>
  <c r="O227" i="29"/>
  <c r="J226" i="29"/>
  <c r="L226" i="29" s="1"/>
  <c r="C226" i="29"/>
  <c r="S226" i="29" s="1"/>
  <c r="R226" i="29"/>
  <c r="P226" i="29"/>
  <c r="O226" i="29"/>
  <c r="J225" i="29"/>
  <c r="L225" i="29" s="1"/>
  <c r="C225" i="29"/>
  <c r="S225" i="29"/>
  <c r="R225" i="29"/>
  <c r="P225" i="29"/>
  <c r="O225" i="29"/>
  <c r="J224" i="29"/>
  <c r="L224" i="29" s="1"/>
  <c r="C224" i="29"/>
  <c r="S224" i="29" s="1"/>
  <c r="R224" i="29"/>
  <c r="P224" i="29"/>
  <c r="O224" i="29"/>
  <c r="C223" i="29"/>
  <c r="S223" i="29" s="1"/>
  <c r="R223" i="29"/>
  <c r="P223" i="29"/>
  <c r="O223" i="29"/>
  <c r="J222" i="29"/>
  <c r="L222" i="29" s="1"/>
  <c r="C222" i="29"/>
  <c r="S222" i="29" s="1"/>
  <c r="R222" i="29"/>
  <c r="P222" i="29"/>
  <c r="O222" i="29"/>
  <c r="J221" i="29"/>
  <c r="L221" i="29" s="1"/>
  <c r="Q221" i="29" s="1"/>
  <c r="T221" i="29" s="1"/>
  <c r="C221" i="29"/>
  <c r="S221" i="29" s="1"/>
  <c r="R221" i="29"/>
  <c r="P221" i="29"/>
  <c r="O221" i="29"/>
  <c r="J220" i="29"/>
  <c r="L220" i="29" s="1"/>
  <c r="C220" i="29"/>
  <c r="S220" i="29" s="1"/>
  <c r="R220" i="29"/>
  <c r="P220" i="29"/>
  <c r="O220" i="29"/>
  <c r="J219" i="29"/>
  <c r="L219" i="29" s="1"/>
  <c r="Q219" i="29" s="1"/>
  <c r="C219" i="29"/>
  <c r="S219" i="29" s="1"/>
  <c r="R219" i="29"/>
  <c r="P219" i="29"/>
  <c r="O219" i="29"/>
  <c r="J218" i="29"/>
  <c r="L218" i="29" s="1"/>
  <c r="C218" i="29"/>
  <c r="S218" i="29"/>
  <c r="R218" i="29"/>
  <c r="P218" i="29"/>
  <c r="O218" i="29"/>
  <c r="J217" i="29"/>
  <c r="L217" i="29" s="1"/>
  <c r="Q217" i="29" s="1"/>
  <c r="T217" i="29" s="1"/>
  <c r="C217" i="29"/>
  <c r="S217" i="29" s="1"/>
  <c r="R217" i="29"/>
  <c r="P217" i="29"/>
  <c r="O217" i="29"/>
  <c r="J216" i="29"/>
  <c r="L216" i="29" s="1"/>
  <c r="C216" i="29"/>
  <c r="S216" i="29"/>
  <c r="R216" i="29"/>
  <c r="P216" i="29"/>
  <c r="O216" i="29"/>
  <c r="J215" i="29"/>
  <c r="L215" i="29" s="1"/>
  <c r="Q215" i="29" s="1"/>
  <c r="C215" i="29"/>
  <c r="S215" i="29" s="1"/>
  <c r="R215" i="29"/>
  <c r="P215" i="29"/>
  <c r="O215" i="29"/>
  <c r="J214" i="29"/>
  <c r="L214" i="29" s="1"/>
  <c r="C214" i="29"/>
  <c r="S214" i="29" s="1"/>
  <c r="R214" i="29"/>
  <c r="P214" i="29"/>
  <c r="O214" i="29"/>
  <c r="J213" i="29"/>
  <c r="L213" i="29" s="1"/>
  <c r="C213" i="29"/>
  <c r="S213" i="29" s="1"/>
  <c r="R213" i="29"/>
  <c r="P213" i="29"/>
  <c r="O213" i="29"/>
  <c r="J212" i="29"/>
  <c r="L212" i="29" s="1"/>
  <c r="C212" i="29"/>
  <c r="S212" i="29"/>
  <c r="R212" i="29"/>
  <c r="P212" i="29"/>
  <c r="O212" i="29"/>
  <c r="J211" i="29"/>
  <c r="L211" i="29" s="1"/>
  <c r="Q211" i="29" s="1"/>
  <c r="C211" i="29"/>
  <c r="S211" i="29" s="1"/>
  <c r="R211" i="29"/>
  <c r="P211" i="29"/>
  <c r="O211" i="29"/>
  <c r="J210" i="29"/>
  <c r="L210" i="29" s="1"/>
  <c r="C210" i="29"/>
  <c r="S210" i="29"/>
  <c r="R210" i="29"/>
  <c r="P210" i="29"/>
  <c r="O210" i="29"/>
  <c r="J209" i="29"/>
  <c r="L209" i="29" s="1"/>
  <c r="C209" i="29"/>
  <c r="S209" i="29" s="1"/>
  <c r="R209" i="29"/>
  <c r="P209" i="29"/>
  <c r="O209" i="29"/>
  <c r="J208" i="29"/>
  <c r="L208" i="29" s="1"/>
  <c r="C208" i="29"/>
  <c r="S208" i="29" s="1"/>
  <c r="R208" i="29"/>
  <c r="P208" i="29"/>
  <c r="O208" i="29"/>
  <c r="J207" i="29"/>
  <c r="L207" i="29" s="1"/>
  <c r="Q207" i="29" s="1"/>
  <c r="C207" i="29"/>
  <c r="S207" i="29" s="1"/>
  <c r="R207" i="29"/>
  <c r="P207" i="29"/>
  <c r="O207" i="29"/>
  <c r="J206" i="29"/>
  <c r="L206" i="29" s="1"/>
  <c r="C206" i="29"/>
  <c r="S206" i="29" s="1"/>
  <c r="R206" i="29"/>
  <c r="P206" i="29"/>
  <c r="O206" i="29"/>
  <c r="J205" i="29"/>
  <c r="L205" i="29" s="1"/>
  <c r="C205" i="29"/>
  <c r="S205" i="29" s="1"/>
  <c r="R205" i="29"/>
  <c r="P205" i="29"/>
  <c r="O205" i="29"/>
  <c r="J204" i="29"/>
  <c r="L204" i="29" s="1"/>
  <c r="C204" i="29"/>
  <c r="S204" i="29"/>
  <c r="R204" i="29"/>
  <c r="P204" i="29"/>
  <c r="O204" i="29"/>
  <c r="J203" i="29"/>
  <c r="L203" i="29" s="1"/>
  <c r="Q203" i="29" s="1"/>
  <c r="C203" i="29"/>
  <c r="S203" i="29" s="1"/>
  <c r="R203" i="29"/>
  <c r="P203" i="29"/>
  <c r="O203" i="29"/>
  <c r="J202" i="29"/>
  <c r="L202" i="29" s="1"/>
  <c r="C202" i="29"/>
  <c r="S202" i="29"/>
  <c r="R202" i="29"/>
  <c r="P202" i="29"/>
  <c r="O202" i="29"/>
  <c r="J201" i="29"/>
  <c r="L201" i="29" s="1"/>
  <c r="C201" i="29"/>
  <c r="R201" i="29"/>
  <c r="P201" i="29"/>
  <c r="O201" i="29"/>
  <c r="J200" i="29"/>
  <c r="L200" i="29" s="1"/>
  <c r="C200" i="29"/>
  <c r="S200" i="29" s="1"/>
  <c r="R200" i="29"/>
  <c r="P200" i="29"/>
  <c r="O200" i="29"/>
  <c r="J199" i="29"/>
  <c r="L199" i="29" s="1"/>
  <c r="Q199" i="29" s="1"/>
  <c r="T199" i="29" s="1"/>
  <c r="C199" i="29"/>
  <c r="S199" i="29" s="1"/>
  <c r="R199" i="29"/>
  <c r="P199" i="29"/>
  <c r="O199" i="29"/>
  <c r="J198" i="29"/>
  <c r="L198" i="29" s="1"/>
  <c r="C198" i="29"/>
  <c r="S198" i="29" s="1"/>
  <c r="R198" i="29"/>
  <c r="P198" i="29"/>
  <c r="O198" i="29"/>
  <c r="J197" i="29"/>
  <c r="L197" i="29" s="1"/>
  <c r="Q197" i="29" s="1"/>
  <c r="C197" i="29"/>
  <c r="S197" i="29" s="1"/>
  <c r="R197" i="29"/>
  <c r="P197" i="29"/>
  <c r="O197" i="29"/>
  <c r="J196" i="29"/>
  <c r="L196" i="29" s="1"/>
  <c r="C196" i="29"/>
  <c r="S196" i="29" s="1"/>
  <c r="R196" i="29"/>
  <c r="P196" i="29"/>
  <c r="O196" i="29"/>
  <c r="J195" i="29"/>
  <c r="L195" i="29" s="1"/>
  <c r="Q195" i="29" s="1"/>
  <c r="T195" i="29" s="1"/>
  <c r="C195" i="29"/>
  <c r="S195" i="29" s="1"/>
  <c r="R195" i="29"/>
  <c r="P195" i="29"/>
  <c r="O195" i="29"/>
  <c r="J194" i="29"/>
  <c r="L194" i="29" s="1"/>
  <c r="C194" i="29"/>
  <c r="S194" i="29" s="1"/>
  <c r="R194" i="29"/>
  <c r="P194" i="29"/>
  <c r="O194" i="29"/>
  <c r="J193" i="29"/>
  <c r="L193" i="29" s="1"/>
  <c r="Q193" i="29" s="1"/>
  <c r="C193" i="29"/>
  <c r="S193" i="29" s="1"/>
  <c r="R193" i="29"/>
  <c r="P193" i="29"/>
  <c r="O193" i="29"/>
  <c r="J192" i="29"/>
  <c r="L192" i="29" s="1"/>
  <c r="C192" i="29"/>
  <c r="S192" i="29"/>
  <c r="R192" i="29"/>
  <c r="P192" i="29"/>
  <c r="O192" i="29"/>
  <c r="J191" i="29"/>
  <c r="L191" i="29" s="1"/>
  <c r="Q191" i="29" s="1"/>
  <c r="T191" i="29" s="1"/>
  <c r="C191" i="29"/>
  <c r="S191" i="29" s="1"/>
  <c r="R191" i="29"/>
  <c r="P191" i="29"/>
  <c r="O191" i="29"/>
  <c r="J190" i="29"/>
  <c r="L190" i="29" s="1"/>
  <c r="C190" i="29"/>
  <c r="S190" i="29" s="1"/>
  <c r="R190" i="29"/>
  <c r="P190" i="29"/>
  <c r="O190" i="29"/>
  <c r="J189" i="29"/>
  <c r="L189" i="29" s="1"/>
  <c r="Q189" i="29" s="1"/>
  <c r="C189" i="29"/>
  <c r="S189" i="29" s="1"/>
  <c r="R189" i="29"/>
  <c r="P189" i="29"/>
  <c r="O189" i="29"/>
  <c r="J188" i="29"/>
  <c r="L188" i="29" s="1"/>
  <c r="C188" i="29"/>
  <c r="S188" i="29" s="1"/>
  <c r="R188" i="29"/>
  <c r="P188" i="29"/>
  <c r="O188" i="29"/>
  <c r="J187" i="29"/>
  <c r="L187" i="29" s="1"/>
  <c r="Q187" i="29" s="1"/>
  <c r="T187" i="29" s="1"/>
  <c r="C187" i="29"/>
  <c r="S187" i="29" s="1"/>
  <c r="R187" i="29"/>
  <c r="P187" i="29"/>
  <c r="O187" i="29"/>
  <c r="J186" i="29"/>
  <c r="L186" i="29" s="1"/>
  <c r="C186" i="29"/>
  <c r="S186" i="29"/>
  <c r="R186" i="29"/>
  <c r="P186" i="29"/>
  <c r="O186" i="29"/>
  <c r="J185" i="29"/>
  <c r="L185" i="29" s="1"/>
  <c r="Q185" i="29" s="1"/>
  <c r="C185" i="29"/>
  <c r="S185" i="29" s="1"/>
  <c r="R185" i="29"/>
  <c r="P185" i="29"/>
  <c r="O185" i="29"/>
  <c r="J184" i="29"/>
  <c r="L184" i="29" s="1"/>
  <c r="C184" i="29"/>
  <c r="S184" i="29"/>
  <c r="R184" i="29"/>
  <c r="P184" i="29"/>
  <c r="O184" i="29"/>
  <c r="J183" i="29"/>
  <c r="L183" i="29" s="1"/>
  <c r="Q183" i="29" s="1"/>
  <c r="T183" i="29" s="1"/>
  <c r="C183" i="29"/>
  <c r="S183" i="29" s="1"/>
  <c r="R183" i="29"/>
  <c r="P183" i="29"/>
  <c r="O183" i="29"/>
  <c r="J182" i="29"/>
  <c r="L182" i="29" s="1"/>
  <c r="C182" i="29"/>
  <c r="S182" i="29" s="1"/>
  <c r="R182" i="29"/>
  <c r="P182" i="29"/>
  <c r="O182" i="29"/>
  <c r="J181" i="29"/>
  <c r="L181" i="29" s="1"/>
  <c r="Q181" i="29" s="1"/>
  <c r="C181" i="29"/>
  <c r="S181" i="29" s="1"/>
  <c r="R181" i="29"/>
  <c r="P181" i="29"/>
  <c r="O181" i="29"/>
  <c r="J180" i="29"/>
  <c r="L180" i="29" s="1"/>
  <c r="Q180" i="29" s="1"/>
  <c r="C180" i="29"/>
  <c r="S180" i="29" s="1"/>
  <c r="R180" i="29"/>
  <c r="P180" i="29"/>
  <c r="O180" i="29"/>
  <c r="J179" i="29"/>
  <c r="L179" i="29" s="1"/>
  <c r="Q179" i="29" s="1"/>
  <c r="T179" i="29" s="1"/>
  <c r="C179" i="29"/>
  <c r="S179" i="29" s="1"/>
  <c r="R179" i="29"/>
  <c r="P179" i="29"/>
  <c r="O179" i="29"/>
  <c r="J178" i="29"/>
  <c r="L178" i="29" s="1"/>
  <c r="C178" i="29"/>
  <c r="S178" i="29" s="1"/>
  <c r="R178" i="29"/>
  <c r="P178" i="29"/>
  <c r="O178" i="29"/>
  <c r="J177" i="29"/>
  <c r="L177" i="29" s="1"/>
  <c r="Q177" i="29" s="1"/>
  <c r="C177" i="29"/>
  <c r="S177" i="29" s="1"/>
  <c r="R177" i="29"/>
  <c r="P177" i="29"/>
  <c r="O177" i="29"/>
  <c r="J176" i="29"/>
  <c r="L176" i="29" s="1"/>
  <c r="C176" i="29"/>
  <c r="S176" i="29" s="1"/>
  <c r="R176" i="29"/>
  <c r="P176" i="29"/>
  <c r="O176" i="29"/>
  <c r="J175" i="29"/>
  <c r="L175" i="29" s="1"/>
  <c r="Q175" i="29" s="1"/>
  <c r="T175" i="29" s="1"/>
  <c r="C175" i="29"/>
  <c r="S175" i="29" s="1"/>
  <c r="R175" i="29"/>
  <c r="P175" i="29"/>
  <c r="O175" i="29"/>
  <c r="J174" i="29"/>
  <c r="C174" i="29"/>
  <c r="S174" i="29" s="1"/>
  <c r="R174" i="29"/>
  <c r="P174" i="29"/>
  <c r="O174" i="29"/>
  <c r="J173" i="29"/>
  <c r="L173" i="29" s="1"/>
  <c r="C173" i="29"/>
  <c r="S173" i="29" s="1"/>
  <c r="R173" i="29"/>
  <c r="P173" i="29"/>
  <c r="O173" i="29"/>
  <c r="J172" i="29"/>
  <c r="L172" i="29" s="1"/>
  <c r="C172" i="29"/>
  <c r="S172" i="29" s="1"/>
  <c r="R172" i="29"/>
  <c r="P172" i="29"/>
  <c r="O172" i="29"/>
  <c r="J171" i="29"/>
  <c r="L171" i="29" s="1"/>
  <c r="Q171" i="29" s="1"/>
  <c r="C171" i="29"/>
  <c r="S171" i="29" s="1"/>
  <c r="R171" i="29"/>
  <c r="P171" i="29"/>
  <c r="O171" i="29"/>
  <c r="J170" i="29"/>
  <c r="L170" i="29" s="1"/>
  <c r="C170" i="29"/>
  <c r="S170" i="29" s="1"/>
  <c r="R170" i="29"/>
  <c r="P170" i="29"/>
  <c r="O170" i="29"/>
  <c r="J169" i="29"/>
  <c r="L169" i="29" s="1"/>
  <c r="C169" i="29"/>
  <c r="S169" i="29" s="1"/>
  <c r="R169" i="29"/>
  <c r="P169" i="29"/>
  <c r="O169" i="29"/>
  <c r="J168" i="29"/>
  <c r="L168" i="29" s="1"/>
  <c r="C168" i="29"/>
  <c r="S168" i="29" s="1"/>
  <c r="R168" i="29"/>
  <c r="P168" i="29"/>
  <c r="O168" i="29"/>
  <c r="J167" i="29"/>
  <c r="L167" i="29" s="1"/>
  <c r="C167" i="29"/>
  <c r="S167" i="29" s="1"/>
  <c r="R167" i="29"/>
  <c r="P167" i="29"/>
  <c r="O167" i="29"/>
  <c r="J166" i="29"/>
  <c r="L166" i="29" s="1"/>
  <c r="C166" i="29"/>
  <c r="S166" i="29"/>
  <c r="R166" i="29"/>
  <c r="P166" i="29"/>
  <c r="O166" i="29"/>
  <c r="J165" i="29"/>
  <c r="L165" i="29" s="1"/>
  <c r="C165" i="29"/>
  <c r="S165" i="29" s="1"/>
  <c r="R165" i="29"/>
  <c r="P165" i="29"/>
  <c r="O165" i="29"/>
  <c r="J164" i="29"/>
  <c r="L164" i="29" s="1"/>
  <c r="C164" i="29"/>
  <c r="R164" i="29"/>
  <c r="P164" i="29"/>
  <c r="O164" i="29"/>
  <c r="J163" i="29"/>
  <c r="C163" i="29"/>
  <c r="S163" i="29" s="1"/>
  <c r="R163" i="29"/>
  <c r="P163" i="29"/>
  <c r="O163" i="29"/>
  <c r="J162" i="29"/>
  <c r="L162" i="29" s="1"/>
  <c r="C162" i="29"/>
  <c r="S162" i="29" s="1"/>
  <c r="R162" i="29"/>
  <c r="P162" i="29"/>
  <c r="O162" i="29"/>
  <c r="J161" i="29"/>
  <c r="L161" i="29" s="1"/>
  <c r="Q161" i="29" s="1"/>
  <c r="T161" i="29" s="1"/>
  <c r="C161" i="29"/>
  <c r="S161" i="29" s="1"/>
  <c r="R161" i="29"/>
  <c r="P161" i="29"/>
  <c r="O161" i="29"/>
  <c r="J160" i="29"/>
  <c r="L160" i="29" s="1"/>
  <c r="C160" i="29"/>
  <c r="S160" i="29" s="1"/>
  <c r="R160" i="29"/>
  <c r="P160" i="29"/>
  <c r="O160" i="29"/>
  <c r="J159" i="29"/>
  <c r="L159" i="29" s="1"/>
  <c r="Q159" i="29" s="1"/>
  <c r="C159" i="29"/>
  <c r="S159" i="29" s="1"/>
  <c r="R159" i="29"/>
  <c r="P159" i="29"/>
  <c r="O159" i="29"/>
  <c r="J158" i="29"/>
  <c r="L158" i="29" s="1"/>
  <c r="C158" i="29"/>
  <c r="S158" i="29"/>
  <c r="R158" i="29"/>
  <c r="P158" i="29"/>
  <c r="O158" i="29"/>
  <c r="J157" i="29"/>
  <c r="L157" i="29" s="1"/>
  <c r="Q157" i="29" s="1"/>
  <c r="T157" i="29" s="1"/>
  <c r="C157" i="29"/>
  <c r="S157" i="29" s="1"/>
  <c r="R157" i="29"/>
  <c r="P157" i="29"/>
  <c r="O157" i="29"/>
  <c r="J156" i="29"/>
  <c r="L156" i="29" s="1"/>
  <c r="C156" i="29"/>
  <c r="S156" i="29" s="1"/>
  <c r="R156" i="29"/>
  <c r="P156" i="29"/>
  <c r="O156" i="29"/>
  <c r="J155" i="29"/>
  <c r="C155" i="29"/>
  <c r="S155" i="29" s="1"/>
  <c r="R155" i="29"/>
  <c r="P155" i="29"/>
  <c r="O155" i="29"/>
  <c r="J154" i="29"/>
  <c r="L154" i="29" s="1"/>
  <c r="C154" i="29"/>
  <c r="S154" i="29" s="1"/>
  <c r="R154" i="29"/>
  <c r="P154" i="29"/>
  <c r="O154" i="29"/>
  <c r="J153" i="29"/>
  <c r="L153" i="29" s="1"/>
  <c r="Q153" i="29" s="1"/>
  <c r="T153" i="29" s="1"/>
  <c r="C153" i="29"/>
  <c r="S153" i="29" s="1"/>
  <c r="R153" i="29"/>
  <c r="P153" i="29"/>
  <c r="O153" i="29"/>
  <c r="J152" i="29"/>
  <c r="L152" i="29" s="1"/>
  <c r="C152" i="29"/>
  <c r="S152" i="29" s="1"/>
  <c r="R152" i="29"/>
  <c r="P152" i="29"/>
  <c r="O152" i="29"/>
  <c r="J151" i="29"/>
  <c r="C151" i="29"/>
  <c r="S151" i="29" s="1"/>
  <c r="R151" i="29"/>
  <c r="P151" i="29"/>
  <c r="O151" i="29"/>
  <c r="J150" i="29"/>
  <c r="L150" i="29" s="1"/>
  <c r="C150" i="29"/>
  <c r="S150" i="29" s="1"/>
  <c r="R150" i="29"/>
  <c r="P150" i="29"/>
  <c r="O150" i="29"/>
  <c r="J149" i="29"/>
  <c r="L149" i="29" s="1"/>
  <c r="Q149" i="29" s="1"/>
  <c r="T149" i="29" s="1"/>
  <c r="C149" i="29"/>
  <c r="S149" i="29" s="1"/>
  <c r="R149" i="29"/>
  <c r="P149" i="29"/>
  <c r="O149" i="29"/>
  <c r="J148" i="29"/>
  <c r="L148" i="29" s="1"/>
  <c r="C148" i="29"/>
  <c r="R148" i="29"/>
  <c r="P148" i="29"/>
  <c r="O148" i="29"/>
  <c r="J147" i="29"/>
  <c r="L147" i="29" s="1"/>
  <c r="C147" i="29"/>
  <c r="S147" i="29" s="1"/>
  <c r="R147" i="29"/>
  <c r="P147" i="29"/>
  <c r="O147" i="29"/>
  <c r="J146" i="29"/>
  <c r="L146" i="29" s="1"/>
  <c r="Q146" i="29" s="1"/>
  <c r="C146" i="29"/>
  <c r="S146" i="29" s="1"/>
  <c r="R146" i="29"/>
  <c r="P146" i="29"/>
  <c r="O146" i="29"/>
  <c r="J145" i="29"/>
  <c r="L145" i="29" s="1"/>
  <c r="C145" i="29"/>
  <c r="S145" i="29" s="1"/>
  <c r="R145" i="29"/>
  <c r="P145" i="29"/>
  <c r="O145" i="29"/>
  <c r="J144" i="29"/>
  <c r="L144" i="29" s="1"/>
  <c r="C144" i="29"/>
  <c r="S144" i="29" s="1"/>
  <c r="R144" i="29"/>
  <c r="P144" i="29"/>
  <c r="O144" i="29"/>
  <c r="J143" i="29"/>
  <c r="L143" i="29" s="1"/>
  <c r="C143" i="29"/>
  <c r="S143" i="29" s="1"/>
  <c r="R143" i="29"/>
  <c r="P143" i="29"/>
  <c r="O143" i="29"/>
  <c r="J142" i="29"/>
  <c r="C142" i="29"/>
  <c r="S142" i="29" s="1"/>
  <c r="R142" i="29"/>
  <c r="P142" i="29"/>
  <c r="O142" i="29"/>
  <c r="J141" i="29"/>
  <c r="L141" i="29" s="1"/>
  <c r="C141" i="29"/>
  <c r="S141" i="29" s="1"/>
  <c r="R141" i="29"/>
  <c r="P141" i="29"/>
  <c r="O141" i="29"/>
  <c r="J140" i="29"/>
  <c r="L140" i="29" s="1"/>
  <c r="C140" i="29"/>
  <c r="S140" i="29" s="1"/>
  <c r="R140" i="29"/>
  <c r="P140" i="29"/>
  <c r="O140" i="29"/>
  <c r="J139" i="29"/>
  <c r="L139" i="29" s="1"/>
  <c r="C139" i="29"/>
  <c r="S139" i="29" s="1"/>
  <c r="R139" i="29"/>
  <c r="P139" i="29"/>
  <c r="O139" i="29"/>
  <c r="J138" i="29"/>
  <c r="C138" i="29"/>
  <c r="S138" i="29" s="1"/>
  <c r="R138" i="29"/>
  <c r="P138" i="29"/>
  <c r="O138" i="29"/>
  <c r="J137" i="29"/>
  <c r="L137" i="29" s="1"/>
  <c r="C137" i="29"/>
  <c r="S137" i="29" s="1"/>
  <c r="R137" i="29"/>
  <c r="P137" i="29"/>
  <c r="O137" i="29"/>
  <c r="J136" i="29"/>
  <c r="L136" i="29" s="1"/>
  <c r="C136" i="29"/>
  <c r="S136" i="29" s="1"/>
  <c r="R136" i="29"/>
  <c r="P136" i="29"/>
  <c r="O136" i="29"/>
  <c r="J135" i="29"/>
  <c r="L135" i="29" s="1"/>
  <c r="Q135" i="29" s="1"/>
  <c r="C135" i="29"/>
  <c r="S135" i="29" s="1"/>
  <c r="R135" i="29"/>
  <c r="P135" i="29"/>
  <c r="O135" i="29"/>
  <c r="J134" i="29"/>
  <c r="L134" i="29" s="1"/>
  <c r="C134" i="29"/>
  <c r="S134" i="29"/>
  <c r="R134" i="29"/>
  <c r="P134" i="29"/>
  <c r="O134" i="29"/>
  <c r="J133" i="29"/>
  <c r="L133" i="29" s="1"/>
  <c r="Q133" i="29" s="1"/>
  <c r="C133" i="29"/>
  <c r="S133" i="29" s="1"/>
  <c r="R133" i="29"/>
  <c r="P133" i="29"/>
  <c r="O133" i="29"/>
  <c r="J132" i="29"/>
  <c r="L132" i="29" s="1"/>
  <c r="C132" i="29"/>
  <c r="S132" i="29" s="1"/>
  <c r="R132" i="29"/>
  <c r="P132" i="29"/>
  <c r="O132" i="29"/>
  <c r="J131" i="29"/>
  <c r="L131" i="29" s="1"/>
  <c r="Q131" i="29" s="1"/>
  <c r="C131" i="29"/>
  <c r="S131" i="29" s="1"/>
  <c r="R131" i="29"/>
  <c r="P131" i="29"/>
  <c r="O131" i="29"/>
  <c r="J130" i="29"/>
  <c r="L130" i="29" s="1"/>
  <c r="C130" i="29"/>
  <c r="S130" i="29" s="1"/>
  <c r="R130" i="29"/>
  <c r="P130" i="29"/>
  <c r="O130" i="29"/>
  <c r="J129" i="29"/>
  <c r="L129" i="29" s="1"/>
  <c r="Q129" i="29" s="1"/>
  <c r="C129" i="29"/>
  <c r="S129" i="29" s="1"/>
  <c r="R129" i="29"/>
  <c r="P129" i="29"/>
  <c r="O129" i="29"/>
  <c r="J128" i="29"/>
  <c r="L128" i="29" s="1"/>
  <c r="C128" i="29"/>
  <c r="S128" i="29" s="1"/>
  <c r="R128" i="29"/>
  <c r="P128" i="29"/>
  <c r="O128" i="29"/>
  <c r="J127" i="29"/>
  <c r="L127" i="29" s="1"/>
  <c r="Q127" i="29" s="1"/>
  <c r="C127" i="29"/>
  <c r="S127" i="29" s="1"/>
  <c r="R127" i="29"/>
  <c r="P127" i="29"/>
  <c r="O127" i="29"/>
  <c r="J126" i="29"/>
  <c r="L126" i="29" s="1"/>
  <c r="C126" i="29"/>
  <c r="S126" i="29"/>
  <c r="R126" i="29"/>
  <c r="P126" i="29"/>
  <c r="O126" i="29"/>
  <c r="J125" i="29"/>
  <c r="L125" i="29" s="1"/>
  <c r="Q125" i="29" s="1"/>
  <c r="C125" i="29"/>
  <c r="S125" i="29" s="1"/>
  <c r="R125" i="29"/>
  <c r="P125" i="29"/>
  <c r="O125" i="29"/>
  <c r="J124" i="29"/>
  <c r="L124" i="29" s="1"/>
  <c r="C124" i="29"/>
  <c r="S124" i="29" s="1"/>
  <c r="R124" i="29"/>
  <c r="P124" i="29"/>
  <c r="O124" i="29"/>
  <c r="J123" i="29"/>
  <c r="L123" i="29" s="1"/>
  <c r="Q123" i="29" s="1"/>
  <c r="C123" i="29"/>
  <c r="S123" i="29" s="1"/>
  <c r="R123" i="29"/>
  <c r="P123" i="29"/>
  <c r="O123" i="29"/>
  <c r="J122" i="29"/>
  <c r="L122" i="29" s="1"/>
  <c r="C122" i="29"/>
  <c r="S122" i="29" s="1"/>
  <c r="R122" i="29"/>
  <c r="P122" i="29"/>
  <c r="O122" i="29"/>
  <c r="J121" i="29"/>
  <c r="L121" i="29" s="1"/>
  <c r="C121" i="29"/>
  <c r="S121" i="29" s="1"/>
  <c r="R121" i="29"/>
  <c r="P121" i="29"/>
  <c r="O121" i="29"/>
  <c r="J120" i="29"/>
  <c r="L120" i="29" s="1"/>
  <c r="C120" i="29"/>
  <c r="S120" i="29"/>
  <c r="R120" i="29"/>
  <c r="P120" i="29"/>
  <c r="O120" i="29"/>
  <c r="J119" i="29"/>
  <c r="L119" i="29" s="1"/>
  <c r="Q119" i="29" s="1"/>
  <c r="C119" i="29"/>
  <c r="S119" i="29" s="1"/>
  <c r="R119" i="29"/>
  <c r="P119" i="29"/>
  <c r="O119" i="29"/>
  <c r="J118" i="29"/>
  <c r="L118" i="29" s="1"/>
  <c r="C118" i="29"/>
  <c r="S118" i="29" s="1"/>
  <c r="R118" i="29"/>
  <c r="P118" i="29"/>
  <c r="O118" i="29"/>
  <c r="J117" i="29"/>
  <c r="L117" i="29" s="1"/>
  <c r="C117" i="29"/>
  <c r="S117" i="29" s="1"/>
  <c r="R117" i="29"/>
  <c r="P117" i="29"/>
  <c r="O117" i="29"/>
  <c r="J116" i="29"/>
  <c r="L116" i="29" s="1"/>
  <c r="C116" i="29"/>
  <c r="S116" i="29" s="1"/>
  <c r="R116" i="29"/>
  <c r="P116" i="29"/>
  <c r="O116" i="29"/>
  <c r="J115" i="29"/>
  <c r="L115" i="29" s="1"/>
  <c r="C115" i="29"/>
  <c r="S115" i="29" s="1"/>
  <c r="R115" i="29"/>
  <c r="P115" i="29"/>
  <c r="O115" i="29"/>
  <c r="J114" i="29"/>
  <c r="L114" i="29" s="1"/>
  <c r="C114" i="29"/>
  <c r="S114" i="29" s="1"/>
  <c r="R114" i="29"/>
  <c r="P114" i="29"/>
  <c r="O114" i="29"/>
  <c r="J113" i="29"/>
  <c r="L113" i="29" s="1"/>
  <c r="C113" i="29"/>
  <c r="S113" i="29" s="1"/>
  <c r="R113" i="29"/>
  <c r="P113" i="29"/>
  <c r="O113" i="29"/>
  <c r="J112" i="29"/>
  <c r="L112" i="29" s="1"/>
  <c r="C112" i="29"/>
  <c r="S112" i="29" s="1"/>
  <c r="R112" i="29"/>
  <c r="P112" i="29"/>
  <c r="O112" i="29"/>
  <c r="J111" i="29"/>
  <c r="L111" i="29" s="1"/>
  <c r="C111" i="29"/>
  <c r="S111" i="29" s="1"/>
  <c r="R111" i="29"/>
  <c r="P111" i="29"/>
  <c r="O111" i="29"/>
  <c r="J110" i="29"/>
  <c r="L110" i="29" s="1"/>
  <c r="Q110" i="29" s="1"/>
  <c r="C110" i="29"/>
  <c r="S110" i="29" s="1"/>
  <c r="R110" i="29"/>
  <c r="P110" i="29"/>
  <c r="O110" i="29"/>
  <c r="J109" i="29"/>
  <c r="L109" i="29" s="1"/>
  <c r="C109" i="29"/>
  <c r="S109" i="29" s="1"/>
  <c r="R109" i="29"/>
  <c r="P109" i="29"/>
  <c r="O109" i="29"/>
  <c r="J108" i="29"/>
  <c r="L108" i="29" s="1"/>
  <c r="C108" i="29"/>
  <c r="S108" i="29" s="1"/>
  <c r="R108" i="29"/>
  <c r="P108" i="29"/>
  <c r="O108" i="29"/>
  <c r="J107" i="29"/>
  <c r="L107" i="29" s="1"/>
  <c r="C107" i="29"/>
  <c r="S107" i="29" s="1"/>
  <c r="R107" i="29"/>
  <c r="P107" i="29"/>
  <c r="O107" i="29"/>
  <c r="J106" i="29"/>
  <c r="L106" i="29" s="1"/>
  <c r="Q106" i="29" s="1"/>
  <c r="C106" i="29"/>
  <c r="S106" i="29" s="1"/>
  <c r="R106" i="29"/>
  <c r="P106" i="29"/>
  <c r="O106" i="29"/>
  <c r="J105" i="29"/>
  <c r="L105" i="29" s="1"/>
  <c r="C105" i="29"/>
  <c r="S105" i="29" s="1"/>
  <c r="R105" i="29"/>
  <c r="P105" i="29"/>
  <c r="O105" i="29"/>
  <c r="J104" i="29"/>
  <c r="L104" i="29" s="1"/>
  <c r="C104" i="29"/>
  <c r="S104" i="29" s="1"/>
  <c r="R104" i="29"/>
  <c r="P104" i="29"/>
  <c r="O104" i="29"/>
  <c r="J98" i="29"/>
  <c r="C98" i="29"/>
  <c r="S98" i="29" s="1"/>
  <c r="R98" i="29"/>
  <c r="P98" i="29"/>
  <c r="O98" i="29"/>
  <c r="J97" i="29"/>
  <c r="L97" i="29" s="1"/>
  <c r="C97" i="29"/>
  <c r="S97" i="29"/>
  <c r="R97" i="29"/>
  <c r="P97" i="29"/>
  <c r="O97" i="29"/>
  <c r="J96" i="29"/>
  <c r="L96" i="29" s="1"/>
  <c r="C96" i="29"/>
  <c r="S96" i="29" s="1"/>
  <c r="R96" i="29"/>
  <c r="P96" i="29"/>
  <c r="O96" i="29"/>
  <c r="J95" i="29"/>
  <c r="L95" i="29" s="1"/>
  <c r="C95" i="29"/>
  <c r="S95" i="29" s="1"/>
  <c r="R95" i="29"/>
  <c r="P95" i="29"/>
  <c r="O95" i="29"/>
  <c r="J94" i="29"/>
  <c r="C94" i="29"/>
  <c r="S94" i="29" s="1"/>
  <c r="R94" i="29"/>
  <c r="P94" i="29"/>
  <c r="O94" i="29"/>
  <c r="J93" i="29"/>
  <c r="L93" i="29" s="1"/>
  <c r="C93" i="29"/>
  <c r="S93" i="29" s="1"/>
  <c r="R93" i="29"/>
  <c r="P93" i="29"/>
  <c r="O93" i="29"/>
  <c r="J92" i="29"/>
  <c r="L92" i="29" s="1"/>
  <c r="C92" i="29"/>
  <c r="S92" i="29" s="1"/>
  <c r="R92" i="29"/>
  <c r="P92" i="29"/>
  <c r="O92" i="29"/>
  <c r="J91" i="29"/>
  <c r="L91" i="29" s="1"/>
  <c r="C91" i="29"/>
  <c r="S91" i="29" s="1"/>
  <c r="R91" i="29"/>
  <c r="P91" i="29"/>
  <c r="O91" i="29"/>
  <c r="J90" i="29"/>
  <c r="C90" i="29"/>
  <c r="S90" i="29" s="1"/>
  <c r="R90" i="29"/>
  <c r="P90" i="29"/>
  <c r="O90" i="29"/>
  <c r="J89" i="29"/>
  <c r="L89" i="29" s="1"/>
  <c r="C89" i="29"/>
  <c r="S89" i="29"/>
  <c r="R89" i="29"/>
  <c r="P89" i="29"/>
  <c r="O89" i="29"/>
  <c r="J88" i="29"/>
  <c r="L88" i="29" s="1"/>
  <c r="C88" i="29"/>
  <c r="S88" i="29" s="1"/>
  <c r="R88" i="29"/>
  <c r="P88" i="29"/>
  <c r="O88" i="29"/>
  <c r="J87" i="29"/>
  <c r="L87" i="29" s="1"/>
  <c r="C87" i="29"/>
  <c r="S87" i="29" s="1"/>
  <c r="R87" i="29"/>
  <c r="P87" i="29"/>
  <c r="O87" i="29"/>
  <c r="J86" i="29"/>
  <c r="C86" i="29"/>
  <c r="S86" i="29" s="1"/>
  <c r="R86" i="29"/>
  <c r="P86" i="29"/>
  <c r="O86" i="29"/>
  <c r="J85" i="29"/>
  <c r="L85" i="29" s="1"/>
  <c r="C85" i="29"/>
  <c r="S85" i="29" s="1"/>
  <c r="R85" i="29"/>
  <c r="P85" i="29"/>
  <c r="O85" i="29"/>
  <c r="J84" i="29"/>
  <c r="L84" i="29" s="1"/>
  <c r="C84" i="29"/>
  <c r="S84" i="29" s="1"/>
  <c r="R84" i="29"/>
  <c r="P84" i="29"/>
  <c r="O84" i="29"/>
  <c r="J83" i="29"/>
  <c r="L83" i="29" s="1"/>
  <c r="C83" i="29"/>
  <c r="S83" i="29"/>
  <c r="R83" i="29"/>
  <c r="P83" i="29"/>
  <c r="O83" i="29"/>
  <c r="J82" i="29"/>
  <c r="C82" i="29"/>
  <c r="S82" i="29" s="1"/>
  <c r="R82" i="29"/>
  <c r="P82" i="29"/>
  <c r="O82" i="29"/>
  <c r="J81" i="29"/>
  <c r="L81" i="29" s="1"/>
  <c r="C81" i="29"/>
  <c r="S81" i="29" s="1"/>
  <c r="R81" i="29"/>
  <c r="P81" i="29"/>
  <c r="O81" i="29"/>
  <c r="J80" i="29"/>
  <c r="L80" i="29" s="1"/>
  <c r="C80" i="29"/>
  <c r="S80" i="29" s="1"/>
  <c r="R80" i="29"/>
  <c r="P80" i="29"/>
  <c r="O80" i="29"/>
  <c r="J79" i="29"/>
  <c r="L79" i="29" s="1"/>
  <c r="C79" i="29"/>
  <c r="S79" i="29" s="1"/>
  <c r="R79" i="29"/>
  <c r="P79" i="29"/>
  <c r="O79" i="29"/>
  <c r="J78" i="29"/>
  <c r="C78" i="29"/>
  <c r="S78" i="29" s="1"/>
  <c r="R78" i="29"/>
  <c r="P78" i="29"/>
  <c r="O78" i="29"/>
  <c r="J77" i="29"/>
  <c r="L77" i="29" s="1"/>
  <c r="C77" i="29"/>
  <c r="S77" i="29"/>
  <c r="R77" i="29"/>
  <c r="P77" i="29"/>
  <c r="O77" i="29"/>
  <c r="J76" i="29"/>
  <c r="L76" i="29" s="1"/>
  <c r="C76" i="29"/>
  <c r="S76" i="29" s="1"/>
  <c r="R76" i="29"/>
  <c r="H76" i="29"/>
  <c r="P76" i="29" s="1"/>
  <c r="O76" i="29"/>
  <c r="J75" i="29"/>
  <c r="L75" i="29" s="1"/>
  <c r="C75" i="29"/>
  <c r="S75" i="29" s="1"/>
  <c r="R75" i="29"/>
  <c r="H75" i="29"/>
  <c r="P75" i="29" s="1"/>
  <c r="O75" i="29"/>
  <c r="J74" i="29"/>
  <c r="L74" i="29" s="1"/>
  <c r="C74" i="29"/>
  <c r="S74" i="29" s="1"/>
  <c r="R74" i="29"/>
  <c r="H74" i="29"/>
  <c r="P74" i="29" s="1"/>
  <c r="O74" i="29"/>
  <c r="J73" i="29"/>
  <c r="C73" i="29"/>
  <c r="S73" i="29" s="1"/>
  <c r="R73" i="29"/>
  <c r="H73" i="29"/>
  <c r="P73" i="29" s="1"/>
  <c r="O73" i="29"/>
  <c r="J72" i="29"/>
  <c r="L72" i="29" s="1"/>
  <c r="C72" i="29"/>
  <c r="S72" i="29" s="1"/>
  <c r="R72" i="29"/>
  <c r="H72" i="29"/>
  <c r="P72" i="29" s="1"/>
  <c r="O72" i="29"/>
  <c r="J71" i="29"/>
  <c r="L71" i="29" s="1"/>
  <c r="N71" i="29" s="1"/>
  <c r="C71" i="29"/>
  <c r="S71" i="29" s="1"/>
  <c r="R71" i="29"/>
  <c r="H71" i="29"/>
  <c r="P71" i="29" s="1"/>
  <c r="O71" i="29"/>
  <c r="J70" i="29"/>
  <c r="L70" i="29" s="1"/>
  <c r="C70" i="29"/>
  <c r="S70" i="29" s="1"/>
  <c r="R70" i="29"/>
  <c r="H70" i="29"/>
  <c r="P70" i="29" s="1"/>
  <c r="O70" i="29"/>
  <c r="J69" i="29"/>
  <c r="C69" i="29"/>
  <c r="S69" i="29" s="1"/>
  <c r="R69" i="29"/>
  <c r="H69" i="29"/>
  <c r="P69" i="29" s="1"/>
  <c r="O69" i="29"/>
  <c r="J68" i="29"/>
  <c r="L68" i="29" s="1"/>
  <c r="C68" i="29"/>
  <c r="S68" i="29" s="1"/>
  <c r="R68" i="29"/>
  <c r="H68" i="29"/>
  <c r="P68" i="29" s="1"/>
  <c r="O68" i="29"/>
  <c r="J67" i="29"/>
  <c r="L67" i="29" s="1"/>
  <c r="Q67" i="29" s="1"/>
  <c r="C67" i="29"/>
  <c r="S67" i="29" s="1"/>
  <c r="R67" i="29"/>
  <c r="H67" i="29"/>
  <c r="P67" i="29" s="1"/>
  <c r="O67" i="29"/>
  <c r="J66" i="29"/>
  <c r="L66" i="29" s="1"/>
  <c r="C66" i="29"/>
  <c r="S66" i="29" s="1"/>
  <c r="R66" i="29"/>
  <c r="H66" i="29"/>
  <c r="P66" i="29" s="1"/>
  <c r="O66" i="29"/>
  <c r="J65" i="29"/>
  <c r="C65" i="29"/>
  <c r="S65" i="29"/>
  <c r="R65" i="29"/>
  <c r="H65" i="29"/>
  <c r="P65" i="29" s="1"/>
  <c r="O65" i="29"/>
  <c r="J64" i="29"/>
  <c r="L64" i="29" s="1"/>
  <c r="C64" i="29"/>
  <c r="S64" i="29" s="1"/>
  <c r="R64" i="29"/>
  <c r="H64" i="29"/>
  <c r="P64" i="29" s="1"/>
  <c r="O64" i="29"/>
  <c r="J63" i="29"/>
  <c r="L63" i="29" s="1"/>
  <c r="Q63" i="29" s="1"/>
  <c r="C63" i="29"/>
  <c r="S63" i="29" s="1"/>
  <c r="R63" i="29"/>
  <c r="H63" i="29"/>
  <c r="P63" i="29" s="1"/>
  <c r="O63" i="29"/>
  <c r="J62" i="29"/>
  <c r="L62" i="29" s="1"/>
  <c r="C62" i="29"/>
  <c r="S62" i="29" s="1"/>
  <c r="R62" i="29"/>
  <c r="H62" i="29"/>
  <c r="P62" i="29" s="1"/>
  <c r="O62" i="29"/>
  <c r="J61" i="29"/>
  <c r="C61" i="29"/>
  <c r="S61" i="29" s="1"/>
  <c r="R61" i="29"/>
  <c r="H61" i="29"/>
  <c r="P61" i="29" s="1"/>
  <c r="O61" i="29"/>
  <c r="J60" i="29"/>
  <c r="C60" i="29"/>
  <c r="S60" i="29" s="1"/>
  <c r="R60" i="29"/>
  <c r="H60" i="29"/>
  <c r="P60" i="29" s="1"/>
  <c r="O60" i="29"/>
  <c r="J59" i="29"/>
  <c r="L59" i="29" s="1"/>
  <c r="C59" i="29"/>
  <c r="S59" i="29"/>
  <c r="R59" i="29"/>
  <c r="H59" i="29"/>
  <c r="P59" i="29" s="1"/>
  <c r="O59" i="29"/>
  <c r="J58" i="29"/>
  <c r="L58" i="29" s="1"/>
  <c r="C58" i="29"/>
  <c r="S58" i="29" s="1"/>
  <c r="R58" i="29"/>
  <c r="H58" i="29"/>
  <c r="P58" i="29" s="1"/>
  <c r="O58" i="29"/>
  <c r="J57" i="29"/>
  <c r="L57" i="29" s="1"/>
  <c r="Q57" i="29" s="1"/>
  <c r="C57" i="29"/>
  <c r="S57" i="29" s="1"/>
  <c r="R57" i="29"/>
  <c r="H57" i="29"/>
  <c r="P57" i="29" s="1"/>
  <c r="O57" i="29"/>
  <c r="J56" i="29"/>
  <c r="L56" i="29" s="1"/>
  <c r="C56" i="29"/>
  <c r="S56" i="29" s="1"/>
  <c r="R56" i="29"/>
  <c r="H56" i="29"/>
  <c r="P56" i="29" s="1"/>
  <c r="O56" i="29"/>
  <c r="J55" i="29"/>
  <c r="L55" i="29" s="1"/>
  <c r="C55" i="29"/>
  <c r="S55" i="29" s="1"/>
  <c r="R55" i="29"/>
  <c r="H55" i="29"/>
  <c r="P55" i="29" s="1"/>
  <c r="O55" i="29"/>
  <c r="J54" i="29"/>
  <c r="L54" i="29" s="1"/>
  <c r="C54" i="29"/>
  <c r="S54" i="29" s="1"/>
  <c r="R54" i="29"/>
  <c r="H54" i="29"/>
  <c r="P54" i="29" s="1"/>
  <c r="O54" i="29"/>
  <c r="J53" i="29"/>
  <c r="L53" i="29" s="1"/>
  <c r="Q53" i="29" s="1"/>
  <c r="C53" i="29"/>
  <c r="S53" i="29"/>
  <c r="R53" i="29"/>
  <c r="H53" i="29"/>
  <c r="P53" i="29" s="1"/>
  <c r="O53" i="29"/>
  <c r="J52" i="29"/>
  <c r="L52" i="29" s="1"/>
  <c r="C52" i="29"/>
  <c r="S52" i="29" s="1"/>
  <c r="R52" i="29"/>
  <c r="H52" i="29"/>
  <c r="P52" i="29" s="1"/>
  <c r="O52" i="29"/>
  <c r="J51" i="29"/>
  <c r="L51" i="29" s="1"/>
  <c r="C51" i="29"/>
  <c r="S51" i="29" s="1"/>
  <c r="R51" i="29"/>
  <c r="H51" i="29"/>
  <c r="P51" i="29" s="1"/>
  <c r="O51" i="29"/>
  <c r="J50" i="29"/>
  <c r="L50" i="29" s="1"/>
  <c r="C50" i="29"/>
  <c r="S50" i="29" s="1"/>
  <c r="R50" i="29"/>
  <c r="H50" i="29"/>
  <c r="P50" i="29" s="1"/>
  <c r="O50" i="29"/>
  <c r="J49" i="29"/>
  <c r="L49" i="29" s="1"/>
  <c r="Q49" i="29" s="1"/>
  <c r="C49" i="29"/>
  <c r="S49" i="29" s="1"/>
  <c r="R49" i="29"/>
  <c r="H49" i="29"/>
  <c r="P49" i="29" s="1"/>
  <c r="O49" i="29"/>
  <c r="J48" i="29"/>
  <c r="L48" i="29" s="1"/>
  <c r="C48" i="29"/>
  <c r="S48" i="29" s="1"/>
  <c r="R48" i="29"/>
  <c r="H48" i="29"/>
  <c r="P48" i="29" s="1"/>
  <c r="O48" i="29"/>
  <c r="J47" i="29"/>
  <c r="L47" i="29" s="1"/>
  <c r="C47" i="29"/>
  <c r="R47" i="29"/>
  <c r="H47" i="29"/>
  <c r="P47" i="29" s="1"/>
  <c r="O47" i="29"/>
  <c r="J46" i="29"/>
  <c r="L46" i="29" s="1"/>
  <c r="C46" i="29"/>
  <c r="S46" i="29" s="1"/>
  <c r="R46" i="29"/>
  <c r="H46" i="29"/>
  <c r="P46" i="29" s="1"/>
  <c r="O46" i="29"/>
  <c r="J45" i="29"/>
  <c r="L45" i="29" s="1"/>
  <c r="C45" i="29"/>
  <c r="S45" i="29" s="1"/>
  <c r="R45" i="29"/>
  <c r="H45" i="29"/>
  <c r="P45" i="29" s="1"/>
  <c r="O45" i="29"/>
  <c r="L44" i="29"/>
  <c r="C44" i="29"/>
  <c r="S44" i="29" s="1"/>
  <c r="R44" i="29"/>
  <c r="H44" i="29"/>
  <c r="P44" i="29" s="1"/>
  <c r="O44" i="29"/>
  <c r="J43" i="29"/>
  <c r="L43" i="29" s="1"/>
  <c r="Q43" i="29" s="1"/>
  <c r="C43" i="29"/>
  <c r="S43" i="29" s="1"/>
  <c r="R43" i="29"/>
  <c r="H43" i="29"/>
  <c r="P43" i="29" s="1"/>
  <c r="O43" i="29"/>
  <c r="J42" i="29"/>
  <c r="C42" i="29"/>
  <c r="R42" i="29"/>
  <c r="H42" i="29"/>
  <c r="P42" i="29" s="1"/>
  <c r="O42" i="29"/>
  <c r="J41" i="29"/>
  <c r="L41" i="29" s="1"/>
  <c r="C41" i="29"/>
  <c r="S41" i="29" s="1"/>
  <c r="R41" i="29"/>
  <c r="H41" i="29"/>
  <c r="P41" i="29" s="1"/>
  <c r="O41" i="29"/>
  <c r="C40" i="29"/>
  <c r="S40" i="29" s="1"/>
  <c r="R40" i="29"/>
  <c r="H40" i="29"/>
  <c r="P40" i="29" s="1"/>
  <c r="O40" i="29"/>
  <c r="J39" i="29"/>
  <c r="L39" i="29" s="1"/>
  <c r="C39" i="29"/>
  <c r="S39" i="29" s="1"/>
  <c r="R39" i="29"/>
  <c r="H39" i="29"/>
  <c r="P39" i="29" s="1"/>
  <c r="O39" i="29"/>
  <c r="J38" i="29"/>
  <c r="L38" i="29" s="1"/>
  <c r="C38" i="29"/>
  <c r="S38" i="29" s="1"/>
  <c r="R38" i="29"/>
  <c r="H38" i="29"/>
  <c r="P38" i="29" s="1"/>
  <c r="O38" i="29"/>
  <c r="J37" i="29"/>
  <c r="L37" i="29" s="1"/>
  <c r="Q37" i="29" s="1"/>
  <c r="C37" i="29"/>
  <c r="S37" i="29" s="1"/>
  <c r="R37" i="29"/>
  <c r="H37" i="29"/>
  <c r="P37" i="29" s="1"/>
  <c r="O37" i="29"/>
  <c r="J36" i="29"/>
  <c r="L36" i="29" s="1"/>
  <c r="C36" i="29"/>
  <c r="S36" i="29" s="1"/>
  <c r="R36" i="29"/>
  <c r="H36" i="29"/>
  <c r="P36" i="29" s="1"/>
  <c r="O36" i="29"/>
  <c r="J35" i="29"/>
  <c r="L35" i="29" s="1"/>
  <c r="C35" i="29"/>
  <c r="S35" i="29" s="1"/>
  <c r="R35" i="29"/>
  <c r="H35" i="29"/>
  <c r="P35" i="29" s="1"/>
  <c r="O35" i="29"/>
  <c r="J34" i="29"/>
  <c r="L34" i="29" s="1"/>
  <c r="C34" i="29"/>
  <c r="S34" i="29" s="1"/>
  <c r="R34" i="29"/>
  <c r="H34" i="29"/>
  <c r="P34" i="29" s="1"/>
  <c r="O34" i="29"/>
  <c r="J33" i="29"/>
  <c r="L33" i="29" s="1"/>
  <c r="Q33" i="29" s="1"/>
  <c r="C33" i="29"/>
  <c r="S33" i="29"/>
  <c r="R33" i="29"/>
  <c r="H33" i="29"/>
  <c r="P33" i="29" s="1"/>
  <c r="O33" i="29"/>
  <c r="J31" i="29"/>
  <c r="L31" i="29" s="1"/>
  <c r="C31" i="29"/>
  <c r="S31" i="29" s="1"/>
  <c r="R31" i="29"/>
  <c r="H31" i="29"/>
  <c r="P31" i="29" s="1"/>
  <c r="O31" i="29"/>
  <c r="J30" i="29"/>
  <c r="L30" i="29" s="1"/>
  <c r="C30" i="29"/>
  <c r="S30" i="29" s="1"/>
  <c r="R30" i="29"/>
  <c r="H30" i="29"/>
  <c r="P30" i="29" s="1"/>
  <c r="O30" i="29"/>
  <c r="J29" i="29"/>
  <c r="L29" i="29" s="1"/>
  <c r="C29" i="29"/>
  <c r="S29" i="29" s="1"/>
  <c r="R29" i="29"/>
  <c r="H29" i="29"/>
  <c r="P29" i="29" s="1"/>
  <c r="O29" i="29"/>
  <c r="J28" i="29"/>
  <c r="L28" i="29" s="1"/>
  <c r="Q28" i="29" s="1"/>
  <c r="C28" i="29"/>
  <c r="S28" i="29" s="1"/>
  <c r="R28" i="29"/>
  <c r="H28" i="29"/>
  <c r="P28" i="29" s="1"/>
  <c r="O28" i="29"/>
  <c r="J27" i="29"/>
  <c r="L27" i="29" s="1"/>
  <c r="N27" i="29" s="1"/>
  <c r="C27" i="29"/>
  <c r="S27" i="29" s="1"/>
  <c r="R27" i="29"/>
  <c r="H27" i="29"/>
  <c r="P27" i="29" s="1"/>
  <c r="O27" i="29"/>
  <c r="J26" i="29"/>
  <c r="L26" i="29" s="1"/>
  <c r="C26" i="29"/>
  <c r="S26" i="29" s="1"/>
  <c r="R26" i="29"/>
  <c r="H26" i="29"/>
  <c r="P26" i="29" s="1"/>
  <c r="O26" i="29"/>
  <c r="J25" i="29"/>
  <c r="L25" i="29" s="1"/>
  <c r="C25" i="29"/>
  <c r="S25" i="29" s="1"/>
  <c r="R25" i="29"/>
  <c r="H25" i="29"/>
  <c r="P25" i="29" s="1"/>
  <c r="O25" i="29"/>
  <c r="J24" i="29"/>
  <c r="L24" i="29" s="1"/>
  <c r="Q24" i="29" s="1"/>
  <c r="C24" i="29"/>
  <c r="S24" i="29" s="1"/>
  <c r="R24" i="29"/>
  <c r="H24" i="29"/>
  <c r="P24" i="29" s="1"/>
  <c r="O24" i="29"/>
  <c r="J23" i="29"/>
  <c r="L23" i="29" s="1"/>
  <c r="N23" i="29" s="1"/>
  <c r="C23" i="29"/>
  <c r="S23" i="29" s="1"/>
  <c r="R23" i="29"/>
  <c r="H23" i="29"/>
  <c r="P23" i="29" s="1"/>
  <c r="O23" i="29"/>
  <c r="J22" i="29"/>
  <c r="L22" i="29" s="1"/>
  <c r="C22" i="29"/>
  <c r="S22" i="29"/>
  <c r="R22" i="29"/>
  <c r="H22" i="29"/>
  <c r="P22" i="29" s="1"/>
  <c r="O22" i="29"/>
  <c r="J21" i="29"/>
  <c r="L21" i="29" s="1"/>
  <c r="C21" i="29"/>
  <c r="S21" i="29" s="1"/>
  <c r="R21" i="29"/>
  <c r="H21" i="29"/>
  <c r="P21" i="29" s="1"/>
  <c r="O21" i="29"/>
  <c r="L20" i="29"/>
  <c r="Q20" i="29" s="1"/>
  <c r="C20" i="29"/>
  <c r="S20" i="29" s="1"/>
  <c r="R20" i="29"/>
  <c r="H20" i="29"/>
  <c r="P20" i="29" s="1"/>
  <c r="O20" i="29"/>
  <c r="L19" i="29"/>
  <c r="C19" i="29"/>
  <c r="S19" i="29" s="1"/>
  <c r="R19" i="29"/>
  <c r="H19" i="29"/>
  <c r="P19" i="29" s="1"/>
  <c r="O19" i="29"/>
  <c r="L18" i="29"/>
  <c r="C18" i="29"/>
  <c r="S18" i="29" s="1"/>
  <c r="R18" i="29"/>
  <c r="H18" i="29"/>
  <c r="P18" i="29" s="1"/>
  <c r="O18" i="29"/>
  <c r="L15" i="29"/>
  <c r="Q15" i="29" s="1"/>
  <c r="C15" i="29"/>
  <c r="S15" i="29" s="1"/>
  <c r="R15" i="29"/>
  <c r="H15" i="29"/>
  <c r="P15" i="29" s="1"/>
  <c r="O15" i="29"/>
  <c r="L14" i="29"/>
  <c r="C14" i="29"/>
  <c r="S14" i="29"/>
  <c r="R14" i="29"/>
  <c r="H14" i="29"/>
  <c r="P14" i="29" s="1"/>
  <c r="O14" i="29"/>
  <c r="L13" i="29"/>
  <c r="C13" i="29"/>
  <c r="S13" i="29" s="1"/>
  <c r="R13" i="29"/>
  <c r="H13" i="29"/>
  <c r="P13" i="29" s="1"/>
  <c r="O13" i="29"/>
  <c r="L12" i="29"/>
  <c r="C12" i="29"/>
  <c r="S12" i="29" s="1"/>
  <c r="R12" i="29"/>
  <c r="H12" i="29"/>
  <c r="P12" i="29" s="1"/>
  <c r="O12" i="29"/>
  <c r="C11" i="29"/>
  <c r="S11" i="29" s="1"/>
  <c r="R11" i="29"/>
  <c r="H11" i="29"/>
  <c r="P11" i="29" s="1"/>
  <c r="O11" i="29"/>
  <c r="L10" i="29"/>
  <c r="C10" i="29"/>
  <c r="S10" i="29" s="1"/>
  <c r="R10" i="29"/>
  <c r="H10" i="29"/>
  <c r="P10" i="29" s="1"/>
  <c r="O10" i="29"/>
  <c r="C9" i="29"/>
  <c r="S9" i="29" s="1"/>
  <c r="R9" i="29"/>
  <c r="H9" i="29"/>
  <c r="P9" i="29" s="1"/>
  <c r="O9" i="29"/>
  <c r="J282" i="28"/>
  <c r="L282" i="28" s="1"/>
  <c r="C282" i="28"/>
  <c r="S282" i="28" s="1"/>
  <c r="R282" i="28"/>
  <c r="P282" i="28"/>
  <c r="O282" i="28"/>
  <c r="J281" i="28"/>
  <c r="L281" i="28" s="1"/>
  <c r="C281" i="28"/>
  <c r="S281" i="28" s="1"/>
  <c r="R281" i="28"/>
  <c r="P281" i="28"/>
  <c r="O281" i="28"/>
  <c r="J280" i="28"/>
  <c r="L280" i="28" s="1"/>
  <c r="C280" i="28"/>
  <c r="S280" i="28" s="1"/>
  <c r="R280" i="28"/>
  <c r="P280" i="28"/>
  <c r="O280" i="28"/>
  <c r="J279" i="28"/>
  <c r="L279" i="28" s="1"/>
  <c r="C279" i="28"/>
  <c r="S279" i="28" s="1"/>
  <c r="R279" i="28"/>
  <c r="P279" i="28"/>
  <c r="O279" i="28"/>
  <c r="J278" i="28"/>
  <c r="L278" i="28" s="1"/>
  <c r="C278" i="28"/>
  <c r="S278" i="28" s="1"/>
  <c r="R278" i="28"/>
  <c r="P278" i="28"/>
  <c r="O278" i="28"/>
  <c r="J277" i="28"/>
  <c r="L277" i="28" s="1"/>
  <c r="C277" i="28"/>
  <c r="S277" i="28" s="1"/>
  <c r="R277" i="28"/>
  <c r="P277" i="28"/>
  <c r="O277" i="28"/>
  <c r="J276" i="28"/>
  <c r="L276" i="28" s="1"/>
  <c r="C276" i="28"/>
  <c r="S276" i="28" s="1"/>
  <c r="R276" i="28"/>
  <c r="P276" i="28"/>
  <c r="O276" i="28"/>
  <c r="J275" i="28"/>
  <c r="L275" i="28" s="1"/>
  <c r="C275" i="28"/>
  <c r="S275" i="28" s="1"/>
  <c r="R275" i="28"/>
  <c r="P275" i="28"/>
  <c r="O275" i="28"/>
  <c r="J274" i="28"/>
  <c r="L274" i="28" s="1"/>
  <c r="C274" i="28"/>
  <c r="S274" i="28" s="1"/>
  <c r="R274" i="28"/>
  <c r="P274" i="28"/>
  <c r="O274" i="28"/>
  <c r="J273" i="28"/>
  <c r="L273" i="28" s="1"/>
  <c r="C273" i="28"/>
  <c r="S273" i="28" s="1"/>
  <c r="R273" i="28"/>
  <c r="P273" i="28"/>
  <c r="O273" i="28"/>
  <c r="J272" i="28"/>
  <c r="L272" i="28" s="1"/>
  <c r="C272" i="28"/>
  <c r="S272" i="28" s="1"/>
  <c r="R272" i="28"/>
  <c r="P272" i="28"/>
  <c r="O272" i="28"/>
  <c r="J271" i="28"/>
  <c r="L271" i="28" s="1"/>
  <c r="C271" i="28"/>
  <c r="S271" i="28" s="1"/>
  <c r="R271" i="28"/>
  <c r="P271" i="28"/>
  <c r="O271" i="28"/>
  <c r="J270" i="28"/>
  <c r="L270" i="28" s="1"/>
  <c r="C270" i="28"/>
  <c r="S270" i="28" s="1"/>
  <c r="R270" i="28"/>
  <c r="P270" i="28"/>
  <c r="O270" i="28"/>
  <c r="J269" i="28"/>
  <c r="L269" i="28" s="1"/>
  <c r="C269" i="28"/>
  <c r="R269" i="28"/>
  <c r="P269" i="28"/>
  <c r="O269" i="28"/>
  <c r="J268" i="28"/>
  <c r="L268" i="28" s="1"/>
  <c r="C268" i="28"/>
  <c r="S268" i="28" s="1"/>
  <c r="R268" i="28"/>
  <c r="P268" i="28"/>
  <c r="O268" i="28"/>
  <c r="J267" i="28"/>
  <c r="L267" i="28" s="1"/>
  <c r="C267" i="28"/>
  <c r="S267" i="28" s="1"/>
  <c r="R267" i="28"/>
  <c r="P267" i="28"/>
  <c r="O267" i="28"/>
  <c r="J266" i="28"/>
  <c r="L266" i="28" s="1"/>
  <c r="C266" i="28"/>
  <c r="S266" i="28" s="1"/>
  <c r="R266" i="28"/>
  <c r="P266" i="28"/>
  <c r="O266" i="28"/>
  <c r="J265" i="28"/>
  <c r="L265" i="28" s="1"/>
  <c r="C265" i="28"/>
  <c r="S265" i="28" s="1"/>
  <c r="R265" i="28"/>
  <c r="P265" i="28"/>
  <c r="O265" i="28"/>
  <c r="J264" i="28"/>
  <c r="L264" i="28" s="1"/>
  <c r="C264" i="28"/>
  <c r="S264" i="28" s="1"/>
  <c r="R264" i="28"/>
  <c r="P264" i="28"/>
  <c r="O264" i="28"/>
  <c r="J263" i="28"/>
  <c r="L263" i="28" s="1"/>
  <c r="C263" i="28"/>
  <c r="S263" i="28" s="1"/>
  <c r="R263" i="28"/>
  <c r="P263" i="28"/>
  <c r="O263" i="28"/>
  <c r="J262" i="28"/>
  <c r="L262" i="28" s="1"/>
  <c r="C262" i="28"/>
  <c r="S262" i="28" s="1"/>
  <c r="R262" i="28"/>
  <c r="P262" i="28"/>
  <c r="O262" i="28"/>
  <c r="J261" i="28"/>
  <c r="L261" i="28" s="1"/>
  <c r="C261" i="28"/>
  <c r="S261" i="28" s="1"/>
  <c r="R261" i="28"/>
  <c r="P261" i="28"/>
  <c r="O261" i="28"/>
  <c r="J260" i="28"/>
  <c r="L260" i="28" s="1"/>
  <c r="C260" i="28"/>
  <c r="S260" i="28" s="1"/>
  <c r="R260" i="28"/>
  <c r="P260" i="28"/>
  <c r="O260" i="28"/>
  <c r="J259" i="28"/>
  <c r="L259" i="28" s="1"/>
  <c r="C259" i="28"/>
  <c r="S259" i="28" s="1"/>
  <c r="R259" i="28"/>
  <c r="P259" i="28"/>
  <c r="O259" i="28"/>
  <c r="J258" i="28"/>
  <c r="L258" i="28" s="1"/>
  <c r="C258" i="28"/>
  <c r="S258" i="28" s="1"/>
  <c r="R258" i="28"/>
  <c r="P258" i="28"/>
  <c r="O258" i="28"/>
  <c r="J257" i="28"/>
  <c r="L257" i="28" s="1"/>
  <c r="C257" i="28"/>
  <c r="S257" i="28" s="1"/>
  <c r="R257" i="28"/>
  <c r="P257" i="28"/>
  <c r="O257" i="28"/>
  <c r="J256" i="28"/>
  <c r="L256" i="28" s="1"/>
  <c r="C256" i="28"/>
  <c r="S256" i="28" s="1"/>
  <c r="R256" i="28"/>
  <c r="P256" i="28"/>
  <c r="O256" i="28"/>
  <c r="J255" i="28"/>
  <c r="L255" i="28" s="1"/>
  <c r="C255" i="28"/>
  <c r="S255" i="28" s="1"/>
  <c r="R255" i="28"/>
  <c r="P255" i="28"/>
  <c r="O255" i="28"/>
  <c r="J254" i="28"/>
  <c r="L254" i="28" s="1"/>
  <c r="C254" i="28"/>
  <c r="S254" i="28" s="1"/>
  <c r="R254" i="28"/>
  <c r="P254" i="28"/>
  <c r="O254" i="28"/>
  <c r="J253" i="28"/>
  <c r="L253" i="28" s="1"/>
  <c r="C253" i="28"/>
  <c r="S253" i="28" s="1"/>
  <c r="R253" i="28"/>
  <c r="P253" i="28"/>
  <c r="O253" i="28"/>
  <c r="J252" i="28"/>
  <c r="L252" i="28" s="1"/>
  <c r="C252" i="28"/>
  <c r="S252" i="28" s="1"/>
  <c r="R252" i="28"/>
  <c r="P252" i="28"/>
  <c r="O252" i="28"/>
  <c r="J251" i="28"/>
  <c r="L251" i="28" s="1"/>
  <c r="C251" i="28"/>
  <c r="S251" i="28" s="1"/>
  <c r="R251" i="28"/>
  <c r="P251" i="28"/>
  <c r="O251" i="28"/>
  <c r="J250" i="28"/>
  <c r="L250" i="28" s="1"/>
  <c r="C250" i="28"/>
  <c r="S250" i="28" s="1"/>
  <c r="R250" i="28"/>
  <c r="P250" i="28"/>
  <c r="O250" i="28"/>
  <c r="J249" i="28"/>
  <c r="L249" i="28" s="1"/>
  <c r="C249" i="28"/>
  <c r="S249" i="28" s="1"/>
  <c r="R249" i="28"/>
  <c r="P249" i="28"/>
  <c r="O249" i="28"/>
  <c r="J248" i="28"/>
  <c r="L248" i="28" s="1"/>
  <c r="C248" i="28"/>
  <c r="S248" i="28" s="1"/>
  <c r="R248" i="28"/>
  <c r="P248" i="28"/>
  <c r="O248" i="28"/>
  <c r="J247" i="28"/>
  <c r="L247" i="28" s="1"/>
  <c r="C247" i="28"/>
  <c r="S247" i="28" s="1"/>
  <c r="R247" i="28"/>
  <c r="P247" i="28"/>
  <c r="O247" i="28"/>
  <c r="J246" i="28"/>
  <c r="L246" i="28" s="1"/>
  <c r="C246" i="28"/>
  <c r="S246" i="28" s="1"/>
  <c r="R246" i="28"/>
  <c r="P246" i="28"/>
  <c r="O246" i="28"/>
  <c r="J245" i="28"/>
  <c r="L245" i="28" s="1"/>
  <c r="C245" i="28"/>
  <c r="S245" i="28" s="1"/>
  <c r="R245" i="28"/>
  <c r="P245" i="28"/>
  <c r="O245" i="28"/>
  <c r="J244" i="28"/>
  <c r="L244" i="28" s="1"/>
  <c r="C244" i="28"/>
  <c r="S244" i="28" s="1"/>
  <c r="R244" i="28"/>
  <c r="P244" i="28"/>
  <c r="O244" i="28"/>
  <c r="J243" i="28"/>
  <c r="L243" i="28" s="1"/>
  <c r="C243" i="28"/>
  <c r="S243" i="28" s="1"/>
  <c r="R243" i="28"/>
  <c r="P243" i="28"/>
  <c r="O243" i="28"/>
  <c r="J242" i="28"/>
  <c r="L242" i="28" s="1"/>
  <c r="C242" i="28"/>
  <c r="S242" i="28" s="1"/>
  <c r="R242" i="28"/>
  <c r="P242" i="28"/>
  <c r="O242" i="28"/>
  <c r="J240" i="28"/>
  <c r="L240" i="28" s="1"/>
  <c r="C240" i="28"/>
  <c r="S240" i="28" s="1"/>
  <c r="R240" i="28"/>
  <c r="P240" i="28"/>
  <c r="O240" i="28"/>
  <c r="J239" i="28"/>
  <c r="L239" i="28" s="1"/>
  <c r="C239" i="28"/>
  <c r="S239" i="28" s="1"/>
  <c r="R239" i="28"/>
  <c r="P239" i="28"/>
  <c r="O239" i="28"/>
  <c r="J238" i="28"/>
  <c r="L238" i="28" s="1"/>
  <c r="C238" i="28"/>
  <c r="S238" i="28" s="1"/>
  <c r="R238" i="28"/>
  <c r="P238" i="28"/>
  <c r="O238" i="28"/>
  <c r="J237" i="28"/>
  <c r="L237" i="28" s="1"/>
  <c r="C237" i="28"/>
  <c r="S237" i="28"/>
  <c r="R237" i="28"/>
  <c r="P237" i="28"/>
  <c r="O237" i="28"/>
  <c r="J236" i="28"/>
  <c r="C236" i="28"/>
  <c r="S236" i="28" s="1"/>
  <c r="R236" i="28"/>
  <c r="P236" i="28"/>
  <c r="O236" i="28"/>
  <c r="J235" i="28"/>
  <c r="L235" i="28" s="1"/>
  <c r="C235" i="28"/>
  <c r="S235" i="28" s="1"/>
  <c r="R235" i="28"/>
  <c r="P235" i="28"/>
  <c r="O235" i="28"/>
  <c r="J234" i="28"/>
  <c r="L234" i="28" s="1"/>
  <c r="Q234" i="28" s="1"/>
  <c r="C234" i="28"/>
  <c r="S234" i="28" s="1"/>
  <c r="R234" i="28"/>
  <c r="P234" i="28"/>
  <c r="O234" i="28"/>
  <c r="J233" i="28"/>
  <c r="L233" i="28" s="1"/>
  <c r="C233" i="28"/>
  <c r="S233" i="28" s="1"/>
  <c r="R233" i="28"/>
  <c r="P233" i="28"/>
  <c r="O233" i="28"/>
  <c r="J232" i="28"/>
  <c r="L232" i="28" s="1"/>
  <c r="C232" i="28"/>
  <c r="S232" i="28" s="1"/>
  <c r="R232" i="28"/>
  <c r="P232" i="28"/>
  <c r="O232" i="28"/>
  <c r="J231" i="28"/>
  <c r="L231" i="28" s="1"/>
  <c r="C231" i="28"/>
  <c r="S231" i="28"/>
  <c r="R231" i="28"/>
  <c r="P231" i="28"/>
  <c r="O231" i="28"/>
  <c r="J230" i="28"/>
  <c r="L230" i="28" s="1"/>
  <c r="Q230" i="28" s="1"/>
  <c r="C230" i="28"/>
  <c r="S230" i="28" s="1"/>
  <c r="R230" i="28"/>
  <c r="P230" i="28"/>
  <c r="O230" i="28"/>
  <c r="J229" i="28"/>
  <c r="L229" i="28" s="1"/>
  <c r="C229" i="28"/>
  <c r="S229" i="28" s="1"/>
  <c r="R229" i="28"/>
  <c r="P229" i="28"/>
  <c r="O229" i="28"/>
  <c r="J228" i="28"/>
  <c r="L228" i="28" s="1"/>
  <c r="C228" i="28"/>
  <c r="S228" i="28" s="1"/>
  <c r="R228" i="28"/>
  <c r="P228" i="28"/>
  <c r="O228" i="28"/>
  <c r="J227" i="28"/>
  <c r="L227" i="28" s="1"/>
  <c r="C227" i="28"/>
  <c r="S227" i="28" s="1"/>
  <c r="R227" i="28"/>
  <c r="P227" i="28"/>
  <c r="O227" i="28"/>
  <c r="J226" i="28"/>
  <c r="L226" i="28" s="1"/>
  <c r="C226" i="28"/>
  <c r="S226" i="28" s="1"/>
  <c r="R226" i="28"/>
  <c r="P226" i="28"/>
  <c r="O226" i="28"/>
  <c r="J225" i="28"/>
  <c r="L225" i="28" s="1"/>
  <c r="C225" i="28"/>
  <c r="R225" i="28"/>
  <c r="P225" i="28"/>
  <c r="O225" i="28"/>
  <c r="J224" i="28"/>
  <c r="L224" i="28" s="1"/>
  <c r="C224" i="28"/>
  <c r="R224" i="28"/>
  <c r="P224" i="28"/>
  <c r="O224" i="28"/>
  <c r="C223" i="28"/>
  <c r="S223" i="28"/>
  <c r="R223" i="28"/>
  <c r="P223" i="28"/>
  <c r="O223" i="28"/>
  <c r="J222" i="28"/>
  <c r="L222" i="28" s="1"/>
  <c r="C222" i="28"/>
  <c r="S222" i="28" s="1"/>
  <c r="R222" i="28"/>
  <c r="P222" i="28"/>
  <c r="O222" i="28"/>
  <c r="J221" i="28"/>
  <c r="L221" i="28" s="1"/>
  <c r="C221" i="28"/>
  <c r="S221" i="28" s="1"/>
  <c r="R221" i="28"/>
  <c r="P221" i="28"/>
  <c r="O221" i="28"/>
  <c r="J220" i="28"/>
  <c r="L220" i="28" s="1"/>
  <c r="C220" i="28"/>
  <c r="S220" i="28" s="1"/>
  <c r="R220" i="28"/>
  <c r="P220" i="28"/>
  <c r="O220" i="28"/>
  <c r="J219" i="28"/>
  <c r="L219" i="28" s="1"/>
  <c r="C219" i="28"/>
  <c r="S219" i="28" s="1"/>
  <c r="R219" i="28"/>
  <c r="P219" i="28"/>
  <c r="O219" i="28"/>
  <c r="J218" i="28"/>
  <c r="L218" i="28" s="1"/>
  <c r="C218" i="28"/>
  <c r="S218" i="28" s="1"/>
  <c r="R218" i="28"/>
  <c r="P218" i="28"/>
  <c r="O218" i="28"/>
  <c r="J217" i="28"/>
  <c r="L217" i="28" s="1"/>
  <c r="C217" i="28"/>
  <c r="S217" i="28"/>
  <c r="R217" i="28"/>
  <c r="P217" i="28"/>
  <c r="O217" i="28"/>
  <c r="J216" i="28"/>
  <c r="L216" i="28" s="1"/>
  <c r="C216" i="28"/>
  <c r="S216" i="28" s="1"/>
  <c r="R216" i="28"/>
  <c r="P216" i="28"/>
  <c r="O216" i="28"/>
  <c r="J215" i="28"/>
  <c r="L215" i="28" s="1"/>
  <c r="C215" i="28"/>
  <c r="S215" i="28" s="1"/>
  <c r="R215" i="28"/>
  <c r="P215" i="28"/>
  <c r="O215" i="28"/>
  <c r="J214" i="28"/>
  <c r="L214" i="28" s="1"/>
  <c r="C214" i="28"/>
  <c r="R214" i="28"/>
  <c r="P214" i="28"/>
  <c r="O214" i="28"/>
  <c r="J213" i="28"/>
  <c r="L213" i="28" s="1"/>
  <c r="C213" i="28"/>
  <c r="S213" i="28" s="1"/>
  <c r="R213" i="28"/>
  <c r="P213" i="28"/>
  <c r="O213" i="28"/>
  <c r="J212" i="28"/>
  <c r="L212" i="28" s="1"/>
  <c r="C212" i="28"/>
  <c r="S212" i="28" s="1"/>
  <c r="R212" i="28"/>
  <c r="P212" i="28"/>
  <c r="O212" i="28"/>
  <c r="J211" i="28"/>
  <c r="L211" i="28" s="1"/>
  <c r="C211" i="28"/>
  <c r="S211" i="28" s="1"/>
  <c r="R211" i="28"/>
  <c r="P211" i="28"/>
  <c r="O211" i="28"/>
  <c r="J210" i="28"/>
  <c r="L210" i="28" s="1"/>
  <c r="C210" i="28"/>
  <c r="S210" i="28" s="1"/>
  <c r="R210" i="28"/>
  <c r="P210" i="28"/>
  <c r="O210" i="28"/>
  <c r="J209" i="28"/>
  <c r="L209" i="28" s="1"/>
  <c r="C209" i="28"/>
  <c r="S209" i="28"/>
  <c r="R209" i="28"/>
  <c r="P209" i="28"/>
  <c r="O209" i="28"/>
  <c r="J208" i="28"/>
  <c r="L208" i="28" s="1"/>
  <c r="C208" i="28"/>
  <c r="S208" i="28" s="1"/>
  <c r="R208" i="28"/>
  <c r="P208" i="28"/>
  <c r="O208" i="28"/>
  <c r="J207" i="28"/>
  <c r="L207" i="28" s="1"/>
  <c r="C207" i="28"/>
  <c r="S207" i="28" s="1"/>
  <c r="R207" i="28"/>
  <c r="P207" i="28"/>
  <c r="O207" i="28"/>
  <c r="J206" i="28"/>
  <c r="L206" i="28" s="1"/>
  <c r="C206" i="28"/>
  <c r="S206" i="28" s="1"/>
  <c r="R206" i="28"/>
  <c r="P206" i="28"/>
  <c r="O206" i="28"/>
  <c r="J205" i="28"/>
  <c r="L205" i="28" s="1"/>
  <c r="C205" i="28"/>
  <c r="S205" i="28"/>
  <c r="R205" i="28"/>
  <c r="P205" i="28"/>
  <c r="O205" i="28"/>
  <c r="J204" i="28"/>
  <c r="L204" i="28" s="1"/>
  <c r="C204" i="28"/>
  <c r="S204" i="28" s="1"/>
  <c r="R204" i="28"/>
  <c r="P204" i="28"/>
  <c r="O204" i="28"/>
  <c r="J203" i="28"/>
  <c r="L203" i="28" s="1"/>
  <c r="C203" i="28"/>
  <c r="S203" i="28" s="1"/>
  <c r="R203" i="28"/>
  <c r="P203" i="28"/>
  <c r="O203" i="28"/>
  <c r="J202" i="28"/>
  <c r="L202" i="28" s="1"/>
  <c r="C202" i="28"/>
  <c r="S202" i="28" s="1"/>
  <c r="R202" i="28"/>
  <c r="P202" i="28"/>
  <c r="O202" i="28"/>
  <c r="J201" i="28"/>
  <c r="L201" i="28" s="1"/>
  <c r="C201" i="28"/>
  <c r="S201" i="28" s="1"/>
  <c r="R201" i="28"/>
  <c r="P201" i="28"/>
  <c r="O201" i="28"/>
  <c r="J200" i="28"/>
  <c r="L200" i="28" s="1"/>
  <c r="C200" i="28"/>
  <c r="S200" i="28" s="1"/>
  <c r="R200" i="28"/>
  <c r="P200" i="28"/>
  <c r="O200" i="28"/>
  <c r="J199" i="28"/>
  <c r="L199" i="28" s="1"/>
  <c r="C199" i="28"/>
  <c r="S199" i="28" s="1"/>
  <c r="R199" i="28"/>
  <c r="P199" i="28"/>
  <c r="O199" i="28"/>
  <c r="J198" i="28"/>
  <c r="L198" i="28" s="1"/>
  <c r="C198" i="28"/>
  <c r="S198" i="28" s="1"/>
  <c r="R198" i="28"/>
  <c r="P198" i="28"/>
  <c r="O198" i="28"/>
  <c r="J197" i="28"/>
  <c r="L197" i="28" s="1"/>
  <c r="C197" i="28"/>
  <c r="S197" i="28" s="1"/>
  <c r="R197" i="28"/>
  <c r="P197" i="28"/>
  <c r="O197" i="28"/>
  <c r="J196" i="28"/>
  <c r="L196" i="28" s="1"/>
  <c r="C196" i="28"/>
  <c r="S196" i="28"/>
  <c r="R196" i="28"/>
  <c r="P196" i="28"/>
  <c r="O196" i="28"/>
  <c r="J195" i="28"/>
  <c r="L195" i="28" s="1"/>
  <c r="C195" i="28"/>
  <c r="S195" i="28" s="1"/>
  <c r="R195" i="28"/>
  <c r="P195" i="28"/>
  <c r="O195" i="28"/>
  <c r="J194" i="28"/>
  <c r="L194" i="28" s="1"/>
  <c r="C194" i="28"/>
  <c r="S194" i="28" s="1"/>
  <c r="R194" i="28"/>
  <c r="P194" i="28"/>
  <c r="O194" i="28"/>
  <c r="J193" i="28"/>
  <c r="L193" i="28" s="1"/>
  <c r="C193" i="28"/>
  <c r="S193" i="28" s="1"/>
  <c r="R193" i="28"/>
  <c r="P193" i="28"/>
  <c r="O193" i="28"/>
  <c r="J192" i="28"/>
  <c r="L192" i="28" s="1"/>
  <c r="C192" i="28"/>
  <c r="S192" i="28" s="1"/>
  <c r="R192" i="28"/>
  <c r="P192" i="28"/>
  <c r="O192" i="28"/>
  <c r="J191" i="28"/>
  <c r="L191" i="28" s="1"/>
  <c r="Q191" i="28" s="1"/>
  <c r="C191" i="28"/>
  <c r="S191" i="28" s="1"/>
  <c r="R191" i="28"/>
  <c r="P191" i="28"/>
  <c r="O191" i="28"/>
  <c r="J190" i="28"/>
  <c r="L190" i="28" s="1"/>
  <c r="C190" i="28"/>
  <c r="S190" i="28" s="1"/>
  <c r="R190" i="28"/>
  <c r="P190" i="28"/>
  <c r="O190" i="28"/>
  <c r="J189" i="28"/>
  <c r="L189" i="28" s="1"/>
  <c r="Q189" i="28" s="1"/>
  <c r="C189" i="28"/>
  <c r="S189" i="28" s="1"/>
  <c r="R189" i="28"/>
  <c r="P189" i="28"/>
  <c r="O189" i="28"/>
  <c r="J188" i="28"/>
  <c r="L188" i="28" s="1"/>
  <c r="C188" i="28"/>
  <c r="S188" i="28"/>
  <c r="R188" i="28"/>
  <c r="P188" i="28"/>
  <c r="O188" i="28"/>
  <c r="J187" i="28"/>
  <c r="L187" i="28" s="1"/>
  <c r="Q187" i="28" s="1"/>
  <c r="C187" i="28"/>
  <c r="S187" i="28" s="1"/>
  <c r="R187" i="28"/>
  <c r="P187" i="28"/>
  <c r="O187" i="28"/>
  <c r="J186" i="28"/>
  <c r="L186" i="28" s="1"/>
  <c r="C186" i="28"/>
  <c r="S186" i="28"/>
  <c r="R186" i="28"/>
  <c r="P186" i="28"/>
  <c r="O186" i="28"/>
  <c r="J185" i="28"/>
  <c r="L185" i="28" s="1"/>
  <c r="Q185" i="28" s="1"/>
  <c r="C185" i="28"/>
  <c r="S185" i="28" s="1"/>
  <c r="R185" i="28"/>
  <c r="P185" i="28"/>
  <c r="O185" i="28"/>
  <c r="J184" i="28"/>
  <c r="L184" i="28" s="1"/>
  <c r="C184" i="28"/>
  <c r="S184" i="28" s="1"/>
  <c r="R184" i="28"/>
  <c r="P184" i="28"/>
  <c r="O184" i="28"/>
  <c r="J183" i="28"/>
  <c r="L183" i="28" s="1"/>
  <c r="Q183" i="28" s="1"/>
  <c r="C183" i="28"/>
  <c r="S183" i="28" s="1"/>
  <c r="R183" i="28"/>
  <c r="P183" i="28"/>
  <c r="O183" i="28"/>
  <c r="J182" i="28"/>
  <c r="L182" i="28" s="1"/>
  <c r="C182" i="28"/>
  <c r="S182" i="28" s="1"/>
  <c r="R182" i="28"/>
  <c r="P182" i="28"/>
  <c r="O182" i="28"/>
  <c r="J181" i="28"/>
  <c r="L181" i="28" s="1"/>
  <c r="Q181" i="28" s="1"/>
  <c r="C181" i="28"/>
  <c r="S181" i="28" s="1"/>
  <c r="R181" i="28"/>
  <c r="P181" i="28"/>
  <c r="O181" i="28"/>
  <c r="J180" i="28"/>
  <c r="L180" i="28" s="1"/>
  <c r="C180" i="28"/>
  <c r="S180" i="28" s="1"/>
  <c r="R180" i="28"/>
  <c r="P180" i="28"/>
  <c r="O180" i="28"/>
  <c r="J179" i="28"/>
  <c r="L179" i="28" s="1"/>
  <c r="Q179" i="28" s="1"/>
  <c r="C179" i="28"/>
  <c r="S179" i="28" s="1"/>
  <c r="R179" i="28"/>
  <c r="P179" i="28"/>
  <c r="O179" i="28"/>
  <c r="J178" i="28"/>
  <c r="L178" i="28" s="1"/>
  <c r="C178" i="28"/>
  <c r="S178" i="28" s="1"/>
  <c r="R178" i="28"/>
  <c r="P178" i="28"/>
  <c r="O178" i="28"/>
  <c r="J177" i="28"/>
  <c r="L177" i="28" s="1"/>
  <c r="Q177" i="28" s="1"/>
  <c r="C177" i="28"/>
  <c r="S177" i="28" s="1"/>
  <c r="R177" i="28"/>
  <c r="P177" i="28"/>
  <c r="O177" i="28"/>
  <c r="J176" i="28"/>
  <c r="L176" i="28" s="1"/>
  <c r="C176" i="28"/>
  <c r="S176" i="28" s="1"/>
  <c r="R176" i="28"/>
  <c r="P176" i="28"/>
  <c r="O176" i="28"/>
  <c r="J175" i="28"/>
  <c r="L175" i="28" s="1"/>
  <c r="Q175" i="28" s="1"/>
  <c r="C175" i="28"/>
  <c r="S175" i="28" s="1"/>
  <c r="R175" i="28"/>
  <c r="P175" i="28"/>
  <c r="O175" i="28"/>
  <c r="J174" i="28"/>
  <c r="L174" i="28" s="1"/>
  <c r="C174" i="28"/>
  <c r="R174" i="28"/>
  <c r="P174" i="28"/>
  <c r="O174" i="28"/>
  <c r="J173" i="28"/>
  <c r="L173" i="28" s="1"/>
  <c r="C173" i="28"/>
  <c r="S173" i="28" s="1"/>
  <c r="R173" i="28"/>
  <c r="P173" i="28"/>
  <c r="O173" i="28"/>
  <c r="J172" i="28"/>
  <c r="L172" i="28" s="1"/>
  <c r="C172" i="28"/>
  <c r="S172" i="28"/>
  <c r="R172" i="28"/>
  <c r="P172" i="28"/>
  <c r="O172" i="28"/>
  <c r="J171" i="28"/>
  <c r="L171" i="28" s="1"/>
  <c r="C171" i="28"/>
  <c r="S171" i="28" s="1"/>
  <c r="R171" i="28"/>
  <c r="P171" i="28"/>
  <c r="O171" i="28"/>
  <c r="J170" i="28"/>
  <c r="L170" i="28" s="1"/>
  <c r="C170" i="28"/>
  <c r="S170" i="28"/>
  <c r="R170" i="28"/>
  <c r="P170" i="28"/>
  <c r="O170" i="28"/>
  <c r="J169" i="28"/>
  <c r="L169" i="28" s="1"/>
  <c r="C169" i="28"/>
  <c r="S169" i="28" s="1"/>
  <c r="R169" i="28"/>
  <c r="P169" i="28"/>
  <c r="O169" i="28"/>
  <c r="J168" i="28"/>
  <c r="L168" i="28" s="1"/>
  <c r="C168" i="28"/>
  <c r="S168" i="28" s="1"/>
  <c r="R168" i="28"/>
  <c r="P168" i="28"/>
  <c r="O168" i="28"/>
  <c r="J167" i="28"/>
  <c r="L167" i="28" s="1"/>
  <c r="C167" i="28"/>
  <c r="S167" i="28" s="1"/>
  <c r="R167" i="28"/>
  <c r="P167" i="28"/>
  <c r="O167" i="28"/>
  <c r="J166" i="28"/>
  <c r="L166" i="28" s="1"/>
  <c r="C166" i="28"/>
  <c r="S166" i="28" s="1"/>
  <c r="R166" i="28"/>
  <c r="P166" i="28"/>
  <c r="O166" i="28"/>
  <c r="J165" i="28"/>
  <c r="L165" i="28" s="1"/>
  <c r="C165" i="28"/>
  <c r="S165" i="28" s="1"/>
  <c r="R165" i="28"/>
  <c r="P165" i="28"/>
  <c r="O165" i="28"/>
  <c r="J164" i="28"/>
  <c r="L164" i="28" s="1"/>
  <c r="C164" i="28"/>
  <c r="S164" i="28" s="1"/>
  <c r="R164" i="28"/>
  <c r="P164" i="28"/>
  <c r="O164" i="28"/>
  <c r="J163" i="28"/>
  <c r="L163" i="28" s="1"/>
  <c r="C163" i="28"/>
  <c r="S163" i="28" s="1"/>
  <c r="R163" i="28"/>
  <c r="P163" i="28"/>
  <c r="O163" i="28"/>
  <c r="J162" i="28"/>
  <c r="L162" i="28" s="1"/>
  <c r="C162" i="28"/>
  <c r="S162" i="28" s="1"/>
  <c r="R162" i="28"/>
  <c r="P162" i="28"/>
  <c r="O162" i="28"/>
  <c r="J161" i="28"/>
  <c r="L161" i="28" s="1"/>
  <c r="C161" i="28"/>
  <c r="S161" i="28" s="1"/>
  <c r="R161" i="28"/>
  <c r="P161" i="28"/>
  <c r="O161" i="28"/>
  <c r="J160" i="28"/>
  <c r="L160" i="28" s="1"/>
  <c r="C160" i="28"/>
  <c r="S160" i="28" s="1"/>
  <c r="R160" i="28"/>
  <c r="P160" i="28"/>
  <c r="O160" i="28"/>
  <c r="J159" i="28"/>
  <c r="L159" i="28" s="1"/>
  <c r="C159" i="28"/>
  <c r="S159" i="28" s="1"/>
  <c r="R159" i="28"/>
  <c r="P159" i="28"/>
  <c r="O159" i="28"/>
  <c r="J158" i="28"/>
  <c r="L158" i="28" s="1"/>
  <c r="C158" i="28"/>
  <c r="S158" i="28" s="1"/>
  <c r="R158" i="28"/>
  <c r="P158" i="28"/>
  <c r="O158" i="28"/>
  <c r="J157" i="28"/>
  <c r="L157" i="28" s="1"/>
  <c r="C157" i="28"/>
  <c r="S157" i="28" s="1"/>
  <c r="R157" i="28"/>
  <c r="P157" i="28"/>
  <c r="O157" i="28"/>
  <c r="J156" i="28"/>
  <c r="L156" i="28" s="1"/>
  <c r="C156" i="28"/>
  <c r="S156" i="28" s="1"/>
  <c r="R156" i="28"/>
  <c r="P156" i="28"/>
  <c r="O156" i="28"/>
  <c r="J155" i="28"/>
  <c r="L155" i="28" s="1"/>
  <c r="C155" i="28"/>
  <c r="S155" i="28" s="1"/>
  <c r="R155" i="28"/>
  <c r="P155" i="28"/>
  <c r="O155" i="28"/>
  <c r="J154" i="28"/>
  <c r="L154" i="28" s="1"/>
  <c r="C154" i="28"/>
  <c r="S154" i="28"/>
  <c r="R154" i="28"/>
  <c r="P154" i="28"/>
  <c r="O154" i="28"/>
  <c r="J153" i="28"/>
  <c r="L153" i="28" s="1"/>
  <c r="C153" i="28"/>
  <c r="S153" i="28" s="1"/>
  <c r="R153" i="28"/>
  <c r="P153" i="28"/>
  <c r="O153" i="28"/>
  <c r="J152" i="28"/>
  <c r="L152" i="28" s="1"/>
  <c r="C152" i="28"/>
  <c r="S152" i="28" s="1"/>
  <c r="R152" i="28"/>
  <c r="P152" i="28"/>
  <c r="O152" i="28"/>
  <c r="J151" i="28"/>
  <c r="L151" i="28" s="1"/>
  <c r="C151" i="28"/>
  <c r="S151" i="28" s="1"/>
  <c r="R151" i="28"/>
  <c r="P151" i="28"/>
  <c r="O151" i="28"/>
  <c r="J150" i="28"/>
  <c r="L150" i="28" s="1"/>
  <c r="C150" i="28"/>
  <c r="S150" i="28" s="1"/>
  <c r="R150" i="28"/>
  <c r="P150" i="28"/>
  <c r="O150" i="28"/>
  <c r="J149" i="28"/>
  <c r="L149" i="28" s="1"/>
  <c r="C149" i="28"/>
  <c r="S149" i="28" s="1"/>
  <c r="R149" i="28"/>
  <c r="P149" i="28"/>
  <c r="O149" i="28"/>
  <c r="J148" i="28"/>
  <c r="L148" i="28" s="1"/>
  <c r="C148" i="28"/>
  <c r="S148" i="28" s="1"/>
  <c r="R148" i="28"/>
  <c r="P148" i="28"/>
  <c r="O148" i="28"/>
  <c r="J147" i="28"/>
  <c r="L147" i="28" s="1"/>
  <c r="C147" i="28"/>
  <c r="S147" i="28" s="1"/>
  <c r="R147" i="28"/>
  <c r="P147" i="28"/>
  <c r="O147" i="28"/>
  <c r="J146" i="28"/>
  <c r="L146" i="28" s="1"/>
  <c r="Q146" i="28" s="1"/>
  <c r="C146" i="28"/>
  <c r="S146" i="28" s="1"/>
  <c r="R146" i="28"/>
  <c r="P146" i="28"/>
  <c r="O146" i="28"/>
  <c r="J145" i="28"/>
  <c r="L145" i="28" s="1"/>
  <c r="C145" i="28"/>
  <c r="S145" i="28" s="1"/>
  <c r="R145" i="28"/>
  <c r="P145" i="28"/>
  <c r="O145" i="28"/>
  <c r="J144" i="28"/>
  <c r="L144" i="28" s="1"/>
  <c r="Q144" i="28" s="1"/>
  <c r="C144" i="28"/>
  <c r="S144" i="28" s="1"/>
  <c r="R144" i="28"/>
  <c r="P144" i="28"/>
  <c r="O144" i="28"/>
  <c r="J143" i="28"/>
  <c r="L143" i="28" s="1"/>
  <c r="C143" i="28"/>
  <c r="S143" i="28" s="1"/>
  <c r="R143" i="28"/>
  <c r="P143" i="28"/>
  <c r="O143" i="28"/>
  <c r="J142" i="28"/>
  <c r="L142" i="28" s="1"/>
  <c r="Q142" i="28" s="1"/>
  <c r="C142" i="28"/>
  <c r="S142" i="28" s="1"/>
  <c r="R142" i="28"/>
  <c r="P142" i="28"/>
  <c r="O142" i="28"/>
  <c r="J141" i="28"/>
  <c r="L141" i="28" s="1"/>
  <c r="C141" i="28"/>
  <c r="S141" i="28" s="1"/>
  <c r="R141" i="28"/>
  <c r="P141" i="28"/>
  <c r="O141" i="28"/>
  <c r="J140" i="28"/>
  <c r="L140" i="28" s="1"/>
  <c r="Q140" i="28" s="1"/>
  <c r="C140" i="28"/>
  <c r="S140" i="28"/>
  <c r="R140" i="28"/>
  <c r="P140" i="28"/>
  <c r="O140" i="28"/>
  <c r="J139" i="28"/>
  <c r="L139" i="28" s="1"/>
  <c r="C139" i="28"/>
  <c r="S139" i="28" s="1"/>
  <c r="R139" i="28"/>
  <c r="P139" i="28"/>
  <c r="O139" i="28"/>
  <c r="J138" i="28"/>
  <c r="L138" i="28" s="1"/>
  <c r="Q138" i="28" s="1"/>
  <c r="C138" i="28"/>
  <c r="S138" i="28" s="1"/>
  <c r="R138" i="28"/>
  <c r="P138" i="28"/>
  <c r="O138" i="28"/>
  <c r="J137" i="28"/>
  <c r="L137" i="28" s="1"/>
  <c r="C137" i="28"/>
  <c r="S137" i="28" s="1"/>
  <c r="R137" i="28"/>
  <c r="P137" i="28"/>
  <c r="O137" i="28"/>
  <c r="J136" i="28"/>
  <c r="L136" i="28" s="1"/>
  <c r="C136" i="28"/>
  <c r="R136" i="28"/>
  <c r="P136" i="28"/>
  <c r="O136" i="28"/>
  <c r="J135" i="28"/>
  <c r="L135" i="28" s="1"/>
  <c r="C135" i="28"/>
  <c r="S135" i="28" s="1"/>
  <c r="R135" i="28"/>
  <c r="P135" i="28"/>
  <c r="O135" i="28"/>
  <c r="J134" i="28"/>
  <c r="L134" i="28" s="1"/>
  <c r="Q134" i="28" s="1"/>
  <c r="C134" i="28"/>
  <c r="S134" i="28" s="1"/>
  <c r="R134" i="28"/>
  <c r="P134" i="28"/>
  <c r="O134" i="28"/>
  <c r="J133" i="28"/>
  <c r="L133" i="28" s="1"/>
  <c r="C133" i="28"/>
  <c r="S133" i="28" s="1"/>
  <c r="R133" i="28"/>
  <c r="P133" i="28"/>
  <c r="O133" i="28"/>
  <c r="J132" i="28"/>
  <c r="L132" i="28" s="1"/>
  <c r="Q132" i="28" s="1"/>
  <c r="C132" i="28"/>
  <c r="S132" i="28" s="1"/>
  <c r="R132" i="28"/>
  <c r="P132" i="28"/>
  <c r="O132" i="28"/>
  <c r="J131" i="28"/>
  <c r="L131" i="28" s="1"/>
  <c r="C131" i="28"/>
  <c r="S131" i="28" s="1"/>
  <c r="R131" i="28"/>
  <c r="P131" i="28"/>
  <c r="O131" i="28"/>
  <c r="J130" i="28"/>
  <c r="L130" i="28" s="1"/>
  <c r="Q130" i="28" s="1"/>
  <c r="C130" i="28"/>
  <c r="S130" i="28" s="1"/>
  <c r="R130" i="28"/>
  <c r="P130" i="28"/>
  <c r="O130" i="28"/>
  <c r="J129" i="28"/>
  <c r="L129" i="28" s="1"/>
  <c r="C129" i="28"/>
  <c r="S129" i="28" s="1"/>
  <c r="R129" i="28"/>
  <c r="P129" i="28"/>
  <c r="O129" i="28"/>
  <c r="J128" i="28"/>
  <c r="L128" i="28" s="1"/>
  <c r="Q128" i="28" s="1"/>
  <c r="C128" i="28"/>
  <c r="S128" i="28" s="1"/>
  <c r="R128" i="28"/>
  <c r="P128" i="28"/>
  <c r="O128" i="28"/>
  <c r="J127" i="28"/>
  <c r="L127" i="28" s="1"/>
  <c r="C127" i="28"/>
  <c r="S127" i="28" s="1"/>
  <c r="R127" i="28"/>
  <c r="P127" i="28"/>
  <c r="O127" i="28"/>
  <c r="J126" i="28"/>
  <c r="L126" i="28" s="1"/>
  <c r="Q126" i="28" s="1"/>
  <c r="C126" i="28"/>
  <c r="S126" i="28" s="1"/>
  <c r="R126" i="28"/>
  <c r="P126" i="28"/>
  <c r="O126" i="28"/>
  <c r="J125" i="28"/>
  <c r="L125" i="28" s="1"/>
  <c r="C125" i="28"/>
  <c r="S125" i="28" s="1"/>
  <c r="R125" i="28"/>
  <c r="P125" i="28"/>
  <c r="O125" i="28"/>
  <c r="J124" i="28"/>
  <c r="L124" i="28" s="1"/>
  <c r="Q124" i="28" s="1"/>
  <c r="C124" i="28"/>
  <c r="S124" i="28" s="1"/>
  <c r="R124" i="28"/>
  <c r="P124" i="28"/>
  <c r="O124" i="28"/>
  <c r="J123" i="28"/>
  <c r="L123" i="28" s="1"/>
  <c r="C123" i="28"/>
  <c r="S123" i="28" s="1"/>
  <c r="R123" i="28"/>
  <c r="P123" i="28"/>
  <c r="O123" i="28"/>
  <c r="J122" i="28"/>
  <c r="L122" i="28" s="1"/>
  <c r="Q122" i="28" s="1"/>
  <c r="C122" i="28"/>
  <c r="S122" i="28"/>
  <c r="R122" i="28"/>
  <c r="P122" i="28"/>
  <c r="O122" i="28"/>
  <c r="J121" i="28"/>
  <c r="L121" i="28" s="1"/>
  <c r="C121" i="28"/>
  <c r="S121" i="28" s="1"/>
  <c r="R121" i="28"/>
  <c r="P121" i="28"/>
  <c r="O121" i="28"/>
  <c r="J120" i="28"/>
  <c r="L120" i="28" s="1"/>
  <c r="C120" i="28"/>
  <c r="S120" i="28" s="1"/>
  <c r="R120" i="28"/>
  <c r="P120" i="28"/>
  <c r="O120" i="28"/>
  <c r="J119" i="28"/>
  <c r="L119" i="28" s="1"/>
  <c r="C119" i="28"/>
  <c r="S119" i="28" s="1"/>
  <c r="R119" i="28"/>
  <c r="P119" i="28"/>
  <c r="O119" i="28"/>
  <c r="J118" i="28"/>
  <c r="L118" i="28" s="1"/>
  <c r="Q118" i="28" s="1"/>
  <c r="C118" i="28"/>
  <c r="S118" i="28" s="1"/>
  <c r="R118" i="28"/>
  <c r="P118" i="28"/>
  <c r="O118" i="28"/>
  <c r="J117" i="28"/>
  <c r="L117" i="28" s="1"/>
  <c r="C117" i="28"/>
  <c r="S117" i="28" s="1"/>
  <c r="R117" i="28"/>
  <c r="P117" i="28"/>
  <c r="O117" i="28"/>
  <c r="J116" i="28"/>
  <c r="L116" i="28" s="1"/>
  <c r="C116" i="28"/>
  <c r="S116" i="28" s="1"/>
  <c r="R116" i="28"/>
  <c r="P116" i="28"/>
  <c r="O116" i="28"/>
  <c r="J115" i="28"/>
  <c r="L115" i="28" s="1"/>
  <c r="C115" i="28"/>
  <c r="S115" i="28" s="1"/>
  <c r="R115" i="28"/>
  <c r="P115" i="28"/>
  <c r="O115" i="28"/>
  <c r="J114" i="28"/>
  <c r="L114" i="28" s="1"/>
  <c r="C114" i="28"/>
  <c r="S114" i="28" s="1"/>
  <c r="R114" i="28"/>
  <c r="P114" i="28"/>
  <c r="O114" i="28"/>
  <c r="J113" i="28"/>
  <c r="L113" i="28" s="1"/>
  <c r="C113" i="28"/>
  <c r="S113" i="28" s="1"/>
  <c r="R113" i="28"/>
  <c r="P113" i="28"/>
  <c r="O113" i="28"/>
  <c r="J112" i="28"/>
  <c r="L112" i="28" s="1"/>
  <c r="C112" i="28"/>
  <c r="S112" i="28" s="1"/>
  <c r="R112" i="28"/>
  <c r="P112" i="28"/>
  <c r="O112" i="28"/>
  <c r="J111" i="28"/>
  <c r="L111" i="28" s="1"/>
  <c r="Q111" i="28" s="1"/>
  <c r="C111" i="28"/>
  <c r="S111" i="28" s="1"/>
  <c r="R111" i="28"/>
  <c r="P111" i="28"/>
  <c r="O111" i="28"/>
  <c r="J110" i="28"/>
  <c r="L110" i="28" s="1"/>
  <c r="C110" i="28"/>
  <c r="S110" i="28" s="1"/>
  <c r="R110" i="28"/>
  <c r="P110" i="28"/>
  <c r="O110" i="28"/>
  <c r="J109" i="28"/>
  <c r="L109" i="28" s="1"/>
  <c r="C109" i="28"/>
  <c r="S109" i="28" s="1"/>
  <c r="R109" i="28"/>
  <c r="P109" i="28"/>
  <c r="O109" i="28"/>
  <c r="J108" i="28"/>
  <c r="L108" i="28" s="1"/>
  <c r="C108" i="28"/>
  <c r="S108" i="28"/>
  <c r="R108" i="28"/>
  <c r="P108" i="28"/>
  <c r="O108" i="28"/>
  <c r="J107" i="28"/>
  <c r="L107" i="28" s="1"/>
  <c r="Q107" i="28" s="1"/>
  <c r="C107" i="28"/>
  <c r="S107" i="28" s="1"/>
  <c r="R107" i="28"/>
  <c r="P107" i="28"/>
  <c r="O107" i="28"/>
  <c r="J106" i="28"/>
  <c r="L106" i="28" s="1"/>
  <c r="C106" i="28"/>
  <c r="S106" i="28" s="1"/>
  <c r="R106" i="28"/>
  <c r="P106" i="28"/>
  <c r="O106" i="28"/>
  <c r="J105" i="28"/>
  <c r="L105" i="28" s="1"/>
  <c r="C105" i="28"/>
  <c r="S105" i="28" s="1"/>
  <c r="R105" i="28"/>
  <c r="P105" i="28"/>
  <c r="O105" i="28"/>
  <c r="J104" i="28"/>
  <c r="L104" i="28" s="1"/>
  <c r="C104" i="28"/>
  <c r="S104" i="28" s="1"/>
  <c r="R104" i="28"/>
  <c r="P104" i="28"/>
  <c r="O104" i="28"/>
  <c r="J98" i="28"/>
  <c r="L98" i="28" s="1"/>
  <c r="C98" i="28"/>
  <c r="S98" i="28" s="1"/>
  <c r="R98" i="28"/>
  <c r="P98" i="28"/>
  <c r="O98" i="28"/>
  <c r="J97" i="28"/>
  <c r="L97" i="28" s="1"/>
  <c r="Q97" i="28" s="1"/>
  <c r="C97" i="28"/>
  <c r="S97" i="28" s="1"/>
  <c r="R97" i="28"/>
  <c r="P97" i="28"/>
  <c r="O97" i="28"/>
  <c r="J96" i="28"/>
  <c r="L96" i="28" s="1"/>
  <c r="C96" i="28"/>
  <c r="S96" i="28" s="1"/>
  <c r="R96" i="28"/>
  <c r="P96" i="28"/>
  <c r="O96" i="28"/>
  <c r="J95" i="28"/>
  <c r="C95" i="28"/>
  <c r="S95" i="28" s="1"/>
  <c r="R95" i="28"/>
  <c r="P95" i="28"/>
  <c r="O95" i="28"/>
  <c r="J94" i="28"/>
  <c r="L94" i="28" s="1"/>
  <c r="C94" i="28"/>
  <c r="S94" i="28" s="1"/>
  <c r="R94" i="28"/>
  <c r="P94" i="28"/>
  <c r="O94" i="28"/>
  <c r="J93" i="28"/>
  <c r="L93" i="28" s="1"/>
  <c r="Q93" i="28" s="1"/>
  <c r="C93" i="28"/>
  <c r="S93" i="28" s="1"/>
  <c r="R93" i="28"/>
  <c r="P93" i="28"/>
  <c r="O93" i="28"/>
  <c r="J92" i="28"/>
  <c r="L92" i="28" s="1"/>
  <c r="C92" i="28"/>
  <c r="S92" i="28" s="1"/>
  <c r="R92" i="28"/>
  <c r="P92" i="28"/>
  <c r="O92" i="28"/>
  <c r="J91" i="28"/>
  <c r="C91" i="28"/>
  <c r="S91" i="28" s="1"/>
  <c r="R91" i="28"/>
  <c r="P91" i="28"/>
  <c r="O91" i="28"/>
  <c r="J90" i="28"/>
  <c r="L90" i="28" s="1"/>
  <c r="C90" i="28"/>
  <c r="S90" i="28" s="1"/>
  <c r="R90" i="28"/>
  <c r="P90" i="28"/>
  <c r="O90" i="28"/>
  <c r="J89" i="28"/>
  <c r="L89" i="28" s="1"/>
  <c r="Q89" i="28" s="1"/>
  <c r="C89" i="28"/>
  <c r="S89" i="28" s="1"/>
  <c r="R89" i="28"/>
  <c r="P89" i="28"/>
  <c r="O89" i="28"/>
  <c r="J88" i="28"/>
  <c r="L88" i="28" s="1"/>
  <c r="C88" i="28"/>
  <c r="S88" i="28" s="1"/>
  <c r="R88" i="28"/>
  <c r="P88" i="28"/>
  <c r="O88" i="28"/>
  <c r="J87" i="28"/>
  <c r="C87" i="28"/>
  <c r="S87" i="28" s="1"/>
  <c r="R87" i="28"/>
  <c r="P87" i="28"/>
  <c r="O87" i="28"/>
  <c r="J86" i="28"/>
  <c r="L86" i="28" s="1"/>
  <c r="C86" i="28"/>
  <c r="S86" i="28" s="1"/>
  <c r="R86" i="28"/>
  <c r="P86" i="28"/>
  <c r="O86" i="28"/>
  <c r="J85" i="28"/>
  <c r="L85" i="28" s="1"/>
  <c r="Q85" i="28" s="1"/>
  <c r="C85" i="28"/>
  <c r="S85" i="28"/>
  <c r="R85" i="28"/>
  <c r="P85" i="28"/>
  <c r="O85" i="28"/>
  <c r="J84" i="28"/>
  <c r="L84" i="28" s="1"/>
  <c r="C84" i="28"/>
  <c r="S84" i="28" s="1"/>
  <c r="R84" i="28"/>
  <c r="P84" i="28"/>
  <c r="O84" i="28"/>
  <c r="J83" i="28"/>
  <c r="C83" i="28"/>
  <c r="S83" i="28" s="1"/>
  <c r="R83" i="28"/>
  <c r="P83" i="28"/>
  <c r="O83" i="28"/>
  <c r="J82" i="28"/>
  <c r="L82" i="28" s="1"/>
  <c r="C82" i="28"/>
  <c r="S82" i="28" s="1"/>
  <c r="R82" i="28"/>
  <c r="P82" i="28"/>
  <c r="O82" i="28"/>
  <c r="J81" i="28"/>
  <c r="L81" i="28" s="1"/>
  <c r="Q81" i="28" s="1"/>
  <c r="C81" i="28"/>
  <c r="S81" i="28" s="1"/>
  <c r="R81" i="28"/>
  <c r="P81" i="28"/>
  <c r="O81" i="28"/>
  <c r="J80" i="28"/>
  <c r="L80" i="28" s="1"/>
  <c r="C80" i="28"/>
  <c r="S80" i="28" s="1"/>
  <c r="R80" i="28"/>
  <c r="P80" i="28"/>
  <c r="O80" i="28"/>
  <c r="J79" i="28"/>
  <c r="C79" i="28"/>
  <c r="S79" i="28" s="1"/>
  <c r="R79" i="28"/>
  <c r="P79" i="28"/>
  <c r="O79" i="28"/>
  <c r="J78" i="28"/>
  <c r="L78" i="28" s="1"/>
  <c r="C78" i="28"/>
  <c r="S78" i="28" s="1"/>
  <c r="R78" i="28"/>
  <c r="P78" i="28"/>
  <c r="O78" i="28"/>
  <c r="J77" i="28"/>
  <c r="L77" i="28" s="1"/>
  <c r="C77" i="28"/>
  <c r="S77" i="28" s="1"/>
  <c r="R77" i="28"/>
  <c r="P77" i="28"/>
  <c r="O77" i="28"/>
  <c r="J76" i="28"/>
  <c r="L76" i="28" s="1"/>
  <c r="C76" i="28"/>
  <c r="S76" i="28" s="1"/>
  <c r="R76" i="28"/>
  <c r="P76" i="28"/>
  <c r="O76" i="28"/>
  <c r="J75" i="28"/>
  <c r="L75" i="28" s="1"/>
  <c r="C75" i="28"/>
  <c r="S75" i="28" s="1"/>
  <c r="R75" i="28"/>
  <c r="P75" i="28"/>
  <c r="O75" i="28"/>
  <c r="J74" i="28"/>
  <c r="L74" i="28" s="1"/>
  <c r="C74" i="28"/>
  <c r="S74" i="28" s="1"/>
  <c r="R74" i="28"/>
  <c r="P74" i="28"/>
  <c r="O74" i="28"/>
  <c r="J73" i="28"/>
  <c r="L73" i="28" s="1"/>
  <c r="C73" i="28"/>
  <c r="S73" i="28" s="1"/>
  <c r="R73" i="28"/>
  <c r="P73" i="28"/>
  <c r="O73" i="28"/>
  <c r="J72" i="28"/>
  <c r="L72" i="28" s="1"/>
  <c r="C72" i="28"/>
  <c r="S72" i="28" s="1"/>
  <c r="R72" i="28"/>
  <c r="P72" i="28"/>
  <c r="O72" i="28"/>
  <c r="J71" i="28"/>
  <c r="L71" i="28" s="1"/>
  <c r="C71" i="28"/>
  <c r="S71" i="28"/>
  <c r="R71" i="28"/>
  <c r="P71" i="28"/>
  <c r="O71" i="28"/>
  <c r="J70" i="28"/>
  <c r="L70" i="28" s="1"/>
  <c r="C70" i="28"/>
  <c r="S70" i="28" s="1"/>
  <c r="R70" i="28"/>
  <c r="P70" i="28"/>
  <c r="O70" i="28"/>
  <c r="J69" i="28"/>
  <c r="L69" i="28" s="1"/>
  <c r="C69" i="28"/>
  <c r="S69" i="28" s="1"/>
  <c r="R69" i="28"/>
  <c r="P69" i="28"/>
  <c r="O69" i="28"/>
  <c r="J68" i="28"/>
  <c r="L68" i="28" s="1"/>
  <c r="C68" i="28"/>
  <c r="S68" i="28" s="1"/>
  <c r="R68" i="28"/>
  <c r="P68" i="28"/>
  <c r="O68" i="28"/>
  <c r="J67" i="28"/>
  <c r="L67" i="28" s="1"/>
  <c r="C67" i="28"/>
  <c r="S67" i="28" s="1"/>
  <c r="R67" i="28"/>
  <c r="P67" i="28"/>
  <c r="O67" i="28"/>
  <c r="J66" i="28"/>
  <c r="L66" i="28" s="1"/>
  <c r="C66" i="28"/>
  <c r="S66" i="28" s="1"/>
  <c r="R66" i="28"/>
  <c r="P66" i="28"/>
  <c r="O66" i="28"/>
  <c r="J65" i="28"/>
  <c r="L65" i="28" s="1"/>
  <c r="C65" i="28"/>
  <c r="S65" i="28" s="1"/>
  <c r="R65" i="28"/>
  <c r="P65" i="28"/>
  <c r="O65" i="28"/>
  <c r="J64" i="28"/>
  <c r="L64" i="28" s="1"/>
  <c r="C64" i="28"/>
  <c r="S64" i="28" s="1"/>
  <c r="R64" i="28"/>
  <c r="P64" i="28"/>
  <c r="O64" i="28"/>
  <c r="J63" i="28"/>
  <c r="L63" i="28" s="1"/>
  <c r="C63" i="28"/>
  <c r="S63" i="28" s="1"/>
  <c r="R63" i="28"/>
  <c r="P63" i="28"/>
  <c r="O63" i="28"/>
  <c r="J62" i="28"/>
  <c r="L62" i="28" s="1"/>
  <c r="C62" i="28"/>
  <c r="S62" i="28" s="1"/>
  <c r="R62" i="28"/>
  <c r="P62" i="28"/>
  <c r="O62" i="28"/>
  <c r="J61" i="28"/>
  <c r="L61" i="28" s="1"/>
  <c r="C61" i="28"/>
  <c r="S61" i="28" s="1"/>
  <c r="R61" i="28"/>
  <c r="P61" i="28"/>
  <c r="O61" i="28"/>
  <c r="J60" i="28"/>
  <c r="L60" i="28" s="1"/>
  <c r="C60" i="28"/>
  <c r="S60" i="28" s="1"/>
  <c r="R60" i="28"/>
  <c r="P60" i="28"/>
  <c r="O60" i="28"/>
  <c r="J59" i="28"/>
  <c r="L59" i="28" s="1"/>
  <c r="C59" i="28"/>
  <c r="S59" i="28" s="1"/>
  <c r="R59" i="28"/>
  <c r="P59" i="28"/>
  <c r="O59" i="28"/>
  <c r="J58" i="28"/>
  <c r="L58" i="28" s="1"/>
  <c r="C58" i="28"/>
  <c r="S58" i="28" s="1"/>
  <c r="R58" i="28"/>
  <c r="P58" i="28"/>
  <c r="O58" i="28"/>
  <c r="J57" i="28"/>
  <c r="L57" i="28" s="1"/>
  <c r="C57" i="28"/>
  <c r="S57" i="28" s="1"/>
  <c r="R57" i="28"/>
  <c r="P57" i="28"/>
  <c r="O57" i="28"/>
  <c r="J56" i="28"/>
  <c r="L56" i="28" s="1"/>
  <c r="C56" i="28"/>
  <c r="S56" i="28" s="1"/>
  <c r="R56" i="28"/>
  <c r="P56" i="28"/>
  <c r="O56" i="28"/>
  <c r="J55" i="28"/>
  <c r="L55" i="28" s="1"/>
  <c r="C55" i="28"/>
  <c r="S55" i="28" s="1"/>
  <c r="R55" i="28"/>
  <c r="P55" i="28"/>
  <c r="O55" i="28"/>
  <c r="J54" i="28"/>
  <c r="L54" i="28" s="1"/>
  <c r="C54" i="28"/>
  <c r="S54" i="28" s="1"/>
  <c r="R54" i="28"/>
  <c r="P54" i="28"/>
  <c r="O54" i="28"/>
  <c r="J53" i="28"/>
  <c r="L53" i="28" s="1"/>
  <c r="C53" i="28"/>
  <c r="S53" i="28"/>
  <c r="R53" i="28"/>
  <c r="P53" i="28"/>
  <c r="O53" i="28"/>
  <c r="J52" i="28"/>
  <c r="L52" i="28" s="1"/>
  <c r="C52" i="28"/>
  <c r="S52" i="28" s="1"/>
  <c r="R52" i="28"/>
  <c r="P52" i="28"/>
  <c r="O52" i="28"/>
  <c r="J51" i="28"/>
  <c r="L51" i="28" s="1"/>
  <c r="C51" i="28"/>
  <c r="S51" i="28" s="1"/>
  <c r="R51" i="28"/>
  <c r="P51" i="28"/>
  <c r="O51" i="28"/>
  <c r="J50" i="28"/>
  <c r="L50" i="28" s="1"/>
  <c r="C50" i="28"/>
  <c r="S50" i="28" s="1"/>
  <c r="R50" i="28"/>
  <c r="P50" i="28"/>
  <c r="O50" i="28"/>
  <c r="J49" i="28"/>
  <c r="L49" i="28" s="1"/>
  <c r="C49" i="28"/>
  <c r="S49" i="28" s="1"/>
  <c r="R49" i="28"/>
  <c r="P49" i="28"/>
  <c r="O49" i="28"/>
  <c r="J48" i="28"/>
  <c r="L48" i="28" s="1"/>
  <c r="C48" i="28"/>
  <c r="S48" i="28" s="1"/>
  <c r="R48" i="28"/>
  <c r="P48" i="28"/>
  <c r="O48" i="28"/>
  <c r="J47" i="28"/>
  <c r="L47" i="28" s="1"/>
  <c r="C47" i="28"/>
  <c r="S47" i="28" s="1"/>
  <c r="R47" i="28"/>
  <c r="P47" i="28"/>
  <c r="O47" i="28"/>
  <c r="J46" i="28"/>
  <c r="L46" i="28" s="1"/>
  <c r="C46" i="28"/>
  <c r="S46" i="28" s="1"/>
  <c r="R46" i="28"/>
  <c r="P46" i="28"/>
  <c r="O46" i="28"/>
  <c r="J45" i="28"/>
  <c r="L45" i="28" s="1"/>
  <c r="C45" i="28"/>
  <c r="S45" i="28" s="1"/>
  <c r="R45" i="28"/>
  <c r="P45" i="28"/>
  <c r="O45" i="28"/>
  <c r="L44" i="28"/>
  <c r="C44" i="28"/>
  <c r="S44" i="28" s="1"/>
  <c r="R44" i="28"/>
  <c r="P44" i="28"/>
  <c r="O44" i="28"/>
  <c r="J43" i="28"/>
  <c r="L43" i="28" s="1"/>
  <c r="C43" i="28"/>
  <c r="S43" i="28" s="1"/>
  <c r="R43" i="28"/>
  <c r="P43" i="28"/>
  <c r="O43" i="28"/>
  <c r="J42" i="28"/>
  <c r="L42" i="28" s="1"/>
  <c r="C42" i="28"/>
  <c r="R42" i="28"/>
  <c r="P42" i="28"/>
  <c r="O42" i="28"/>
  <c r="J41" i="28"/>
  <c r="L41" i="28" s="1"/>
  <c r="C41" i="28"/>
  <c r="S41" i="28" s="1"/>
  <c r="R41" i="28"/>
  <c r="P41" i="28"/>
  <c r="O41" i="28"/>
  <c r="C40" i="28"/>
  <c r="S40" i="28" s="1"/>
  <c r="R40" i="28"/>
  <c r="P40" i="28"/>
  <c r="O40" i="28"/>
  <c r="J39" i="28"/>
  <c r="L39" i="28" s="1"/>
  <c r="C39" i="28"/>
  <c r="S39" i="28"/>
  <c r="R39" i="28"/>
  <c r="P39" i="28"/>
  <c r="O39" i="28"/>
  <c r="J38" i="28"/>
  <c r="L38" i="28" s="1"/>
  <c r="C38" i="28"/>
  <c r="S38" i="28" s="1"/>
  <c r="R38" i="28"/>
  <c r="P38" i="28"/>
  <c r="O38" i="28"/>
  <c r="J37" i="28"/>
  <c r="L37" i="28" s="1"/>
  <c r="C37" i="28"/>
  <c r="S37" i="28" s="1"/>
  <c r="R37" i="28"/>
  <c r="P37" i="28"/>
  <c r="O37" i="28"/>
  <c r="J36" i="28"/>
  <c r="L36" i="28" s="1"/>
  <c r="C36" i="28"/>
  <c r="S36" i="28" s="1"/>
  <c r="R36" i="28"/>
  <c r="P36" i="28"/>
  <c r="O36" i="28"/>
  <c r="J35" i="28"/>
  <c r="L35" i="28" s="1"/>
  <c r="C35" i="28"/>
  <c r="S35" i="28" s="1"/>
  <c r="R35" i="28"/>
  <c r="P35" i="28"/>
  <c r="O35" i="28"/>
  <c r="J34" i="28"/>
  <c r="L34" i="28" s="1"/>
  <c r="C34" i="28"/>
  <c r="S34" i="28" s="1"/>
  <c r="R34" i="28"/>
  <c r="P34" i="28"/>
  <c r="O34" i="28"/>
  <c r="J33" i="28"/>
  <c r="L33" i="28" s="1"/>
  <c r="C33" i="28"/>
  <c r="S33" i="28" s="1"/>
  <c r="R33" i="28"/>
  <c r="P33" i="28"/>
  <c r="O33" i="28"/>
  <c r="J31" i="28"/>
  <c r="L31" i="28" s="1"/>
  <c r="C31" i="28"/>
  <c r="S31" i="28" s="1"/>
  <c r="R31" i="28"/>
  <c r="P31" i="28"/>
  <c r="O31" i="28"/>
  <c r="J30" i="28"/>
  <c r="L30" i="28" s="1"/>
  <c r="C30" i="28"/>
  <c r="S30" i="28" s="1"/>
  <c r="R30" i="28"/>
  <c r="P30" i="28"/>
  <c r="O30" i="28"/>
  <c r="J29" i="28"/>
  <c r="L29" i="28" s="1"/>
  <c r="C29" i="28"/>
  <c r="S29" i="28" s="1"/>
  <c r="R29" i="28"/>
  <c r="P29" i="28"/>
  <c r="O29" i="28"/>
  <c r="J28" i="28"/>
  <c r="L28" i="28" s="1"/>
  <c r="C28" i="28"/>
  <c r="S28" i="28" s="1"/>
  <c r="R28" i="28"/>
  <c r="P28" i="28"/>
  <c r="O28" i="28"/>
  <c r="J27" i="28"/>
  <c r="L27" i="28" s="1"/>
  <c r="C27" i="28"/>
  <c r="S27" i="28" s="1"/>
  <c r="R27" i="28"/>
  <c r="P27" i="28"/>
  <c r="O27" i="28"/>
  <c r="J26" i="28"/>
  <c r="L26" i="28" s="1"/>
  <c r="C26" i="28"/>
  <c r="S26" i="28" s="1"/>
  <c r="R26" i="28"/>
  <c r="P26" i="28"/>
  <c r="O26" i="28"/>
  <c r="J25" i="28"/>
  <c r="L25" i="28" s="1"/>
  <c r="C25" i="28"/>
  <c r="S25" i="28" s="1"/>
  <c r="R25" i="28"/>
  <c r="P25" i="28"/>
  <c r="O25" i="28"/>
  <c r="J24" i="28"/>
  <c r="L24" i="28" s="1"/>
  <c r="C24" i="28"/>
  <c r="S24" i="28" s="1"/>
  <c r="R24" i="28"/>
  <c r="P24" i="28"/>
  <c r="O24" i="28"/>
  <c r="J23" i="28"/>
  <c r="L23" i="28" s="1"/>
  <c r="C23" i="28"/>
  <c r="S23" i="28" s="1"/>
  <c r="R23" i="28"/>
  <c r="P23" i="28"/>
  <c r="O23" i="28"/>
  <c r="J22" i="28"/>
  <c r="L22" i="28" s="1"/>
  <c r="C22" i="28"/>
  <c r="S22" i="28" s="1"/>
  <c r="R22" i="28"/>
  <c r="P22" i="28"/>
  <c r="O22" i="28"/>
  <c r="J21" i="28"/>
  <c r="L21" i="28" s="1"/>
  <c r="C21" i="28"/>
  <c r="S21" i="28" s="1"/>
  <c r="R21" i="28"/>
  <c r="P21" i="28"/>
  <c r="O21" i="28"/>
  <c r="J20" i="28"/>
  <c r="L20" i="28" s="1"/>
  <c r="C20" i="28"/>
  <c r="S20" i="28" s="1"/>
  <c r="R20" i="28"/>
  <c r="P20" i="28"/>
  <c r="O20" i="28"/>
  <c r="L19" i="28"/>
  <c r="C19" i="28"/>
  <c r="S19" i="28" s="1"/>
  <c r="R19" i="28"/>
  <c r="P19" i="28"/>
  <c r="O19" i="28"/>
  <c r="L18" i="28"/>
  <c r="C18" i="28"/>
  <c r="S18" i="28" s="1"/>
  <c r="R18" i="28"/>
  <c r="P18" i="28"/>
  <c r="O18" i="28"/>
  <c r="L15" i="28"/>
  <c r="C15" i="28"/>
  <c r="S15" i="28" s="1"/>
  <c r="R15" i="28"/>
  <c r="P15" i="28"/>
  <c r="O15" i="28"/>
  <c r="L14" i="28"/>
  <c r="C14" i="28"/>
  <c r="S14" i="28"/>
  <c r="R14" i="28"/>
  <c r="P14" i="28"/>
  <c r="O14" i="28"/>
  <c r="L13" i="28"/>
  <c r="C13" i="28"/>
  <c r="S13" i="28" s="1"/>
  <c r="R13" i="28"/>
  <c r="P13" i="28"/>
  <c r="O13" i="28"/>
  <c r="L12" i="28"/>
  <c r="C12" i="28"/>
  <c r="S12" i="28" s="1"/>
  <c r="R12" i="28"/>
  <c r="P12" i="28"/>
  <c r="O12" i="28"/>
  <c r="L11" i="28"/>
  <c r="C11" i="28"/>
  <c r="S11" i="28" s="1"/>
  <c r="R11" i="28"/>
  <c r="P11" i="28"/>
  <c r="O11" i="28"/>
  <c r="L10" i="28"/>
  <c r="C10" i="28"/>
  <c r="S10" i="28" s="1"/>
  <c r="R10" i="28"/>
  <c r="P10" i="28"/>
  <c r="O10" i="28"/>
  <c r="L9" i="28"/>
  <c r="C9" i="28"/>
  <c r="R9" i="28"/>
  <c r="P9" i="28"/>
  <c r="O9" i="28"/>
  <c r="C9" i="23"/>
  <c r="O269" i="23"/>
  <c r="O278" i="23"/>
  <c r="J279" i="23"/>
  <c r="L279" i="23" s="1"/>
  <c r="J282" i="23"/>
  <c r="J270" i="23"/>
  <c r="L270" i="23" s="1"/>
  <c r="J271" i="23"/>
  <c r="J272" i="23"/>
  <c r="O273" i="23"/>
  <c r="J274" i="23"/>
  <c r="L274" i="23" s="1"/>
  <c r="Q274" i="23" s="1"/>
  <c r="J275" i="23"/>
  <c r="J276" i="23"/>
  <c r="O277" i="23"/>
  <c r="J280" i="23"/>
  <c r="L280" i="23" s="1"/>
  <c r="Q280" i="23" s="1"/>
  <c r="J281" i="23"/>
  <c r="O242" i="23"/>
  <c r="J243" i="23"/>
  <c r="L243" i="23" s="1"/>
  <c r="J244" i="23"/>
  <c r="J245" i="23"/>
  <c r="J246" i="23"/>
  <c r="J247" i="23"/>
  <c r="L247" i="23" s="1"/>
  <c r="J248" i="23"/>
  <c r="L248" i="23" s="1"/>
  <c r="Q248" i="23" s="1"/>
  <c r="J249" i="23"/>
  <c r="J250" i="23"/>
  <c r="J251" i="23"/>
  <c r="L251" i="23" s="1"/>
  <c r="J252" i="23"/>
  <c r="J253" i="23"/>
  <c r="J254" i="23"/>
  <c r="J255" i="23"/>
  <c r="L255" i="23" s="1"/>
  <c r="J256" i="23"/>
  <c r="L256" i="23" s="1"/>
  <c r="Q256" i="23" s="1"/>
  <c r="O258" i="23"/>
  <c r="J260" i="23"/>
  <c r="L260" i="23" s="1"/>
  <c r="Q260" i="23" s="1"/>
  <c r="J261" i="23"/>
  <c r="J262" i="23"/>
  <c r="J263" i="23"/>
  <c r="L263" i="23" s="1"/>
  <c r="J264" i="23"/>
  <c r="J265" i="23"/>
  <c r="J266" i="23"/>
  <c r="J267" i="23"/>
  <c r="L267" i="23" s="1"/>
  <c r="J268" i="23"/>
  <c r="L268" i="23" s="1"/>
  <c r="Q268" i="23" s="1"/>
  <c r="J230" i="23"/>
  <c r="J231" i="23"/>
  <c r="L231" i="23" s="1"/>
  <c r="J233" i="23"/>
  <c r="J232" i="23"/>
  <c r="L232" i="23" s="1"/>
  <c r="J234" i="23"/>
  <c r="J235" i="23"/>
  <c r="L235" i="23" s="1"/>
  <c r="J236" i="23"/>
  <c r="J237" i="23"/>
  <c r="L237" i="23" s="1"/>
  <c r="J238" i="23"/>
  <c r="J239" i="23"/>
  <c r="L239" i="23" s="1"/>
  <c r="J240" i="23"/>
  <c r="J226" i="23"/>
  <c r="J228" i="23"/>
  <c r="L228" i="23" s="1"/>
  <c r="J215" i="23"/>
  <c r="L215" i="23" s="1"/>
  <c r="J216" i="23"/>
  <c r="L216" i="23" s="1"/>
  <c r="J217" i="23"/>
  <c r="J218" i="23"/>
  <c r="J219" i="23"/>
  <c r="L219" i="23" s="1"/>
  <c r="J220" i="23"/>
  <c r="J221" i="23"/>
  <c r="J222" i="23"/>
  <c r="J223" i="23"/>
  <c r="J224" i="23"/>
  <c r="O201" i="23"/>
  <c r="J202" i="23"/>
  <c r="J203" i="23"/>
  <c r="L203" i="23" s="1"/>
  <c r="J204" i="23"/>
  <c r="J205" i="23"/>
  <c r="L205" i="23" s="1"/>
  <c r="J206" i="23"/>
  <c r="J207" i="23"/>
  <c r="L207" i="23" s="1"/>
  <c r="J208" i="23"/>
  <c r="J209" i="23"/>
  <c r="L209" i="23" s="1"/>
  <c r="J210" i="23"/>
  <c r="J211" i="23"/>
  <c r="L211" i="23" s="1"/>
  <c r="J212" i="23"/>
  <c r="J213" i="23"/>
  <c r="L213" i="23" s="1"/>
  <c r="J174" i="23"/>
  <c r="L174" i="23" s="1"/>
  <c r="J175" i="23"/>
  <c r="L175" i="23" s="1"/>
  <c r="N175" i="23" s="1"/>
  <c r="J176" i="23"/>
  <c r="J177" i="23"/>
  <c r="J178" i="23"/>
  <c r="L178" i="23" s="1"/>
  <c r="J179" i="23"/>
  <c r="J180" i="23"/>
  <c r="L180" i="23" s="1"/>
  <c r="J181" i="23"/>
  <c r="J182" i="23"/>
  <c r="J183" i="23"/>
  <c r="J184" i="23"/>
  <c r="L184" i="23" s="1"/>
  <c r="J185" i="23"/>
  <c r="J186" i="23"/>
  <c r="J187" i="23"/>
  <c r="J188" i="23"/>
  <c r="L188" i="23" s="1"/>
  <c r="J189" i="23"/>
  <c r="J190" i="23"/>
  <c r="L190" i="23" s="1"/>
  <c r="J191" i="23"/>
  <c r="J192" i="23"/>
  <c r="L192" i="23" s="1"/>
  <c r="J193" i="23"/>
  <c r="J194" i="23"/>
  <c r="L194" i="23" s="1"/>
  <c r="J195" i="23"/>
  <c r="J196" i="23"/>
  <c r="L196" i="23" s="1"/>
  <c r="J197" i="23"/>
  <c r="J198" i="23"/>
  <c r="L198" i="23" s="1"/>
  <c r="J199" i="23"/>
  <c r="J200" i="23"/>
  <c r="L200" i="23" s="1"/>
  <c r="J165" i="23"/>
  <c r="J166" i="23"/>
  <c r="J167" i="23"/>
  <c r="L167" i="23" s="1"/>
  <c r="J168" i="23"/>
  <c r="J171" i="23"/>
  <c r="L171" i="23" s="1"/>
  <c r="J172" i="23"/>
  <c r="J173" i="23"/>
  <c r="J149" i="23"/>
  <c r="J150" i="23"/>
  <c r="J151" i="23"/>
  <c r="L151" i="23" s="1"/>
  <c r="J152" i="23"/>
  <c r="L152" i="23" s="1"/>
  <c r="Q152" i="23" s="1"/>
  <c r="J153" i="23"/>
  <c r="J154" i="23"/>
  <c r="O155" i="23"/>
  <c r="O156" i="23"/>
  <c r="O158" i="23"/>
  <c r="O159" i="23"/>
  <c r="J160" i="23"/>
  <c r="L160" i="23" s="1"/>
  <c r="Q160" i="23" s="1"/>
  <c r="J161" i="23"/>
  <c r="J162" i="23"/>
  <c r="J163" i="23"/>
  <c r="L163" i="23" s="1"/>
  <c r="J136" i="23"/>
  <c r="L136" i="23" s="1"/>
  <c r="J137" i="23"/>
  <c r="J138" i="23"/>
  <c r="L138" i="23" s="1"/>
  <c r="J139" i="23"/>
  <c r="J140" i="23"/>
  <c r="L140" i="23" s="1"/>
  <c r="J141" i="23"/>
  <c r="J142" i="23"/>
  <c r="L142" i="23" s="1"/>
  <c r="J143" i="23"/>
  <c r="J144" i="23"/>
  <c r="L144" i="23" s="1"/>
  <c r="J145" i="23"/>
  <c r="J146" i="23"/>
  <c r="L146" i="23" s="1"/>
  <c r="J147" i="23"/>
  <c r="L117" i="23"/>
  <c r="J118" i="23"/>
  <c r="L118" i="23" s="1"/>
  <c r="J119" i="23"/>
  <c r="L119" i="23" s="1"/>
  <c r="J133" i="23"/>
  <c r="L133" i="23" s="1"/>
  <c r="J120" i="23"/>
  <c r="L120" i="23" s="1"/>
  <c r="J121" i="23"/>
  <c r="L121" i="23" s="1"/>
  <c r="J122" i="23"/>
  <c r="L122" i="23" s="1"/>
  <c r="J123" i="23"/>
  <c r="L123" i="23" s="1"/>
  <c r="J124" i="23"/>
  <c r="L124" i="23" s="1"/>
  <c r="J125" i="23"/>
  <c r="L125" i="23" s="1"/>
  <c r="J126" i="23"/>
  <c r="L126" i="23" s="1"/>
  <c r="J127" i="23"/>
  <c r="L127" i="23" s="1"/>
  <c r="J128" i="23"/>
  <c r="L128" i="23" s="1"/>
  <c r="J129" i="23"/>
  <c r="L129" i="23" s="1"/>
  <c r="J130" i="23"/>
  <c r="L130" i="23" s="1"/>
  <c r="J131" i="23"/>
  <c r="L131" i="23" s="1"/>
  <c r="J132" i="23"/>
  <c r="L132" i="23" s="1"/>
  <c r="J134" i="23"/>
  <c r="L134" i="23" s="1"/>
  <c r="J135" i="23"/>
  <c r="L135" i="23" s="1"/>
  <c r="J104" i="23"/>
  <c r="L104" i="23" s="1"/>
  <c r="J105" i="23"/>
  <c r="L105" i="23" s="1"/>
  <c r="J106" i="23"/>
  <c r="L106" i="23" s="1"/>
  <c r="J107" i="23"/>
  <c r="L107" i="23" s="1"/>
  <c r="J108" i="23"/>
  <c r="L108" i="23" s="1"/>
  <c r="J109" i="23"/>
  <c r="L109" i="23" s="1"/>
  <c r="J110" i="23"/>
  <c r="L110" i="23" s="1"/>
  <c r="J111" i="23"/>
  <c r="L111" i="23" s="1"/>
  <c r="J112" i="23"/>
  <c r="L112" i="23" s="1"/>
  <c r="J113" i="23"/>
  <c r="L113" i="23" s="1"/>
  <c r="J114" i="23"/>
  <c r="L114" i="23" s="1"/>
  <c r="J115" i="23"/>
  <c r="L115" i="23" s="1"/>
  <c r="J116" i="23"/>
  <c r="L116" i="23" s="1"/>
  <c r="J77" i="23"/>
  <c r="L77" i="23" s="1"/>
  <c r="J85" i="23"/>
  <c r="L85" i="23" s="1"/>
  <c r="J79" i="23"/>
  <c r="L79" i="23" s="1"/>
  <c r="J80" i="23"/>
  <c r="L80" i="23" s="1"/>
  <c r="J81" i="23"/>
  <c r="L81" i="23" s="1"/>
  <c r="J83" i="23"/>
  <c r="L83" i="23" s="1"/>
  <c r="J84" i="23"/>
  <c r="L84" i="23" s="1"/>
  <c r="J86" i="23"/>
  <c r="L86" i="23" s="1"/>
  <c r="J87" i="23"/>
  <c r="L87" i="23" s="1"/>
  <c r="J88" i="23"/>
  <c r="L88" i="23" s="1"/>
  <c r="J89" i="23"/>
  <c r="L89" i="23" s="1"/>
  <c r="J90" i="23"/>
  <c r="L90" i="23" s="1"/>
  <c r="J91" i="23"/>
  <c r="L91" i="23" s="1"/>
  <c r="J92" i="23"/>
  <c r="L92" i="23" s="1"/>
  <c r="J93" i="23"/>
  <c r="L93" i="23" s="1"/>
  <c r="J94" i="23"/>
  <c r="L94" i="23" s="1"/>
  <c r="J95" i="23"/>
  <c r="L95" i="23" s="1"/>
  <c r="J96" i="23"/>
  <c r="L96" i="23" s="1"/>
  <c r="J97" i="23"/>
  <c r="L97" i="23" s="1"/>
  <c r="J98" i="23"/>
  <c r="L98" i="23" s="1"/>
  <c r="J56" i="23"/>
  <c r="L56" i="23" s="1"/>
  <c r="J57" i="23"/>
  <c r="L57" i="23" s="1"/>
  <c r="Q57" i="23" s="1"/>
  <c r="J58" i="23"/>
  <c r="L58" i="23" s="1"/>
  <c r="J61" i="23"/>
  <c r="L61" i="23" s="1"/>
  <c r="J63" i="23"/>
  <c r="L63" i="23" s="1"/>
  <c r="J67" i="23"/>
  <c r="L67" i="23" s="1"/>
  <c r="Q67" i="23" s="1"/>
  <c r="J65" i="23"/>
  <c r="L65" i="23" s="1"/>
  <c r="J68" i="23"/>
  <c r="L68" i="23" s="1"/>
  <c r="J69" i="23"/>
  <c r="L69" i="23" s="1"/>
  <c r="J71" i="23"/>
  <c r="L71" i="23" s="1"/>
  <c r="Q71" i="23" s="1"/>
  <c r="J72" i="23"/>
  <c r="L72" i="23" s="1"/>
  <c r="L73" i="23"/>
  <c r="J47" i="23"/>
  <c r="L47" i="23" s="1"/>
  <c r="J48" i="23"/>
  <c r="L48" i="23" s="1"/>
  <c r="J49" i="23"/>
  <c r="L49" i="23" s="1"/>
  <c r="J50" i="23"/>
  <c r="L50" i="23" s="1"/>
  <c r="J51" i="23"/>
  <c r="L51" i="23" s="1"/>
  <c r="J52" i="23"/>
  <c r="L52" i="23" s="1"/>
  <c r="J53" i="23"/>
  <c r="L53" i="23" s="1"/>
  <c r="J54" i="23"/>
  <c r="L54" i="23" s="1"/>
  <c r="J42" i="23"/>
  <c r="L42" i="23" s="1"/>
  <c r="N42" i="23" s="1"/>
  <c r="J43" i="23"/>
  <c r="L43" i="23" s="1"/>
  <c r="L44" i="23"/>
  <c r="J45" i="23"/>
  <c r="L45" i="23" s="1"/>
  <c r="N45" i="23" s="1"/>
  <c r="I19" i="23"/>
  <c r="J19" i="23" s="1"/>
  <c r="I22" i="23"/>
  <c r="J22" i="23" s="1"/>
  <c r="L22" i="23" s="1"/>
  <c r="I23" i="23"/>
  <c r="J23" i="23" s="1"/>
  <c r="I24" i="23"/>
  <c r="J24" i="23" s="1"/>
  <c r="L24" i="23" s="1"/>
  <c r="I9" i="23"/>
  <c r="I10" i="23"/>
  <c r="I11" i="23"/>
  <c r="J11" i="23" s="1"/>
  <c r="I12" i="23"/>
  <c r="I13" i="23"/>
  <c r="J13" i="23" s="1"/>
  <c r="I14" i="23"/>
  <c r="O14" i="23" s="1"/>
  <c r="I15" i="23"/>
  <c r="J15" i="23" s="1"/>
  <c r="I18" i="23"/>
  <c r="O18" i="23" s="1"/>
  <c r="I20" i="23"/>
  <c r="J20" i="23" s="1"/>
  <c r="I21" i="23"/>
  <c r="J21" i="23" s="1"/>
  <c r="L21" i="23" s="1"/>
  <c r="I25" i="23"/>
  <c r="J25" i="23" s="1"/>
  <c r="I26" i="23"/>
  <c r="J26" i="23" s="1"/>
  <c r="L26" i="23" s="1"/>
  <c r="I27" i="23"/>
  <c r="J27" i="23" s="1"/>
  <c r="I28" i="23"/>
  <c r="J28" i="23" s="1"/>
  <c r="L28" i="23" s="1"/>
  <c r="I29" i="23"/>
  <c r="J29" i="23" s="1"/>
  <c r="I30" i="23"/>
  <c r="J30" i="23" s="1"/>
  <c r="L30" i="23" s="1"/>
  <c r="I31" i="23"/>
  <c r="J31" i="23" s="1"/>
  <c r="I33" i="23"/>
  <c r="J33" i="23" s="1"/>
  <c r="L33" i="23" s="1"/>
  <c r="I34" i="23"/>
  <c r="I35" i="23"/>
  <c r="O35" i="23" s="1"/>
  <c r="I36" i="23"/>
  <c r="O36" i="23" s="1"/>
  <c r="I37" i="23"/>
  <c r="O37" i="23" s="1"/>
  <c r="I38" i="23"/>
  <c r="O38" i="23" s="1"/>
  <c r="I39" i="23"/>
  <c r="J39" i="23" s="1"/>
  <c r="L39" i="23" s="1"/>
  <c r="I40" i="23"/>
  <c r="I41" i="23"/>
  <c r="O41" i="23" s="1"/>
  <c r="C15" i="23"/>
  <c r="S15" i="23" s="1"/>
  <c r="J227" i="23"/>
  <c r="S9" i="23"/>
  <c r="R10" i="23"/>
  <c r="R11" i="23"/>
  <c r="R12" i="23"/>
  <c r="R13" i="23"/>
  <c r="R14" i="23"/>
  <c r="R15" i="23"/>
  <c r="R18" i="23"/>
  <c r="R19" i="23"/>
  <c r="R20" i="23"/>
  <c r="R21" i="23"/>
  <c r="R22" i="23"/>
  <c r="R23" i="23"/>
  <c r="R24" i="23"/>
  <c r="R25" i="23"/>
  <c r="R26" i="23"/>
  <c r="R27" i="23"/>
  <c r="R28" i="23"/>
  <c r="R29" i="23"/>
  <c r="R30" i="23"/>
  <c r="R31" i="23"/>
  <c r="R33" i="23"/>
  <c r="R34" i="23"/>
  <c r="R35" i="23"/>
  <c r="R36" i="23"/>
  <c r="R37" i="23"/>
  <c r="R38" i="23"/>
  <c r="R39" i="23"/>
  <c r="R40" i="23"/>
  <c r="R41" i="23"/>
  <c r="R42" i="23"/>
  <c r="R43" i="23"/>
  <c r="R44" i="23"/>
  <c r="R45" i="23"/>
  <c r="R46" i="23"/>
  <c r="R47" i="23"/>
  <c r="R48" i="23"/>
  <c r="R49" i="23"/>
  <c r="R50" i="23"/>
  <c r="R51" i="23"/>
  <c r="R52" i="23"/>
  <c r="R53" i="23"/>
  <c r="R54" i="23"/>
  <c r="R55" i="23"/>
  <c r="R56" i="23"/>
  <c r="R57" i="23"/>
  <c r="R58" i="23"/>
  <c r="R59" i="23"/>
  <c r="R60" i="23"/>
  <c r="R61" i="23"/>
  <c r="R62" i="23"/>
  <c r="R63" i="23"/>
  <c r="R64" i="23"/>
  <c r="R65" i="23"/>
  <c r="R66" i="23"/>
  <c r="R67" i="23"/>
  <c r="R68" i="23"/>
  <c r="R69" i="23"/>
  <c r="R70" i="23"/>
  <c r="R71" i="23"/>
  <c r="R72" i="23"/>
  <c r="R73" i="23"/>
  <c r="R74" i="23"/>
  <c r="R75" i="23"/>
  <c r="R76" i="23"/>
  <c r="R77" i="23"/>
  <c r="R78" i="23"/>
  <c r="R79" i="23"/>
  <c r="R80" i="23"/>
  <c r="R81" i="23"/>
  <c r="R82" i="23"/>
  <c r="R83" i="23"/>
  <c r="R84" i="23"/>
  <c r="R85" i="23"/>
  <c r="R86" i="23"/>
  <c r="R87" i="23"/>
  <c r="R88" i="23"/>
  <c r="R89" i="23"/>
  <c r="R90" i="23"/>
  <c r="R91" i="23"/>
  <c r="R92" i="23"/>
  <c r="R93" i="23"/>
  <c r="R94" i="23"/>
  <c r="R95" i="23"/>
  <c r="R96" i="23"/>
  <c r="R97" i="23"/>
  <c r="R98" i="23"/>
  <c r="R104" i="23"/>
  <c r="R105" i="23"/>
  <c r="R106" i="23"/>
  <c r="R107" i="23"/>
  <c r="R108" i="23"/>
  <c r="R109" i="23"/>
  <c r="R110" i="23"/>
  <c r="R111" i="23"/>
  <c r="R112" i="23"/>
  <c r="R113" i="23"/>
  <c r="R114" i="23"/>
  <c r="R115" i="23"/>
  <c r="R116" i="23"/>
  <c r="R117" i="23"/>
  <c r="R118" i="23"/>
  <c r="R119" i="23"/>
  <c r="R120" i="23"/>
  <c r="R121" i="23"/>
  <c r="R122" i="23"/>
  <c r="R123" i="23"/>
  <c r="R124" i="23"/>
  <c r="R125" i="23"/>
  <c r="R126" i="23"/>
  <c r="R127" i="23"/>
  <c r="R128" i="23"/>
  <c r="R129" i="23"/>
  <c r="R130" i="23"/>
  <c r="R131" i="23"/>
  <c r="R132" i="23"/>
  <c r="R133" i="23"/>
  <c r="R134" i="23"/>
  <c r="R135" i="23"/>
  <c r="R136" i="23"/>
  <c r="R137" i="23"/>
  <c r="R138" i="23"/>
  <c r="R139" i="23"/>
  <c r="R140" i="23"/>
  <c r="R141" i="23"/>
  <c r="R142" i="23"/>
  <c r="R143" i="23"/>
  <c r="R144" i="23"/>
  <c r="R145" i="23"/>
  <c r="R146" i="23"/>
  <c r="R147" i="23"/>
  <c r="R148" i="23"/>
  <c r="R149" i="23"/>
  <c r="R150" i="23"/>
  <c r="R151" i="23"/>
  <c r="R152" i="23"/>
  <c r="R153" i="23"/>
  <c r="R154" i="23"/>
  <c r="R155" i="23"/>
  <c r="R156" i="23"/>
  <c r="R157" i="23"/>
  <c r="R158" i="23"/>
  <c r="R159" i="23"/>
  <c r="R160" i="23"/>
  <c r="R161" i="23"/>
  <c r="R162" i="23"/>
  <c r="R163" i="23"/>
  <c r="R164" i="23"/>
  <c r="R165" i="23"/>
  <c r="R166" i="23"/>
  <c r="R167" i="23"/>
  <c r="R168" i="23"/>
  <c r="R169" i="23"/>
  <c r="R170" i="23"/>
  <c r="R171" i="23"/>
  <c r="R172" i="23"/>
  <c r="R173" i="23"/>
  <c r="R174" i="23"/>
  <c r="R175" i="23"/>
  <c r="R176" i="23"/>
  <c r="R177" i="23"/>
  <c r="R178" i="23"/>
  <c r="R179" i="23"/>
  <c r="R180" i="23"/>
  <c r="R181" i="23"/>
  <c r="R182" i="23"/>
  <c r="R183" i="23"/>
  <c r="R184" i="23"/>
  <c r="R185" i="23"/>
  <c r="R186" i="23"/>
  <c r="R187" i="23"/>
  <c r="R188" i="23"/>
  <c r="R189" i="23"/>
  <c r="R190" i="23"/>
  <c r="R191" i="23"/>
  <c r="R192" i="23"/>
  <c r="R193" i="23"/>
  <c r="R194" i="23"/>
  <c r="R195" i="23"/>
  <c r="R196" i="23"/>
  <c r="R197" i="23"/>
  <c r="R198" i="23"/>
  <c r="R199" i="23"/>
  <c r="R200" i="23"/>
  <c r="R201" i="23"/>
  <c r="R202" i="23"/>
  <c r="R203" i="23"/>
  <c r="R204" i="23"/>
  <c r="R205" i="23"/>
  <c r="R206" i="23"/>
  <c r="R207" i="23"/>
  <c r="R208" i="23"/>
  <c r="R209" i="23"/>
  <c r="R210" i="23"/>
  <c r="R211" i="23"/>
  <c r="R212" i="23"/>
  <c r="R213" i="23"/>
  <c r="R214" i="23"/>
  <c r="R215" i="23"/>
  <c r="R216" i="23"/>
  <c r="R217" i="23"/>
  <c r="R218" i="23"/>
  <c r="R219" i="23"/>
  <c r="R220" i="23"/>
  <c r="R221" i="23"/>
  <c r="R222" i="23"/>
  <c r="R223" i="23"/>
  <c r="R224" i="23"/>
  <c r="R225" i="23"/>
  <c r="R226" i="23"/>
  <c r="R227" i="23"/>
  <c r="R228" i="23"/>
  <c r="R229" i="23"/>
  <c r="R230" i="23"/>
  <c r="R231" i="23"/>
  <c r="R232" i="23"/>
  <c r="R233" i="23"/>
  <c r="R234" i="23"/>
  <c r="R235" i="23"/>
  <c r="R236" i="23"/>
  <c r="R237" i="23"/>
  <c r="R238" i="23"/>
  <c r="R239" i="23"/>
  <c r="R240" i="23"/>
  <c r="R242" i="23"/>
  <c r="R243" i="23"/>
  <c r="R244" i="23"/>
  <c r="R245" i="23"/>
  <c r="R246" i="23"/>
  <c r="R247" i="23"/>
  <c r="R248" i="23"/>
  <c r="R249" i="23"/>
  <c r="R250" i="23"/>
  <c r="R251" i="23"/>
  <c r="R252" i="23"/>
  <c r="R253" i="23"/>
  <c r="R254" i="23"/>
  <c r="R255" i="23"/>
  <c r="R256" i="23"/>
  <c r="R257" i="23"/>
  <c r="R258" i="23"/>
  <c r="R259" i="23"/>
  <c r="R260" i="23"/>
  <c r="R261" i="23"/>
  <c r="R262" i="23"/>
  <c r="R263" i="23"/>
  <c r="R264" i="23"/>
  <c r="R265" i="23"/>
  <c r="R266" i="23"/>
  <c r="R267" i="23"/>
  <c r="R268" i="23"/>
  <c r="R269" i="23"/>
  <c r="R270" i="23"/>
  <c r="R271" i="23"/>
  <c r="R272" i="23"/>
  <c r="R273" i="23"/>
  <c r="R274" i="23"/>
  <c r="R275" i="23"/>
  <c r="R276" i="23"/>
  <c r="R277" i="23"/>
  <c r="R278" i="23"/>
  <c r="R279" i="23"/>
  <c r="R280" i="23"/>
  <c r="R281" i="23"/>
  <c r="R282" i="23"/>
  <c r="R9" i="23"/>
  <c r="P10" i="23"/>
  <c r="P11" i="23"/>
  <c r="P12" i="23"/>
  <c r="P13" i="23"/>
  <c r="P14" i="23"/>
  <c r="P15" i="23"/>
  <c r="P18" i="23"/>
  <c r="P19" i="23"/>
  <c r="P20" i="23"/>
  <c r="P21" i="23"/>
  <c r="P22" i="23"/>
  <c r="P23" i="23"/>
  <c r="P24" i="23"/>
  <c r="P25" i="23"/>
  <c r="P26" i="23"/>
  <c r="P27" i="23"/>
  <c r="P28" i="23"/>
  <c r="P29" i="23"/>
  <c r="P30" i="23"/>
  <c r="P31" i="23"/>
  <c r="P33" i="23"/>
  <c r="P34" i="23"/>
  <c r="P35" i="23"/>
  <c r="P36" i="23"/>
  <c r="P37" i="23"/>
  <c r="P38" i="23"/>
  <c r="P39" i="23"/>
  <c r="P40" i="23"/>
  <c r="P41" i="23"/>
  <c r="P42" i="23"/>
  <c r="P43" i="23"/>
  <c r="P44" i="23"/>
  <c r="P45" i="23"/>
  <c r="P46" i="23"/>
  <c r="P47" i="23"/>
  <c r="P48" i="23"/>
  <c r="P49" i="23"/>
  <c r="P50" i="23"/>
  <c r="P51" i="23"/>
  <c r="P52" i="23"/>
  <c r="P53" i="23"/>
  <c r="P54" i="23"/>
  <c r="P55" i="23"/>
  <c r="P56" i="23"/>
  <c r="P57" i="23"/>
  <c r="P58" i="23"/>
  <c r="P59" i="23"/>
  <c r="P60" i="23"/>
  <c r="P61" i="23"/>
  <c r="P62" i="23"/>
  <c r="P63" i="23"/>
  <c r="P64" i="23"/>
  <c r="P65" i="23"/>
  <c r="P66" i="23"/>
  <c r="P67" i="23"/>
  <c r="P68" i="23"/>
  <c r="P69" i="23"/>
  <c r="P70" i="23"/>
  <c r="P71" i="23"/>
  <c r="P72" i="23"/>
  <c r="P73" i="23"/>
  <c r="P74" i="23"/>
  <c r="P75" i="23"/>
  <c r="P76" i="23"/>
  <c r="P77" i="23"/>
  <c r="P78" i="23"/>
  <c r="P79" i="23"/>
  <c r="P80" i="23"/>
  <c r="P81" i="23"/>
  <c r="P82" i="23"/>
  <c r="P83" i="23"/>
  <c r="P84" i="23"/>
  <c r="P85" i="23"/>
  <c r="P86" i="23"/>
  <c r="P87" i="23"/>
  <c r="P88" i="23"/>
  <c r="P89" i="23"/>
  <c r="P90" i="23"/>
  <c r="P91" i="23"/>
  <c r="P92" i="23"/>
  <c r="P93" i="23"/>
  <c r="P94" i="23"/>
  <c r="P95" i="23"/>
  <c r="P96" i="23"/>
  <c r="P97" i="23"/>
  <c r="P98" i="23"/>
  <c r="P104" i="23"/>
  <c r="P105" i="23"/>
  <c r="P106" i="23"/>
  <c r="P107" i="23"/>
  <c r="P108" i="23"/>
  <c r="P109" i="23"/>
  <c r="P110" i="23"/>
  <c r="P111" i="23"/>
  <c r="P112" i="23"/>
  <c r="P113" i="23"/>
  <c r="P114" i="23"/>
  <c r="P115" i="23"/>
  <c r="P116" i="23"/>
  <c r="P117" i="23"/>
  <c r="P118" i="23"/>
  <c r="P119" i="23"/>
  <c r="P120" i="23"/>
  <c r="P121" i="23"/>
  <c r="P122" i="23"/>
  <c r="P123" i="23"/>
  <c r="P124" i="23"/>
  <c r="P125" i="23"/>
  <c r="P126" i="23"/>
  <c r="P127" i="23"/>
  <c r="P128" i="23"/>
  <c r="P129" i="23"/>
  <c r="P130" i="23"/>
  <c r="P131" i="23"/>
  <c r="P132" i="23"/>
  <c r="P133" i="23"/>
  <c r="P134" i="23"/>
  <c r="P135" i="23"/>
  <c r="P136" i="23"/>
  <c r="P137" i="23"/>
  <c r="P138" i="23"/>
  <c r="P139" i="23"/>
  <c r="P140" i="23"/>
  <c r="P141" i="23"/>
  <c r="P142" i="23"/>
  <c r="P143" i="23"/>
  <c r="P144" i="23"/>
  <c r="P145" i="23"/>
  <c r="P146" i="23"/>
  <c r="P147" i="23"/>
  <c r="P148" i="23"/>
  <c r="P149" i="23"/>
  <c r="P150" i="23"/>
  <c r="P151" i="23"/>
  <c r="P152" i="23"/>
  <c r="P153" i="23"/>
  <c r="P154" i="23"/>
  <c r="P155" i="23"/>
  <c r="P156" i="23"/>
  <c r="P157" i="23"/>
  <c r="P158" i="23"/>
  <c r="P159" i="23"/>
  <c r="P160" i="23"/>
  <c r="P161" i="23"/>
  <c r="P162" i="23"/>
  <c r="P163" i="23"/>
  <c r="P164" i="23"/>
  <c r="P165" i="23"/>
  <c r="P166" i="23"/>
  <c r="P167" i="23"/>
  <c r="P168" i="23"/>
  <c r="P169" i="23"/>
  <c r="P170" i="23"/>
  <c r="P171" i="23"/>
  <c r="P172" i="23"/>
  <c r="P173" i="23"/>
  <c r="P174" i="23"/>
  <c r="P175" i="23"/>
  <c r="P176" i="23"/>
  <c r="P177" i="23"/>
  <c r="P178" i="23"/>
  <c r="P179" i="23"/>
  <c r="P180" i="23"/>
  <c r="P181" i="23"/>
  <c r="P182" i="23"/>
  <c r="P183" i="23"/>
  <c r="P184" i="23"/>
  <c r="P185" i="23"/>
  <c r="P186" i="23"/>
  <c r="P187" i="23"/>
  <c r="P188" i="23"/>
  <c r="P189" i="23"/>
  <c r="P190" i="23"/>
  <c r="P191" i="23"/>
  <c r="P192" i="23"/>
  <c r="P193" i="23"/>
  <c r="P194" i="23"/>
  <c r="P195" i="23"/>
  <c r="P196" i="23"/>
  <c r="P197" i="23"/>
  <c r="P198" i="23"/>
  <c r="P199" i="23"/>
  <c r="P200" i="23"/>
  <c r="P201" i="23"/>
  <c r="P202" i="23"/>
  <c r="P203" i="23"/>
  <c r="P204" i="23"/>
  <c r="P205" i="23"/>
  <c r="P206" i="23"/>
  <c r="P207" i="23"/>
  <c r="P208" i="23"/>
  <c r="P209" i="23"/>
  <c r="P210" i="23"/>
  <c r="P211" i="23"/>
  <c r="P212" i="23"/>
  <c r="P213" i="23"/>
  <c r="P214" i="23"/>
  <c r="P215" i="23"/>
  <c r="P216" i="23"/>
  <c r="P217" i="23"/>
  <c r="P218" i="23"/>
  <c r="P219" i="23"/>
  <c r="P220" i="23"/>
  <c r="P221" i="23"/>
  <c r="P222" i="23"/>
  <c r="P223" i="23"/>
  <c r="P224" i="23"/>
  <c r="P226" i="23"/>
  <c r="P227" i="23"/>
  <c r="P228" i="23"/>
  <c r="P229" i="23"/>
  <c r="P230" i="23"/>
  <c r="P231" i="23"/>
  <c r="P232" i="23"/>
  <c r="P233" i="23"/>
  <c r="P234" i="23"/>
  <c r="P235" i="23"/>
  <c r="P236" i="23"/>
  <c r="P237" i="23"/>
  <c r="P238" i="23"/>
  <c r="P239" i="23"/>
  <c r="P240" i="23"/>
  <c r="P242" i="23"/>
  <c r="P243" i="23"/>
  <c r="P244" i="23"/>
  <c r="P245" i="23"/>
  <c r="P246" i="23"/>
  <c r="P247" i="23"/>
  <c r="P248" i="23"/>
  <c r="P249" i="23"/>
  <c r="P250" i="23"/>
  <c r="P251" i="23"/>
  <c r="P252" i="23"/>
  <c r="P253" i="23"/>
  <c r="P254" i="23"/>
  <c r="P255" i="23"/>
  <c r="P256" i="23"/>
  <c r="P257" i="23"/>
  <c r="P258" i="23"/>
  <c r="P259" i="23"/>
  <c r="P260" i="23"/>
  <c r="P261" i="23"/>
  <c r="P262" i="23"/>
  <c r="P263" i="23"/>
  <c r="P264" i="23"/>
  <c r="P265" i="23"/>
  <c r="P266" i="23"/>
  <c r="P267" i="23"/>
  <c r="P268" i="23"/>
  <c r="P269" i="23"/>
  <c r="P270" i="23"/>
  <c r="P271" i="23"/>
  <c r="P272" i="23"/>
  <c r="P273" i="23"/>
  <c r="P274" i="23"/>
  <c r="P275" i="23"/>
  <c r="P276" i="23"/>
  <c r="P277" i="23"/>
  <c r="P278" i="23"/>
  <c r="P279" i="23"/>
  <c r="P280" i="23"/>
  <c r="P281" i="23"/>
  <c r="P282" i="23"/>
  <c r="P9" i="23"/>
  <c r="O42" i="23"/>
  <c r="O43" i="23"/>
  <c r="O44" i="23"/>
  <c r="O45" i="23"/>
  <c r="O46" i="23"/>
  <c r="O47" i="23"/>
  <c r="O48" i="23"/>
  <c r="O49" i="23"/>
  <c r="O50" i="23"/>
  <c r="O51" i="23"/>
  <c r="O52" i="23"/>
  <c r="O53" i="23"/>
  <c r="O54" i="23"/>
  <c r="O55" i="23"/>
  <c r="O56" i="23"/>
  <c r="O57" i="23"/>
  <c r="O58" i="23"/>
  <c r="O59" i="23"/>
  <c r="O60" i="23"/>
  <c r="O61" i="23"/>
  <c r="O63" i="23"/>
  <c r="O64" i="23"/>
  <c r="O65" i="23"/>
  <c r="O67" i="23"/>
  <c r="O68" i="23"/>
  <c r="O69" i="23"/>
  <c r="O71" i="23"/>
  <c r="O72" i="23"/>
  <c r="O73" i="23"/>
  <c r="O75" i="23"/>
  <c r="O76" i="23"/>
  <c r="O77" i="23"/>
  <c r="O79" i="23"/>
  <c r="O80" i="23"/>
  <c r="O81" i="23"/>
  <c r="O83" i="23"/>
  <c r="O84" i="23"/>
  <c r="O85" i="23"/>
  <c r="O87" i="23"/>
  <c r="O88" i="23"/>
  <c r="O89" i="23"/>
  <c r="O91" i="23"/>
  <c r="O92" i="23"/>
  <c r="O93" i="23"/>
  <c r="O95" i="23"/>
  <c r="O96" i="23"/>
  <c r="O97" i="23"/>
  <c r="O104" i="23"/>
  <c r="O105" i="23"/>
  <c r="O106" i="23"/>
  <c r="O107" i="23"/>
  <c r="O108" i="23"/>
  <c r="O109" i="23"/>
  <c r="O110" i="23"/>
  <c r="O111" i="23"/>
  <c r="O112" i="23"/>
  <c r="O113" i="23"/>
  <c r="O114" i="23"/>
  <c r="O115" i="23"/>
  <c r="O116" i="23"/>
  <c r="O117" i="23"/>
  <c r="O118" i="23"/>
  <c r="O119" i="23"/>
  <c r="O120" i="23"/>
  <c r="O121" i="23"/>
  <c r="O122" i="23"/>
  <c r="O123" i="23"/>
  <c r="O124" i="23"/>
  <c r="O125" i="23"/>
  <c r="O126" i="23"/>
  <c r="O127" i="23"/>
  <c r="O128" i="23"/>
  <c r="O129" i="23"/>
  <c r="O130" i="23"/>
  <c r="O131" i="23"/>
  <c r="O132" i="23"/>
  <c r="O133" i="23"/>
  <c r="O134" i="23"/>
  <c r="O135" i="23"/>
  <c r="O136" i="23"/>
  <c r="O139" i="23"/>
  <c r="O142" i="23"/>
  <c r="O148" i="23"/>
  <c r="O152" i="23"/>
  <c r="O157" i="23"/>
  <c r="O169" i="23"/>
  <c r="O171" i="23"/>
  <c r="O175" i="23"/>
  <c r="O185" i="23"/>
  <c r="O188" i="23"/>
  <c r="O196" i="23"/>
  <c r="O203" i="23"/>
  <c r="O211" i="23"/>
  <c r="O212" i="23"/>
  <c r="O217" i="23"/>
  <c r="O221" i="23"/>
  <c r="O227" i="23"/>
  <c r="O228" i="23"/>
  <c r="O229" i="23"/>
  <c r="O231" i="23"/>
  <c r="O232" i="23"/>
  <c r="O235" i="23"/>
  <c r="O237" i="23"/>
  <c r="O239" i="23"/>
  <c r="O243" i="23"/>
  <c r="O245" i="23"/>
  <c r="O247" i="23"/>
  <c r="O249" i="23"/>
  <c r="O251" i="23"/>
  <c r="O253" i="23"/>
  <c r="O256" i="23"/>
  <c r="O257" i="23"/>
  <c r="O259" i="23"/>
  <c r="O261" i="23"/>
  <c r="O263" i="23"/>
  <c r="O265" i="23"/>
  <c r="O267" i="23"/>
  <c r="O270" i="23"/>
  <c r="O274" i="23"/>
  <c r="O279" i="23"/>
  <c r="O281" i="23"/>
  <c r="O282" i="23"/>
  <c r="P225" i="23"/>
  <c r="C10" i="23"/>
  <c r="C11" i="23"/>
  <c r="S11" i="23" s="1"/>
  <c r="C12" i="23"/>
  <c r="S12" i="23" s="1"/>
  <c r="C13" i="23"/>
  <c r="S13" i="23" s="1"/>
  <c r="C14" i="23"/>
  <c r="S14" i="23" s="1"/>
  <c r="C18" i="23"/>
  <c r="S18" i="23" s="1"/>
  <c r="C19" i="23"/>
  <c r="S19" i="23" s="1"/>
  <c r="C20" i="23"/>
  <c r="S20" i="23" s="1"/>
  <c r="C21" i="23"/>
  <c r="S21" i="23" s="1"/>
  <c r="C22" i="23"/>
  <c r="S22" i="23" s="1"/>
  <c r="C23" i="23"/>
  <c r="S23" i="23" s="1"/>
  <c r="C24" i="23"/>
  <c r="S24" i="23" s="1"/>
  <c r="C25" i="23"/>
  <c r="S25" i="23" s="1"/>
  <c r="C26" i="23"/>
  <c r="S26" i="23" s="1"/>
  <c r="C27" i="23"/>
  <c r="S27" i="23" s="1"/>
  <c r="C28" i="23"/>
  <c r="S28" i="23" s="1"/>
  <c r="C29" i="23"/>
  <c r="S29" i="23" s="1"/>
  <c r="C30" i="23"/>
  <c r="S30" i="23" s="1"/>
  <c r="C31" i="23"/>
  <c r="S31" i="23" s="1"/>
  <c r="C33" i="23"/>
  <c r="S33" i="23" s="1"/>
  <c r="C34" i="23"/>
  <c r="S34" i="23" s="1"/>
  <c r="C35" i="23"/>
  <c r="S35" i="23" s="1"/>
  <c r="C36" i="23"/>
  <c r="S36" i="23" s="1"/>
  <c r="C37" i="23"/>
  <c r="S37" i="23" s="1"/>
  <c r="C38" i="23"/>
  <c r="S38" i="23" s="1"/>
  <c r="C39" i="23"/>
  <c r="S39" i="23" s="1"/>
  <c r="C40" i="23"/>
  <c r="S40" i="23" s="1"/>
  <c r="C41" i="23"/>
  <c r="S41" i="23" s="1"/>
  <c r="C42" i="23"/>
  <c r="C43" i="23"/>
  <c r="S43" i="23" s="1"/>
  <c r="C44" i="23"/>
  <c r="S44" i="23" s="1"/>
  <c r="C45" i="23"/>
  <c r="S45" i="23" s="1"/>
  <c r="C46" i="23"/>
  <c r="S46" i="23" s="1"/>
  <c r="C47" i="23"/>
  <c r="C48" i="23"/>
  <c r="S48" i="23" s="1"/>
  <c r="C49" i="23"/>
  <c r="S49" i="23" s="1"/>
  <c r="C50" i="23"/>
  <c r="S50" i="23" s="1"/>
  <c r="C51" i="23"/>
  <c r="S51" i="23" s="1"/>
  <c r="C52" i="23"/>
  <c r="S52" i="23" s="1"/>
  <c r="C53" i="23"/>
  <c r="S53" i="23" s="1"/>
  <c r="C54" i="23"/>
  <c r="S54" i="23" s="1"/>
  <c r="C55" i="23"/>
  <c r="S55" i="23" s="1"/>
  <c r="C56" i="23"/>
  <c r="S56" i="23" s="1"/>
  <c r="C57" i="23"/>
  <c r="S57" i="23" s="1"/>
  <c r="C58" i="23"/>
  <c r="S58" i="23" s="1"/>
  <c r="C59" i="23"/>
  <c r="S59" i="23" s="1"/>
  <c r="C60" i="23"/>
  <c r="S60" i="23" s="1"/>
  <c r="C61" i="23"/>
  <c r="S61" i="23" s="1"/>
  <c r="C62" i="23"/>
  <c r="S62" i="23" s="1"/>
  <c r="C63" i="23"/>
  <c r="S63" i="23" s="1"/>
  <c r="C64" i="23"/>
  <c r="S64" i="23" s="1"/>
  <c r="C65" i="23"/>
  <c r="S65" i="23" s="1"/>
  <c r="C66" i="23"/>
  <c r="S66" i="23" s="1"/>
  <c r="C67" i="23"/>
  <c r="S67" i="23" s="1"/>
  <c r="C68" i="23"/>
  <c r="S68" i="23" s="1"/>
  <c r="C69" i="23"/>
  <c r="S69" i="23" s="1"/>
  <c r="C70" i="23"/>
  <c r="S70" i="23" s="1"/>
  <c r="C71" i="23"/>
  <c r="S71" i="23" s="1"/>
  <c r="C72" i="23"/>
  <c r="S72" i="23" s="1"/>
  <c r="C73" i="23"/>
  <c r="S73" i="23" s="1"/>
  <c r="C74" i="23"/>
  <c r="S74" i="23" s="1"/>
  <c r="C75" i="23"/>
  <c r="S75" i="23" s="1"/>
  <c r="C76" i="23"/>
  <c r="S76" i="23" s="1"/>
  <c r="C77" i="23"/>
  <c r="S77" i="23" s="1"/>
  <c r="C78" i="23"/>
  <c r="S78" i="23" s="1"/>
  <c r="C79" i="23"/>
  <c r="S79" i="23" s="1"/>
  <c r="C80" i="23"/>
  <c r="S80" i="23" s="1"/>
  <c r="C81" i="23"/>
  <c r="S81" i="23" s="1"/>
  <c r="C82" i="23"/>
  <c r="S82" i="23" s="1"/>
  <c r="C83" i="23"/>
  <c r="S83" i="23" s="1"/>
  <c r="C84" i="23"/>
  <c r="S84" i="23" s="1"/>
  <c r="C85" i="23"/>
  <c r="S85" i="23" s="1"/>
  <c r="C86" i="23"/>
  <c r="S86" i="23" s="1"/>
  <c r="C87" i="23"/>
  <c r="S87" i="23" s="1"/>
  <c r="C88" i="23"/>
  <c r="S88" i="23" s="1"/>
  <c r="C89" i="23"/>
  <c r="S89" i="23" s="1"/>
  <c r="C90" i="23"/>
  <c r="S90" i="23" s="1"/>
  <c r="C91" i="23"/>
  <c r="S91" i="23" s="1"/>
  <c r="C92" i="23"/>
  <c r="S92" i="23" s="1"/>
  <c r="C93" i="23"/>
  <c r="S93" i="23" s="1"/>
  <c r="C94" i="23"/>
  <c r="S94" i="23" s="1"/>
  <c r="C95" i="23"/>
  <c r="S95" i="23" s="1"/>
  <c r="C96" i="23"/>
  <c r="S96" i="23" s="1"/>
  <c r="C97" i="23"/>
  <c r="S97" i="23" s="1"/>
  <c r="C98" i="23"/>
  <c r="S98" i="23" s="1"/>
  <c r="C104" i="23"/>
  <c r="S104" i="23" s="1"/>
  <c r="C105" i="23"/>
  <c r="S105" i="23" s="1"/>
  <c r="C106" i="23"/>
  <c r="S106" i="23" s="1"/>
  <c r="C107" i="23"/>
  <c r="S107" i="23" s="1"/>
  <c r="C108" i="23"/>
  <c r="S108" i="23" s="1"/>
  <c r="C109" i="23"/>
  <c r="S109" i="23" s="1"/>
  <c r="C110" i="23"/>
  <c r="S110" i="23" s="1"/>
  <c r="C111" i="23"/>
  <c r="S111" i="23" s="1"/>
  <c r="C112" i="23"/>
  <c r="S112" i="23" s="1"/>
  <c r="C113" i="23"/>
  <c r="S113" i="23" s="1"/>
  <c r="C114" i="23"/>
  <c r="S114" i="23" s="1"/>
  <c r="C115" i="23"/>
  <c r="S115" i="23" s="1"/>
  <c r="C116" i="23"/>
  <c r="S116" i="23" s="1"/>
  <c r="C117" i="23"/>
  <c r="C118" i="23"/>
  <c r="S118" i="23" s="1"/>
  <c r="C119" i="23"/>
  <c r="S119" i="23" s="1"/>
  <c r="C120" i="23"/>
  <c r="S120" i="23" s="1"/>
  <c r="C121" i="23"/>
  <c r="S121" i="23" s="1"/>
  <c r="C122" i="23"/>
  <c r="S122" i="23" s="1"/>
  <c r="C123" i="23"/>
  <c r="S123" i="23" s="1"/>
  <c r="C124" i="23"/>
  <c r="S124" i="23" s="1"/>
  <c r="C125" i="23"/>
  <c r="S125" i="23" s="1"/>
  <c r="C126" i="23"/>
  <c r="S126" i="23" s="1"/>
  <c r="C127" i="23"/>
  <c r="S127" i="23" s="1"/>
  <c r="C128" i="23"/>
  <c r="S128" i="23" s="1"/>
  <c r="C129" i="23"/>
  <c r="S129" i="23" s="1"/>
  <c r="C130" i="23"/>
  <c r="S130" i="23" s="1"/>
  <c r="C131" i="23"/>
  <c r="S131" i="23" s="1"/>
  <c r="C132" i="23"/>
  <c r="S132" i="23" s="1"/>
  <c r="C133" i="23"/>
  <c r="S133" i="23" s="1"/>
  <c r="C134" i="23"/>
  <c r="S134" i="23" s="1"/>
  <c r="C135" i="23"/>
  <c r="S135" i="23" s="1"/>
  <c r="C136" i="23"/>
  <c r="C137" i="23"/>
  <c r="S137" i="23" s="1"/>
  <c r="C138" i="23"/>
  <c r="S138" i="23" s="1"/>
  <c r="C139" i="23"/>
  <c r="S139" i="23" s="1"/>
  <c r="C140" i="23"/>
  <c r="S140" i="23" s="1"/>
  <c r="C141" i="23"/>
  <c r="S141" i="23" s="1"/>
  <c r="C142" i="23"/>
  <c r="S142" i="23" s="1"/>
  <c r="C143" i="23"/>
  <c r="S143" i="23" s="1"/>
  <c r="C144" i="23"/>
  <c r="S144" i="23" s="1"/>
  <c r="C145" i="23"/>
  <c r="S145" i="23" s="1"/>
  <c r="C146" i="23"/>
  <c r="S146" i="23" s="1"/>
  <c r="C147" i="23"/>
  <c r="S147" i="23" s="1"/>
  <c r="C148" i="23"/>
  <c r="C149" i="23"/>
  <c r="S149" i="23" s="1"/>
  <c r="C150" i="23"/>
  <c r="S150" i="23" s="1"/>
  <c r="C151" i="23"/>
  <c r="S151" i="23" s="1"/>
  <c r="C152" i="23"/>
  <c r="S152" i="23" s="1"/>
  <c r="C153" i="23"/>
  <c r="S153" i="23" s="1"/>
  <c r="C154" i="23"/>
  <c r="S154" i="23" s="1"/>
  <c r="C155" i="23"/>
  <c r="S155" i="23" s="1"/>
  <c r="C156" i="23"/>
  <c r="S156" i="23" s="1"/>
  <c r="C157" i="23"/>
  <c r="S157" i="23" s="1"/>
  <c r="C158" i="23"/>
  <c r="S158" i="23" s="1"/>
  <c r="C159" i="23"/>
  <c r="S159" i="23" s="1"/>
  <c r="C160" i="23"/>
  <c r="S160" i="23" s="1"/>
  <c r="C161" i="23"/>
  <c r="S161" i="23" s="1"/>
  <c r="C162" i="23"/>
  <c r="S162" i="23" s="1"/>
  <c r="C163" i="23"/>
  <c r="S163" i="23" s="1"/>
  <c r="C164" i="23"/>
  <c r="C165" i="23"/>
  <c r="S165" i="23" s="1"/>
  <c r="C166" i="23"/>
  <c r="S166" i="23" s="1"/>
  <c r="C167" i="23"/>
  <c r="S167" i="23" s="1"/>
  <c r="C168" i="23"/>
  <c r="S168" i="23" s="1"/>
  <c r="C169" i="23"/>
  <c r="S169" i="23" s="1"/>
  <c r="C170" i="23"/>
  <c r="S170" i="23" s="1"/>
  <c r="C171" i="23"/>
  <c r="S171" i="23" s="1"/>
  <c r="C172" i="23"/>
  <c r="S172" i="23" s="1"/>
  <c r="C173" i="23"/>
  <c r="S173" i="23" s="1"/>
  <c r="C174" i="23"/>
  <c r="C175" i="23"/>
  <c r="S175" i="23" s="1"/>
  <c r="C176" i="23"/>
  <c r="S176" i="23" s="1"/>
  <c r="C177" i="23"/>
  <c r="S177" i="23" s="1"/>
  <c r="C178" i="23"/>
  <c r="S178" i="23" s="1"/>
  <c r="C179" i="23"/>
  <c r="S179" i="23" s="1"/>
  <c r="C180" i="23"/>
  <c r="S180" i="23" s="1"/>
  <c r="C181" i="23"/>
  <c r="S181" i="23" s="1"/>
  <c r="C182" i="23"/>
  <c r="S182" i="23" s="1"/>
  <c r="C183" i="23"/>
  <c r="S183" i="23" s="1"/>
  <c r="C184" i="23"/>
  <c r="S184" i="23" s="1"/>
  <c r="C185" i="23"/>
  <c r="S185" i="23" s="1"/>
  <c r="C186" i="23"/>
  <c r="S186" i="23" s="1"/>
  <c r="C187" i="23"/>
  <c r="S187" i="23" s="1"/>
  <c r="C188" i="23"/>
  <c r="S188" i="23" s="1"/>
  <c r="C189" i="23"/>
  <c r="S189" i="23" s="1"/>
  <c r="C190" i="23"/>
  <c r="S190" i="23" s="1"/>
  <c r="C191" i="23"/>
  <c r="S191" i="23" s="1"/>
  <c r="C192" i="23"/>
  <c r="S192" i="23" s="1"/>
  <c r="C193" i="23"/>
  <c r="S193" i="23" s="1"/>
  <c r="C194" i="23"/>
  <c r="S194" i="23" s="1"/>
  <c r="C195" i="23"/>
  <c r="S195" i="23" s="1"/>
  <c r="C196" i="23"/>
  <c r="S196" i="23" s="1"/>
  <c r="C197" i="23"/>
  <c r="S197" i="23" s="1"/>
  <c r="C198" i="23"/>
  <c r="S198" i="23" s="1"/>
  <c r="C199" i="23"/>
  <c r="S199" i="23" s="1"/>
  <c r="C200" i="23"/>
  <c r="S200" i="23" s="1"/>
  <c r="C201" i="23"/>
  <c r="C202" i="23"/>
  <c r="S202" i="23" s="1"/>
  <c r="C203" i="23"/>
  <c r="S203" i="23" s="1"/>
  <c r="C204" i="23"/>
  <c r="S204" i="23" s="1"/>
  <c r="C205" i="23"/>
  <c r="S205" i="23" s="1"/>
  <c r="C206" i="23"/>
  <c r="S206" i="23" s="1"/>
  <c r="C207" i="23"/>
  <c r="S207" i="23" s="1"/>
  <c r="C208" i="23"/>
  <c r="S208" i="23" s="1"/>
  <c r="C209" i="23"/>
  <c r="S209" i="23" s="1"/>
  <c r="C210" i="23"/>
  <c r="S210" i="23" s="1"/>
  <c r="C211" i="23"/>
  <c r="S211" i="23" s="1"/>
  <c r="C212" i="23"/>
  <c r="S212" i="23" s="1"/>
  <c r="C213" i="23"/>
  <c r="S213" i="23" s="1"/>
  <c r="C214" i="23"/>
  <c r="C215" i="23"/>
  <c r="S215" i="23" s="1"/>
  <c r="C216" i="23"/>
  <c r="S216" i="23" s="1"/>
  <c r="C217" i="23"/>
  <c r="S217" i="23" s="1"/>
  <c r="C218" i="23"/>
  <c r="S218" i="23" s="1"/>
  <c r="C219" i="23"/>
  <c r="S219" i="23" s="1"/>
  <c r="C220" i="23"/>
  <c r="S220" i="23" s="1"/>
  <c r="C221" i="23"/>
  <c r="S221" i="23" s="1"/>
  <c r="C222" i="23"/>
  <c r="S222" i="23" s="1"/>
  <c r="C223" i="23"/>
  <c r="S223" i="23" s="1"/>
  <c r="C224" i="23"/>
  <c r="S224" i="23" s="1"/>
  <c r="C225" i="23"/>
  <c r="C226" i="23"/>
  <c r="S226" i="23" s="1"/>
  <c r="C227" i="23"/>
  <c r="S227" i="23" s="1"/>
  <c r="C228" i="23"/>
  <c r="S228" i="23" s="1"/>
  <c r="C229" i="23"/>
  <c r="S229" i="23" s="1"/>
  <c r="C230" i="23"/>
  <c r="S230" i="23" s="1"/>
  <c r="C231" i="23"/>
  <c r="S231" i="23" s="1"/>
  <c r="C232" i="23"/>
  <c r="S232" i="23" s="1"/>
  <c r="C233" i="23"/>
  <c r="S233" i="23" s="1"/>
  <c r="C234" i="23"/>
  <c r="S234" i="23" s="1"/>
  <c r="C235" i="23"/>
  <c r="S235" i="23" s="1"/>
  <c r="C236" i="23"/>
  <c r="S236" i="23" s="1"/>
  <c r="C237" i="23"/>
  <c r="S237" i="23" s="1"/>
  <c r="C238" i="23"/>
  <c r="S238" i="23" s="1"/>
  <c r="C239" i="23"/>
  <c r="S239" i="23" s="1"/>
  <c r="C240" i="23"/>
  <c r="S240" i="23" s="1"/>
  <c r="C242" i="23"/>
  <c r="S242" i="23" s="1"/>
  <c r="C243" i="23"/>
  <c r="S243" i="23" s="1"/>
  <c r="C244" i="23"/>
  <c r="S244" i="23" s="1"/>
  <c r="C245" i="23"/>
  <c r="S245" i="23" s="1"/>
  <c r="C246" i="23"/>
  <c r="S246" i="23" s="1"/>
  <c r="C247" i="23"/>
  <c r="S247" i="23" s="1"/>
  <c r="C248" i="23"/>
  <c r="S248" i="23" s="1"/>
  <c r="C249" i="23"/>
  <c r="S249" i="23" s="1"/>
  <c r="C250" i="23"/>
  <c r="S250" i="23" s="1"/>
  <c r="C251" i="23"/>
  <c r="S251" i="23" s="1"/>
  <c r="C252" i="23"/>
  <c r="S252" i="23" s="1"/>
  <c r="C253" i="23"/>
  <c r="S253" i="23" s="1"/>
  <c r="C254" i="23"/>
  <c r="S254" i="23" s="1"/>
  <c r="C255" i="23"/>
  <c r="S255" i="23" s="1"/>
  <c r="C256" i="23"/>
  <c r="S256" i="23" s="1"/>
  <c r="C257" i="23"/>
  <c r="S257" i="23" s="1"/>
  <c r="C258" i="23"/>
  <c r="S258" i="23" s="1"/>
  <c r="C259" i="23"/>
  <c r="S259" i="23" s="1"/>
  <c r="C260" i="23"/>
  <c r="S260" i="23" s="1"/>
  <c r="C261" i="23"/>
  <c r="S261" i="23" s="1"/>
  <c r="C262" i="23"/>
  <c r="S262" i="23" s="1"/>
  <c r="C263" i="23"/>
  <c r="S263" i="23" s="1"/>
  <c r="C264" i="23"/>
  <c r="S264" i="23" s="1"/>
  <c r="C265" i="23"/>
  <c r="S265" i="23" s="1"/>
  <c r="C266" i="23"/>
  <c r="S266" i="23" s="1"/>
  <c r="C267" i="23"/>
  <c r="S267" i="23" s="1"/>
  <c r="C268" i="23"/>
  <c r="S268" i="23" s="1"/>
  <c r="C269" i="23"/>
  <c r="C270" i="23"/>
  <c r="S270" i="23" s="1"/>
  <c r="C271" i="23"/>
  <c r="S271" i="23" s="1"/>
  <c r="C272" i="23"/>
  <c r="S272" i="23" s="1"/>
  <c r="C273" i="23"/>
  <c r="S273" i="23" s="1"/>
  <c r="C274" i="23"/>
  <c r="S274" i="23" s="1"/>
  <c r="C275" i="23"/>
  <c r="S275" i="23" s="1"/>
  <c r="C276" i="23"/>
  <c r="S276" i="23" s="1"/>
  <c r="C277" i="23"/>
  <c r="S277" i="23" s="1"/>
  <c r="C278" i="23"/>
  <c r="S278" i="23" s="1"/>
  <c r="C279" i="23"/>
  <c r="S279" i="23" s="1"/>
  <c r="C280" i="23"/>
  <c r="S280" i="23" s="1"/>
  <c r="C281" i="23"/>
  <c r="S281" i="23" s="1"/>
  <c r="C282" i="23"/>
  <c r="S282" i="23" s="1"/>
  <c r="C13" i="25"/>
  <c r="C14" i="25"/>
  <c r="C15" i="25"/>
  <c r="C11" i="25"/>
  <c r="C12" i="25"/>
  <c r="C6" i="25"/>
  <c r="C33" i="25"/>
  <c r="C34" i="25"/>
  <c r="C35" i="25"/>
  <c r="C31" i="25"/>
  <c r="C32" i="25"/>
  <c r="C27" i="25"/>
  <c r="C28" i="25"/>
  <c r="C29" i="25"/>
  <c r="C30" i="25"/>
  <c r="C26" i="25"/>
  <c r="C19" i="25"/>
  <c r="C20" i="25"/>
  <c r="D9" i="37" l="1"/>
  <c r="D47" i="38"/>
  <c r="D51" i="37"/>
  <c r="D36" i="38"/>
  <c r="D33" i="37"/>
  <c r="D44" i="37"/>
  <c r="D47" i="37"/>
  <c r="D55" i="27"/>
  <c r="D48" i="27"/>
  <c r="D27" i="27"/>
  <c r="S136" i="28"/>
  <c r="S214" i="28"/>
  <c r="D55" i="37"/>
  <c r="D38" i="38"/>
  <c r="D42" i="37"/>
  <c r="D22" i="37"/>
  <c r="S174" i="28"/>
  <c r="D27" i="38"/>
  <c r="S201" i="29"/>
  <c r="D24" i="37"/>
  <c r="D48" i="38"/>
  <c r="D8" i="37"/>
  <c r="D36" i="37"/>
  <c r="D38" i="37"/>
  <c r="D46" i="37"/>
  <c r="D9" i="38"/>
  <c r="D31" i="37"/>
  <c r="D11" i="38"/>
  <c r="D11" i="37"/>
  <c r="D6" i="38"/>
  <c r="D24" i="38"/>
  <c r="D22" i="38"/>
  <c r="D33" i="38"/>
  <c r="D30" i="38"/>
  <c r="D52" i="38"/>
  <c r="D51" i="38"/>
  <c r="D50" i="38"/>
  <c r="D60" i="38"/>
  <c r="S269" i="29"/>
  <c r="D68" i="38"/>
  <c r="D67" i="38"/>
  <c r="D55" i="38"/>
  <c r="D43" i="38"/>
  <c r="D19" i="38"/>
  <c r="D20" i="38"/>
  <c r="D10" i="38"/>
  <c r="S47" i="29"/>
  <c r="S148" i="29"/>
  <c r="S164" i="29"/>
  <c r="D42" i="38"/>
  <c r="D44" i="38"/>
  <c r="D35" i="38"/>
  <c r="D59" i="38"/>
  <c r="S42" i="29"/>
  <c r="D8" i="38"/>
  <c r="D46" i="38"/>
  <c r="S9" i="28"/>
  <c r="D2" i="37"/>
  <c r="S224" i="28"/>
  <c r="D52" i="37"/>
  <c r="D68" i="37"/>
  <c r="S269" i="28"/>
  <c r="D67" i="37"/>
  <c r="D19" i="37"/>
  <c r="D20" i="37"/>
  <c r="S225" i="28"/>
  <c r="D60" i="37"/>
  <c r="D59" i="37"/>
  <c r="D10" i="37"/>
  <c r="D27" i="37"/>
  <c r="D35" i="37"/>
  <c r="D43" i="37"/>
  <c r="D48" i="37"/>
  <c r="S42" i="28"/>
  <c r="D6" i="37"/>
  <c r="D30" i="37"/>
  <c r="D50" i="37"/>
  <c r="D38" i="27"/>
  <c r="D36" i="27"/>
  <c r="D68" i="27"/>
  <c r="D52" i="27"/>
  <c r="D43" i="27"/>
  <c r="D11" i="27"/>
  <c r="D8" i="27"/>
  <c r="O19" i="23"/>
  <c r="S214" i="23"/>
  <c r="S174" i="23"/>
  <c r="S10" i="23"/>
  <c r="D9" i="27"/>
  <c r="D22" i="27"/>
  <c r="D44" i="27"/>
  <c r="D46" i="27"/>
  <c r="D50" i="27"/>
  <c r="D19" i="27"/>
  <c r="D20" i="27"/>
  <c r="S225" i="23"/>
  <c r="S201" i="23"/>
  <c r="S117" i="23"/>
  <c r="D10" i="27"/>
  <c r="D24" i="27"/>
  <c r="D33" i="27"/>
  <c r="D47" i="27"/>
  <c r="D51" i="27"/>
  <c r="S269" i="23"/>
  <c r="S164" i="23"/>
  <c r="S148" i="23"/>
  <c r="S136" i="23"/>
  <c r="S47" i="23"/>
  <c r="D6" i="27"/>
  <c r="D35" i="27"/>
  <c r="D42" i="27"/>
  <c r="S42" i="23"/>
  <c r="D58" i="27"/>
  <c r="D58" i="38"/>
  <c r="D58" i="37"/>
  <c r="D21" i="38"/>
  <c r="D21" i="27"/>
  <c r="D21" i="37"/>
  <c r="O30" i="23"/>
  <c r="O24" i="23"/>
  <c r="J37" i="23"/>
  <c r="L37" i="23" s="1"/>
  <c r="N37" i="23" s="1"/>
  <c r="O33" i="23"/>
  <c r="O22" i="23"/>
  <c r="J40" i="23"/>
  <c r="L40" i="23" s="1"/>
  <c r="J9" i="23"/>
  <c r="L9" i="23" s="1"/>
  <c r="J14" i="23"/>
  <c r="L14" i="23" s="1"/>
  <c r="J10" i="23"/>
  <c r="L10" i="23" s="1"/>
  <c r="O21" i="23"/>
  <c r="O10" i="23"/>
  <c r="J18" i="23"/>
  <c r="L18" i="23" s="1"/>
  <c r="J12" i="23"/>
  <c r="L12" i="23" s="1"/>
  <c r="O28" i="23"/>
  <c r="O34" i="23"/>
  <c r="J34" i="23"/>
  <c r="L34" i="23" s="1"/>
  <c r="N34" i="23" s="1"/>
  <c r="N63" i="29"/>
  <c r="T63" i="29"/>
  <c r="T67" i="29"/>
  <c r="N67" i="29"/>
  <c r="Q71" i="29"/>
  <c r="T71" i="29" s="1"/>
  <c r="O220" i="23"/>
  <c r="O163" i="23"/>
  <c r="O194" i="23"/>
  <c r="O174" i="23"/>
  <c r="O272" i="23"/>
  <c r="O190" i="23"/>
  <c r="O182" i="23"/>
  <c r="O151" i="23"/>
  <c r="O140" i="23"/>
  <c r="O238" i="23"/>
  <c r="O224" i="23"/>
  <c r="O216" i="23"/>
  <c r="O209" i="23"/>
  <c r="O198" i="23"/>
  <c r="O178" i="23"/>
  <c r="C65" i="25"/>
  <c r="O276" i="23"/>
  <c r="O213" i="23"/>
  <c r="O205" i="23"/>
  <c r="O186" i="23"/>
  <c r="O168" i="23"/>
  <c r="O144" i="23"/>
  <c r="Q54" i="23"/>
  <c r="T54" i="23" s="1"/>
  <c r="N54" i="23"/>
  <c r="C83" i="25"/>
  <c r="O260" i="23"/>
  <c r="O240" i="23"/>
  <c r="O236" i="23"/>
  <c r="O214" i="23"/>
  <c r="O180" i="23"/>
  <c r="O39" i="23"/>
  <c r="O25" i="23"/>
  <c r="O11" i="23"/>
  <c r="J277" i="23"/>
  <c r="L277" i="23" s="1"/>
  <c r="Q277" i="23" s="1"/>
  <c r="T277" i="23" s="1"/>
  <c r="O264" i="23"/>
  <c r="O252" i="23"/>
  <c r="O207" i="23"/>
  <c r="O200" i="23"/>
  <c r="O192" i="23"/>
  <c r="O161" i="23"/>
  <c r="O153" i="23"/>
  <c r="O146" i="23"/>
  <c r="C78" i="25"/>
  <c r="O275" i="23"/>
  <c r="O268" i="23"/>
  <c r="O184" i="23"/>
  <c r="O176" i="23"/>
  <c r="O138" i="23"/>
  <c r="O29" i="23"/>
  <c r="O15" i="23"/>
  <c r="Q52" i="23"/>
  <c r="T52" i="23" s="1"/>
  <c r="N52" i="23"/>
  <c r="Q69" i="23"/>
  <c r="T69" i="23" s="1"/>
  <c r="N69" i="23"/>
  <c r="J259" i="23"/>
  <c r="L259" i="23" s="1"/>
  <c r="Q259" i="23" s="1"/>
  <c r="T259" i="23" s="1"/>
  <c r="Q50" i="23"/>
  <c r="T50" i="23" s="1"/>
  <c r="N50" i="23"/>
  <c r="N48" i="23"/>
  <c r="Q48" i="23"/>
  <c r="T48" i="23" s="1"/>
  <c r="O40" i="23"/>
  <c r="J41" i="23"/>
  <c r="C43" i="25"/>
  <c r="C79" i="25"/>
  <c r="O280" i="23"/>
  <c r="O244" i="23"/>
  <c r="O230" i="23"/>
  <c r="O226" i="23"/>
  <c r="O215" i="23"/>
  <c r="O189" i="23"/>
  <c r="O143" i="23"/>
  <c r="C41" i="25"/>
  <c r="C55" i="25"/>
  <c r="O248" i="23"/>
  <c r="O234" i="23"/>
  <c r="O219" i="23"/>
  <c r="O204" i="23"/>
  <c r="O193" i="23"/>
  <c r="O177" i="23"/>
  <c r="O173" i="23"/>
  <c r="O167" i="23"/>
  <c r="O147" i="23"/>
  <c r="C81" i="25"/>
  <c r="O255" i="23"/>
  <c r="C56" i="25"/>
  <c r="O271" i="23"/>
  <c r="O223" i="23"/>
  <c r="O208" i="23"/>
  <c r="O197" i="23"/>
  <c r="O181" i="23"/>
  <c r="O165" i="23"/>
  <c r="J159" i="23"/>
  <c r="L159" i="23" s="1"/>
  <c r="Q159" i="23" s="1"/>
  <c r="T159" i="23" s="1"/>
  <c r="N76" i="23"/>
  <c r="Q73" i="23"/>
  <c r="T73" i="23" s="1"/>
  <c r="N73" i="23"/>
  <c r="J155" i="23"/>
  <c r="L155" i="23" s="1"/>
  <c r="Q155" i="23" s="1"/>
  <c r="T155" i="23" s="1"/>
  <c r="O160" i="23"/>
  <c r="J170" i="23"/>
  <c r="L170" i="23" s="1"/>
  <c r="D40" i="27" s="1"/>
  <c r="J201" i="23"/>
  <c r="L201" i="23" s="1"/>
  <c r="Q201" i="23" s="1"/>
  <c r="T201" i="23" s="1"/>
  <c r="J278" i="23"/>
  <c r="L278" i="23" s="1"/>
  <c r="Q278" i="23" s="1"/>
  <c r="T278" i="23" s="1"/>
  <c r="L236" i="28"/>
  <c r="Q236" i="28" s="1"/>
  <c r="N149" i="29"/>
  <c r="N153" i="29"/>
  <c r="J258" i="23"/>
  <c r="L258" i="23" s="1"/>
  <c r="L244" i="23"/>
  <c r="Q244" i="23" s="1"/>
  <c r="Q105" i="29"/>
  <c r="T105" i="29" s="1"/>
  <c r="N105" i="29"/>
  <c r="Q109" i="29"/>
  <c r="T109" i="29" s="1"/>
  <c r="N109" i="29"/>
  <c r="L220" i="23"/>
  <c r="Q220" i="23" s="1"/>
  <c r="Q216" i="23"/>
  <c r="T216" i="23" s="1"/>
  <c r="N216" i="23"/>
  <c r="L252" i="23"/>
  <c r="Q270" i="23"/>
  <c r="T270" i="23" s="1"/>
  <c r="Q240" i="28"/>
  <c r="T240" i="28" s="1"/>
  <c r="Q121" i="29"/>
  <c r="T121" i="29" s="1"/>
  <c r="Q167" i="29"/>
  <c r="T167" i="29" s="1"/>
  <c r="Q184" i="29"/>
  <c r="T184" i="29" s="1"/>
  <c r="N184" i="29"/>
  <c r="D54" i="27"/>
  <c r="L264" i="23"/>
  <c r="Q264" i="23" s="1"/>
  <c r="Q279" i="23"/>
  <c r="T279" i="23" s="1"/>
  <c r="N279" i="23"/>
  <c r="J156" i="23"/>
  <c r="L156" i="23" s="1"/>
  <c r="J169" i="23"/>
  <c r="L169" i="23" s="1"/>
  <c r="N169" i="23" s="1"/>
  <c r="J242" i="23"/>
  <c r="L242" i="23" s="1"/>
  <c r="J273" i="23"/>
  <c r="L273" i="23" s="1"/>
  <c r="Q273" i="23" s="1"/>
  <c r="T273" i="23" s="1"/>
  <c r="Q120" i="28"/>
  <c r="T120" i="28" s="1"/>
  <c r="N232" i="28"/>
  <c r="N234" i="28"/>
  <c r="Q226" i="29"/>
  <c r="T226" i="29" s="1"/>
  <c r="J214" i="23"/>
  <c r="L214" i="23" s="1"/>
  <c r="Q214" i="23" s="1"/>
  <c r="T214" i="23" s="1"/>
  <c r="N268" i="23"/>
  <c r="N248" i="23"/>
  <c r="N214" i="28"/>
  <c r="N180" i="29"/>
  <c r="D63" i="38"/>
  <c r="C37" i="25"/>
  <c r="O225" i="23"/>
  <c r="O172" i="23"/>
  <c r="O149" i="23"/>
  <c r="O145" i="23"/>
  <c r="O141" i="23"/>
  <c r="O137" i="23"/>
  <c r="J157" i="23"/>
  <c r="L157" i="23" s="1"/>
  <c r="Q157" i="23" s="1"/>
  <c r="T157" i="23" s="1"/>
  <c r="J148" i="23"/>
  <c r="L148" i="23" s="1"/>
  <c r="Q148" i="23" s="1"/>
  <c r="T148" i="23" s="1"/>
  <c r="J257" i="23"/>
  <c r="L257" i="23" s="1"/>
  <c r="Q257" i="23" s="1"/>
  <c r="T257" i="23" s="1"/>
  <c r="Q238" i="28"/>
  <c r="T238" i="28" s="1"/>
  <c r="N252" i="29"/>
  <c r="J164" i="23"/>
  <c r="L164" i="23" s="1"/>
  <c r="J229" i="23"/>
  <c r="L229" i="23" s="1"/>
  <c r="N260" i="23"/>
  <c r="N256" i="23"/>
  <c r="C80" i="25"/>
  <c r="N280" i="23"/>
  <c r="J269" i="23"/>
  <c r="L269" i="23" s="1"/>
  <c r="C3" i="25"/>
  <c r="O9" i="23"/>
  <c r="O26" i="23"/>
  <c r="J38" i="23"/>
  <c r="L38" i="23" s="1"/>
  <c r="N38" i="23" s="1"/>
  <c r="O12" i="23"/>
  <c r="C4" i="25"/>
  <c r="Q58" i="23"/>
  <c r="T58" i="23" s="1"/>
  <c r="Q53" i="23"/>
  <c r="T53" i="23" s="1"/>
  <c r="Q56" i="23"/>
  <c r="T56" i="23" s="1"/>
  <c r="Q49" i="23"/>
  <c r="T49" i="23" s="1"/>
  <c r="Q51" i="23"/>
  <c r="T51" i="23" s="1"/>
  <c r="N58" i="23"/>
  <c r="N51" i="23"/>
  <c r="D12" i="27"/>
  <c r="T57" i="23"/>
  <c r="N56" i="23"/>
  <c r="Q271" i="29"/>
  <c r="T271" i="29" s="1"/>
  <c r="Q279" i="29"/>
  <c r="T279" i="29" s="1"/>
  <c r="Q275" i="29"/>
  <c r="T275" i="29" s="1"/>
  <c r="N271" i="29"/>
  <c r="T274" i="29"/>
  <c r="N275" i="29"/>
  <c r="T278" i="29"/>
  <c r="N279" i="29"/>
  <c r="N272" i="29"/>
  <c r="N274" i="29"/>
  <c r="N276" i="29"/>
  <c r="N278" i="29"/>
  <c r="N280" i="29"/>
  <c r="L272" i="23"/>
  <c r="N272" i="23" s="1"/>
  <c r="L281" i="23"/>
  <c r="N281" i="23" s="1"/>
  <c r="L282" i="23"/>
  <c r="N282" i="23" s="1"/>
  <c r="L276" i="23"/>
  <c r="L271" i="23"/>
  <c r="L275" i="23"/>
  <c r="N275" i="23" s="1"/>
  <c r="N274" i="23"/>
  <c r="N270" i="23"/>
  <c r="C84" i="25"/>
  <c r="T280" i="23"/>
  <c r="T274" i="23"/>
  <c r="C82" i="25"/>
  <c r="C85" i="25"/>
  <c r="N269" i="29"/>
  <c r="N245" i="29"/>
  <c r="N249" i="29"/>
  <c r="N253" i="29"/>
  <c r="N263" i="29"/>
  <c r="N248" i="29"/>
  <c r="Q244" i="29"/>
  <c r="T244" i="29" s="1"/>
  <c r="Q248" i="29"/>
  <c r="T248" i="29" s="1"/>
  <c r="Q252" i="29"/>
  <c r="T252" i="29" s="1"/>
  <c r="Q256" i="29"/>
  <c r="T256" i="29" s="1"/>
  <c r="N267" i="29"/>
  <c r="L265" i="23"/>
  <c r="N243" i="23"/>
  <c r="Q243" i="23"/>
  <c r="T243" i="23" s="1"/>
  <c r="N247" i="23"/>
  <c r="Q247" i="23"/>
  <c r="T247" i="23" s="1"/>
  <c r="N263" i="23"/>
  <c r="Q263" i="23"/>
  <c r="T263" i="23" s="1"/>
  <c r="L250" i="23"/>
  <c r="N250" i="23" s="1"/>
  <c r="L245" i="23"/>
  <c r="N267" i="23"/>
  <c r="Q267" i="23"/>
  <c r="T267" i="23" s="1"/>
  <c r="L254" i="23"/>
  <c r="N254" i="23" s="1"/>
  <c r="L249" i="23"/>
  <c r="L262" i="23"/>
  <c r="N262" i="23" s="1"/>
  <c r="L253" i="23"/>
  <c r="N253" i="23" s="1"/>
  <c r="N251" i="23"/>
  <c r="Q251" i="23"/>
  <c r="T251" i="23" s="1"/>
  <c r="L266" i="23"/>
  <c r="N266" i="23" s="1"/>
  <c r="L261" i="23"/>
  <c r="N261" i="23" s="1"/>
  <c r="N255" i="23"/>
  <c r="Q255" i="23"/>
  <c r="T255" i="23" s="1"/>
  <c r="L246" i="23"/>
  <c r="N246" i="23" s="1"/>
  <c r="O266" i="23"/>
  <c r="O262" i="23"/>
  <c r="O254" i="23"/>
  <c r="O250" i="23"/>
  <c r="C77" i="25"/>
  <c r="O246" i="23"/>
  <c r="C76" i="25"/>
  <c r="T268" i="23"/>
  <c r="T260" i="23"/>
  <c r="T256" i="23"/>
  <c r="T248" i="23"/>
  <c r="N230" i="28"/>
  <c r="Q231" i="23"/>
  <c r="T231" i="23" s="1"/>
  <c r="N231" i="23"/>
  <c r="L236" i="23"/>
  <c r="N232" i="23"/>
  <c r="Q232" i="23"/>
  <c r="T232" i="23" s="1"/>
  <c r="Q239" i="23"/>
  <c r="T239" i="23" s="1"/>
  <c r="N239" i="23"/>
  <c r="L234" i="23"/>
  <c r="L238" i="23"/>
  <c r="D60" i="27" s="1"/>
  <c r="Q235" i="23"/>
  <c r="T235" i="23" s="1"/>
  <c r="N235" i="23"/>
  <c r="L230" i="23"/>
  <c r="N230" i="23" s="1"/>
  <c r="L240" i="23"/>
  <c r="D59" i="27" s="1"/>
  <c r="Q237" i="23"/>
  <c r="T237" i="23" s="1"/>
  <c r="N237" i="23"/>
  <c r="L233" i="23"/>
  <c r="N233" i="23" s="1"/>
  <c r="O233" i="23"/>
  <c r="L227" i="23"/>
  <c r="L226" i="23"/>
  <c r="N228" i="23"/>
  <c r="Q228" i="23"/>
  <c r="T228" i="23" s="1"/>
  <c r="C69" i="25"/>
  <c r="C66" i="25"/>
  <c r="C68" i="25"/>
  <c r="C70" i="25"/>
  <c r="C67" i="25"/>
  <c r="J225" i="23"/>
  <c r="Q223" i="29"/>
  <c r="T223" i="29" s="1"/>
  <c r="N223" i="29"/>
  <c r="L222" i="23"/>
  <c r="N222" i="23" s="1"/>
  <c r="L217" i="23"/>
  <c r="Q215" i="23"/>
  <c r="T215" i="23" s="1"/>
  <c r="N215" i="23"/>
  <c r="N219" i="23"/>
  <c r="Q219" i="23"/>
  <c r="T219" i="23" s="1"/>
  <c r="L224" i="23"/>
  <c r="N224" i="23" s="1"/>
  <c r="L221" i="23"/>
  <c r="L223" i="23"/>
  <c r="N223" i="23" s="1"/>
  <c r="L218" i="23"/>
  <c r="C61" i="25"/>
  <c r="C62" i="25"/>
  <c r="O222" i="23"/>
  <c r="O218" i="23"/>
  <c r="C63" i="25"/>
  <c r="C64" i="25"/>
  <c r="Q202" i="29"/>
  <c r="T202" i="29" s="1"/>
  <c r="Q206" i="29"/>
  <c r="T206" i="29" s="1"/>
  <c r="N202" i="29"/>
  <c r="N206" i="29"/>
  <c r="N203" i="29"/>
  <c r="Q207" i="23"/>
  <c r="T207" i="23" s="1"/>
  <c r="L212" i="23"/>
  <c r="N212" i="23" s="1"/>
  <c r="N209" i="23"/>
  <c r="Q209" i="23"/>
  <c r="T209" i="23" s="1"/>
  <c r="L204" i="23"/>
  <c r="L202" i="23"/>
  <c r="N202" i="23" s="1"/>
  <c r="Q211" i="23"/>
  <c r="T211" i="23" s="1"/>
  <c r="L206" i="23"/>
  <c r="N206" i="23" s="1"/>
  <c r="Q203" i="23"/>
  <c r="T203" i="23" s="1"/>
  <c r="L210" i="23"/>
  <c r="N210" i="23" s="1"/>
  <c r="N213" i="23"/>
  <c r="Q213" i="23"/>
  <c r="T213" i="23" s="1"/>
  <c r="L208" i="23"/>
  <c r="N205" i="23"/>
  <c r="Q205" i="23"/>
  <c r="T205" i="23" s="1"/>
  <c r="C59" i="25"/>
  <c r="N211" i="23"/>
  <c r="N207" i="23"/>
  <c r="N203" i="23"/>
  <c r="C58" i="25"/>
  <c r="C57" i="25"/>
  <c r="C60" i="25"/>
  <c r="O210" i="23"/>
  <c r="O206" i="23"/>
  <c r="O202" i="23"/>
  <c r="N175" i="29"/>
  <c r="N177" i="29"/>
  <c r="N179" i="29"/>
  <c r="N181" i="29"/>
  <c r="N183" i="29"/>
  <c r="N185" i="29"/>
  <c r="N187" i="29"/>
  <c r="N193" i="29"/>
  <c r="T180" i="29"/>
  <c r="N189" i="29"/>
  <c r="N197" i="29"/>
  <c r="N183" i="28"/>
  <c r="Q174" i="23"/>
  <c r="T174" i="23" s="1"/>
  <c r="Q175" i="23"/>
  <c r="T175" i="23" s="1"/>
  <c r="N174" i="23"/>
  <c r="Q198" i="23"/>
  <c r="T198" i="23" s="1"/>
  <c r="N198" i="23"/>
  <c r="Q190" i="23"/>
  <c r="T190" i="23" s="1"/>
  <c r="N190" i="23"/>
  <c r="L181" i="23"/>
  <c r="Q200" i="23"/>
  <c r="T200" i="23" s="1"/>
  <c r="L195" i="23"/>
  <c r="Q192" i="23"/>
  <c r="T192" i="23" s="1"/>
  <c r="L187" i="23"/>
  <c r="Q180" i="23"/>
  <c r="T180" i="23" s="1"/>
  <c r="Q184" i="23"/>
  <c r="T184" i="23" s="1"/>
  <c r="L197" i="23"/>
  <c r="N197" i="23" s="1"/>
  <c r="Q194" i="23"/>
  <c r="T194" i="23" s="1"/>
  <c r="N194" i="23"/>
  <c r="L189" i="23"/>
  <c r="N189" i="23" s="1"/>
  <c r="L186" i="23"/>
  <c r="L183" i="23"/>
  <c r="N183" i="23" s="1"/>
  <c r="L177" i="23"/>
  <c r="N177" i="23" s="1"/>
  <c r="L193" i="23"/>
  <c r="N193" i="23" s="1"/>
  <c r="Q178" i="23"/>
  <c r="T178" i="23" s="1"/>
  <c r="N178" i="23"/>
  <c r="L199" i="23"/>
  <c r="Q196" i="23"/>
  <c r="T196" i="23" s="1"/>
  <c r="L191" i="23"/>
  <c r="Q188" i="23"/>
  <c r="T188" i="23" s="1"/>
  <c r="L185" i="23"/>
  <c r="N185" i="23" s="1"/>
  <c r="L182" i="23"/>
  <c r="N182" i="23" s="1"/>
  <c r="L179" i="23"/>
  <c r="C53" i="25"/>
  <c r="C52" i="25"/>
  <c r="N200" i="23"/>
  <c r="N196" i="23"/>
  <c r="N192" i="23"/>
  <c r="N188" i="23"/>
  <c r="N184" i="23"/>
  <c r="N180" i="23"/>
  <c r="C51" i="25"/>
  <c r="O199" i="23"/>
  <c r="O195" i="23"/>
  <c r="O191" i="23"/>
  <c r="O187" i="23"/>
  <c r="O183" i="23"/>
  <c r="O179" i="23"/>
  <c r="Q176" i="29"/>
  <c r="T176" i="29" s="1"/>
  <c r="N176" i="29"/>
  <c r="L176" i="23"/>
  <c r="N176" i="23" s="1"/>
  <c r="C54" i="25"/>
  <c r="L173" i="23"/>
  <c r="L168" i="23"/>
  <c r="L172" i="23"/>
  <c r="N172" i="23" s="1"/>
  <c r="Q167" i="23"/>
  <c r="T167" i="23" s="1"/>
  <c r="L166" i="23"/>
  <c r="N166" i="23" s="1"/>
  <c r="Q171" i="23"/>
  <c r="T171" i="23" s="1"/>
  <c r="L165" i="23"/>
  <c r="N165" i="23" s="1"/>
  <c r="O170" i="23"/>
  <c r="O166" i="23"/>
  <c r="C50" i="25"/>
  <c r="N171" i="23"/>
  <c r="N167" i="23"/>
  <c r="C49" i="25"/>
  <c r="O164" i="23"/>
  <c r="C48" i="25"/>
  <c r="C46" i="25"/>
  <c r="C47" i="25"/>
  <c r="Q150" i="29"/>
  <c r="T150" i="29" s="1"/>
  <c r="Q154" i="29"/>
  <c r="T154" i="29" s="1"/>
  <c r="N159" i="29"/>
  <c r="N150" i="29"/>
  <c r="L151" i="29"/>
  <c r="Q151" i="29" s="1"/>
  <c r="N154" i="29"/>
  <c r="L155" i="29"/>
  <c r="Q155" i="29" s="1"/>
  <c r="L163" i="29"/>
  <c r="Q163" i="29" s="1"/>
  <c r="Q152" i="28"/>
  <c r="T152" i="28" s="1"/>
  <c r="Q154" i="28"/>
  <c r="T154" i="28" s="1"/>
  <c r="N154" i="28"/>
  <c r="Q156" i="28"/>
  <c r="T156" i="28" s="1"/>
  <c r="Q158" i="28"/>
  <c r="T158" i="28" s="1"/>
  <c r="Q160" i="28"/>
  <c r="T160" i="28" s="1"/>
  <c r="Q162" i="28"/>
  <c r="T162" i="28" s="1"/>
  <c r="Q150" i="28"/>
  <c r="T150" i="28" s="1"/>
  <c r="Q151" i="23"/>
  <c r="T151" i="23" s="1"/>
  <c r="L153" i="23"/>
  <c r="Q163" i="23"/>
  <c r="T163" i="23" s="1"/>
  <c r="L162" i="23"/>
  <c r="N162" i="23" s="1"/>
  <c r="L150" i="23"/>
  <c r="N150" i="23" s="1"/>
  <c r="L161" i="23"/>
  <c r="L154" i="23"/>
  <c r="L149" i="23"/>
  <c r="N149" i="23" s="1"/>
  <c r="C45" i="25"/>
  <c r="N160" i="23"/>
  <c r="N152" i="23"/>
  <c r="O162" i="23"/>
  <c r="O154" i="23"/>
  <c r="O150" i="23"/>
  <c r="C42" i="25"/>
  <c r="N163" i="23"/>
  <c r="N151" i="23"/>
  <c r="T160" i="23"/>
  <c r="T152" i="23"/>
  <c r="J158" i="23"/>
  <c r="C44" i="25"/>
  <c r="N148" i="29"/>
  <c r="Q137" i="29"/>
  <c r="T137" i="29" s="1"/>
  <c r="Q141" i="29"/>
  <c r="T141" i="29" s="1"/>
  <c r="Q145" i="29"/>
  <c r="T145" i="29" s="1"/>
  <c r="N137" i="29"/>
  <c r="L138" i="29"/>
  <c r="Q138" i="29" s="1"/>
  <c r="N141" i="29"/>
  <c r="L142" i="29"/>
  <c r="Q142" i="29" s="1"/>
  <c r="N145" i="29"/>
  <c r="L147" i="23"/>
  <c r="N144" i="23"/>
  <c r="Q144" i="23"/>
  <c r="T144" i="23" s="1"/>
  <c r="L139" i="23"/>
  <c r="N139" i="23" s="1"/>
  <c r="L145" i="23"/>
  <c r="Q142" i="23"/>
  <c r="T142" i="23" s="1"/>
  <c r="Q146" i="23"/>
  <c r="T146" i="23" s="1"/>
  <c r="L141" i="23"/>
  <c r="N141" i="23" s="1"/>
  <c r="Q138" i="23"/>
  <c r="T138" i="23" s="1"/>
  <c r="L137" i="23"/>
  <c r="N137" i="23" s="1"/>
  <c r="L143" i="23"/>
  <c r="N140" i="23"/>
  <c r="Q140" i="23"/>
  <c r="T140" i="23" s="1"/>
  <c r="C36" i="25"/>
  <c r="N146" i="23"/>
  <c r="N142" i="23"/>
  <c r="N138" i="23"/>
  <c r="C40" i="25"/>
  <c r="C38" i="25"/>
  <c r="C39" i="25"/>
  <c r="N136" i="23"/>
  <c r="Q136" i="23"/>
  <c r="T136" i="23" s="1"/>
  <c r="Q118" i="29"/>
  <c r="T118" i="29" s="1"/>
  <c r="Q134" i="29"/>
  <c r="T134" i="29" s="1"/>
  <c r="Q122" i="29"/>
  <c r="T122" i="29" s="1"/>
  <c r="Q126" i="29"/>
  <c r="T126" i="29" s="1"/>
  <c r="Q130" i="29"/>
  <c r="T130" i="29" s="1"/>
  <c r="N118" i="29"/>
  <c r="N122" i="29"/>
  <c r="T125" i="29"/>
  <c r="N126" i="29"/>
  <c r="T129" i="29"/>
  <c r="N130" i="29"/>
  <c r="T133" i="29"/>
  <c r="N134" i="29"/>
  <c r="N119" i="29"/>
  <c r="N121" i="29"/>
  <c r="N123" i="29"/>
  <c r="N125" i="29"/>
  <c r="N127" i="29"/>
  <c r="N129" i="29"/>
  <c r="N131" i="29"/>
  <c r="N133" i="29"/>
  <c r="N135" i="29"/>
  <c r="Q131" i="23"/>
  <c r="T131" i="23" s="1"/>
  <c r="N131" i="23"/>
  <c r="Q127" i="23"/>
  <c r="T127" i="23" s="1"/>
  <c r="N127" i="23"/>
  <c r="Q123" i="23"/>
  <c r="T123" i="23" s="1"/>
  <c r="N123" i="23"/>
  <c r="Q133" i="23"/>
  <c r="T133" i="23" s="1"/>
  <c r="N133" i="23"/>
  <c r="Q135" i="23"/>
  <c r="T135" i="23" s="1"/>
  <c r="N135" i="23"/>
  <c r="N130" i="23"/>
  <c r="Q130" i="23"/>
  <c r="T130" i="23" s="1"/>
  <c r="N126" i="23"/>
  <c r="Q126" i="23"/>
  <c r="T126" i="23" s="1"/>
  <c r="N122" i="23"/>
  <c r="Q122" i="23"/>
  <c r="T122" i="23" s="1"/>
  <c r="Q119" i="23"/>
  <c r="T119" i="23" s="1"/>
  <c r="N119" i="23"/>
  <c r="N134" i="23"/>
  <c r="Q134" i="23"/>
  <c r="T134" i="23" s="1"/>
  <c r="Q129" i="23"/>
  <c r="T129" i="23" s="1"/>
  <c r="N129" i="23"/>
  <c r="Q125" i="23"/>
  <c r="T125" i="23" s="1"/>
  <c r="N125" i="23"/>
  <c r="Q121" i="23"/>
  <c r="T121" i="23" s="1"/>
  <c r="N121" i="23"/>
  <c r="D28" i="27"/>
  <c r="N118" i="23"/>
  <c r="Q118" i="23"/>
  <c r="T118" i="23" s="1"/>
  <c r="Q132" i="23"/>
  <c r="T132" i="23" s="1"/>
  <c r="N132" i="23"/>
  <c r="Q128" i="23"/>
  <c r="T128" i="23" s="1"/>
  <c r="N128" i="23"/>
  <c r="Q124" i="23"/>
  <c r="T124" i="23" s="1"/>
  <c r="N124" i="23"/>
  <c r="Q120" i="23"/>
  <c r="T120" i="23" s="1"/>
  <c r="D26" i="27"/>
  <c r="N120" i="23"/>
  <c r="Q117" i="23"/>
  <c r="T117" i="23" s="1"/>
  <c r="C26" i="26"/>
  <c r="N117" i="23"/>
  <c r="C27" i="26"/>
  <c r="C25" i="26"/>
  <c r="D29" i="27"/>
  <c r="C28" i="26"/>
  <c r="N110" i="29"/>
  <c r="Q109" i="28"/>
  <c r="T109" i="28" s="1"/>
  <c r="N105" i="28"/>
  <c r="Q105" i="28"/>
  <c r="T105" i="28" s="1"/>
  <c r="Q115" i="28"/>
  <c r="T115" i="28" s="1"/>
  <c r="T111" i="28"/>
  <c r="T107" i="28"/>
  <c r="N111" i="28"/>
  <c r="Q113" i="28"/>
  <c r="T113" i="28" s="1"/>
  <c r="Q116" i="23"/>
  <c r="T116" i="23" s="1"/>
  <c r="N116" i="23"/>
  <c r="Q112" i="23"/>
  <c r="T112" i="23" s="1"/>
  <c r="N112" i="23"/>
  <c r="Q108" i="23"/>
  <c r="T108" i="23" s="1"/>
  <c r="N108" i="23"/>
  <c r="N115" i="23"/>
  <c r="Q115" i="23"/>
  <c r="T115" i="23" s="1"/>
  <c r="N111" i="23"/>
  <c r="Q111" i="23"/>
  <c r="T111" i="23" s="1"/>
  <c r="N107" i="23"/>
  <c r="Q107" i="23"/>
  <c r="T107" i="23" s="1"/>
  <c r="Q114" i="23"/>
  <c r="T114" i="23" s="1"/>
  <c r="N114" i="23"/>
  <c r="D23" i="27"/>
  <c r="Q110" i="23"/>
  <c r="T110" i="23" s="1"/>
  <c r="N110" i="23"/>
  <c r="Q106" i="23"/>
  <c r="T106" i="23" s="1"/>
  <c r="N106" i="23"/>
  <c r="Q113" i="23"/>
  <c r="T113" i="23" s="1"/>
  <c r="N113" i="23"/>
  <c r="Q109" i="23"/>
  <c r="T109" i="23" s="1"/>
  <c r="N109" i="23"/>
  <c r="Q105" i="23"/>
  <c r="T105" i="23" s="1"/>
  <c r="N105" i="23"/>
  <c r="N104" i="23"/>
  <c r="C22" i="26"/>
  <c r="Q104" i="23"/>
  <c r="T104" i="23" s="1"/>
  <c r="C23" i="26"/>
  <c r="D25" i="27"/>
  <c r="C24" i="26"/>
  <c r="C21" i="26"/>
  <c r="Q84" i="29"/>
  <c r="T84" i="29" s="1"/>
  <c r="Q96" i="29"/>
  <c r="T96" i="29" s="1"/>
  <c r="Q80" i="29"/>
  <c r="T80" i="29" s="1"/>
  <c r="Q88" i="29"/>
  <c r="T88" i="29" s="1"/>
  <c r="Q92" i="29"/>
  <c r="T92" i="29" s="1"/>
  <c r="N80" i="29"/>
  <c r="N84" i="29"/>
  <c r="N88" i="29"/>
  <c r="N92" i="29"/>
  <c r="N96" i="29"/>
  <c r="N81" i="29"/>
  <c r="N85" i="29"/>
  <c r="N89" i="29"/>
  <c r="N93" i="29"/>
  <c r="L79" i="28"/>
  <c r="Q79" i="28" s="1"/>
  <c r="N81" i="28"/>
  <c r="L83" i="28"/>
  <c r="Q83" i="28" s="1"/>
  <c r="N85" i="28"/>
  <c r="L87" i="28"/>
  <c r="Q87" i="28" s="1"/>
  <c r="N89" i="28"/>
  <c r="L91" i="28"/>
  <c r="Q91" i="28" s="1"/>
  <c r="N93" i="28"/>
  <c r="L95" i="28"/>
  <c r="Q95" i="28" s="1"/>
  <c r="N97" i="28"/>
  <c r="Q88" i="23"/>
  <c r="T88" i="23" s="1"/>
  <c r="Q95" i="23"/>
  <c r="T95" i="23" s="1"/>
  <c r="N95" i="23"/>
  <c r="Q91" i="23"/>
  <c r="T91" i="23" s="1"/>
  <c r="N91" i="23"/>
  <c r="Q87" i="23"/>
  <c r="T87" i="23" s="1"/>
  <c r="N87" i="23"/>
  <c r="Q81" i="23"/>
  <c r="T81" i="23" s="1"/>
  <c r="Q92" i="23"/>
  <c r="T92" i="23" s="1"/>
  <c r="L82" i="23"/>
  <c r="Q98" i="23"/>
  <c r="T98" i="23" s="1"/>
  <c r="Q94" i="23"/>
  <c r="T94" i="23" s="1"/>
  <c r="Q90" i="23"/>
  <c r="T90" i="23" s="1"/>
  <c r="Q86" i="23"/>
  <c r="T86" i="23" s="1"/>
  <c r="N80" i="23"/>
  <c r="Q80" i="23"/>
  <c r="T80" i="23" s="1"/>
  <c r="Q85" i="23"/>
  <c r="T85" i="23" s="1"/>
  <c r="N85" i="23"/>
  <c r="Q96" i="23"/>
  <c r="T96" i="23" s="1"/>
  <c r="N83" i="23"/>
  <c r="Q83" i="23"/>
  <c r="T83" i="23" s="1"/>
  <c r="Q97" i="23"/>
  <c r="T97" i="23" s="1"/>
  <c r="N97" i="23"/>
  <c r="Q93" i="23"/>
  <c r="T93" i="23" s="1"/>
  <c r="N93" i="23"/>
  <c r="Q89" i="23"/>
  <c r="T89" i="23" s="1"/>
  <c r="N89" i="23"/>
  <c r="N84" i="23"/>
  <c r="Q84" i="23"/>
  <c r="T84" i="23" s="1"/>
  <c r="Q79" i="23"/>
  <c r="T79" i="23" s="1"/>
  <c r="N79" i="23"/>
  <c r="N98" i="23"/>
  <c r="N94" i="23"/>
  <c r="N90" i="23"/>
  <c r="N86" i="23"/>
  <c r="O82" i="23"/>
  <c r="O78" i="23"/>
  <c r="N81" i="23"/>
  <c r="J78" i="23"/>
  <c r="N96" i="23"/>
  <c r="N92" i="23"/>
  <c r="N88" i="23"/>
  <c r="N77" i="28"/>
  <c r="Q77" i="23"/>
  <c r="T77" i="23" s="1"/>
  <c r="N77" i="23"/>
  <c r="Q68" i="29"/>
  <c r="T68" i="29" s="1"/>
  <c r="Q75" i="29"/>
  <c r="T75" i="29" s="1"/>
  <c r="N75" i="29"/>
  <c r="Q76" i="29"/>
  <c r="T76" i="29" s="1"/>
  <c r="Q64" i="29"/>
  <c r="T64" i="29" s="1"/>
  <c r="Q72" i="29"/>
  <c r="T72" i="29" s="1"/>
  <c r="L61" i="29"/>
  <c r="Q61" i="29" s="1"/>
  <c r="N64" i="29"/>
  <c r="L65" i="29"/>
  <c r="Q65" i="29" s="1"/>
  <c r="N68" i="29"/>
  <c r="L69" i="29"/>
  <c r="Q69" i="29" s="1"/>
  <c r="N72" i="29"/>
  <c r="L73" i="29"/>
  <c r="Q73" i="29" s="1"/>
  <c r="N76" i="29"/>
  <c r="N72" i="23"/>
  <c r="Q72" i="23"/>
  <c r="T72" i="23" s="1"/>
  <c r="L74" i="23"/>
  <c r="N74" i="23" s="1"/>
  <c r="L70" i="23"/>
  <c r="Q68" i="23"/>
  <c r="T68" i="23" s="1"/>
  <c r="N68" i="23"/>
  <c r="Q63" i="23"/>
  <c r="T63" i="23" s="1"/>
  <c r="N63" i="23"/>
  <c r="Q75" i="23"/>
  <c r="T75" i="23" s="1"/>
  <c r="N75" i="23"/>
  <c r="Q65" i="23"/>
  <c r="T65" i="23" s="1"/>
  <c r="N65" i="23"/>
  <c r="Q61" i="23"/>
  <c r="T61" i="23" s="1"/>
  <c r="N61" i="23"/>
  <c r="Q76" i="23"/>
  <c r="T76" i="23" s="1"/>
  <c r="J66" i="23"/>
  <c r="J62" i="23"/>
  <c r="J64" i="23"/>
  <c r="C17" i="25"/>
  <c r="N71" i="23"/>
  <c r="N67" i="23"/>
  <c r="O74" i="23"/>
  <c r="O70" i="23"/>
  <c r="O62" i="23"/>
  <c r="T71" i="23"/>
  <c r="T67" i="23"/>
  <c r="C16" i="25"/>
  <c r="L60" i="23"/>
  <c r="N60" i="23" s="1"/>
  <c r="L59" i="23"/>
  <c r="N59" i="23" s="1"/>
  <c r="L55" i="23"/>
  <c r="N57" i="23"/>
  <c r="N53" i="23"/>
  <c r="N49" i="23"/>
  <c r="D13" i="27"/>
  <c r="Q47" i="23"/>
  <c r="T47" i="23" s="1"/>
  <c r="N47" i="23"/>
  <c r="L46" i="23"/>
  <c r="C8" i="26" s="1"/>
  <c r="Q44" i="23"/>
  <c r="T44" i="23" s="1"/>
  <c r="N44" i="23"/>
  <c r="C10" i="25"/>
  <c r="N43" i="23"/>
  <c r="Q45" i="23"/>
  <c r="T45" i="23" s="1"/>
  <c r="Q43" i="23"/>
  <c r="T43" i="23" s="1"/>
  <c r="C8" i="25"/>
  <c r="C9" i="25"/>
  <c r="C7" i="25"/>
  <c r="Q42" i="23"/>
  <c r="T42" i="23" s="1"/>
  <c r="Q10" i="29"/>
  <c r="T10" i="29" s="1"/>
  <c r="Q14" i="29"/>
  <c r="T14" i="29" s="1"/>
  <c r="N24" i="29"/>
  <c r="N28" i="29"/>
  <c r="N10" i="29"/>
  <c r="L11" i="29"/>
  <c r="Q11" i="29" s="1"/>
  <c r="N14" i="29"/>
  <c r="Q23" i="29"/>
  <c r="T23" i="29" s="1"/>
  <c r="Q27" i="29"/>
  <c r="T27" i="29" s="1"/>
  <c r="Q33" i="23"/>
  <c r="T33" i="23" s="1"/>
  <c r="L27" i="23"/>
  <c r="Q21" i="23"/>
  <c r="T21" i="23" s="1"/>
  <c r="L13" i="23"/>
  <c r="L19" i="23"/>
  <c r="Q39" i="23"/>
  <c r="T39" i="23" s="1"/>
  <c r="N39" i="23"/>
  <c r="L29" i="23"/>
  <c r="Q26" i="23"/>
  <c r="T26" i="23" s="1"/>
  <c r="N26" i="23"/>
  <c r="L15" i="23"/>
  <c r="N15" i="23" s="1"/>
  <c r="L23" i="23"/>
  <c r="N23" i="23" s="1"/>
  <c r="L31" i="23"/>
  <c r="Q28" i="23"/>
  <c r="T28" i="23" s="1"/>
  <c r="L20" i="23"/>
  <c r="Q22" i="23"/>
  <c r="T22" i="23" s="1"/>
  <c r="N22" i="23"/>
  <c r="Q30" i="23"/>
  <c r="T30" i="23" s="1"/>
  <c r="N30" i="23"/>
  <c r="L25" i="23"/>
  <c r="L11" i="23"/>
  <c r="N11" i="23" s="1"/>
  <c r="Q24" i="23"/>
  <c r="T24" i="23" s="1"/>
  <c r="C5" i="25"/>
  <c r="N21" i="23"/>
  <c r="O20" i="23"/>
  <c r="J35" i="23"/>
  <c r="C1" i="25"/>
  <c r="N33" i="23"/>
  <c r="N28" i="23"/>
  <c r="N24" i="23"/>
  <c r="O31" i="23"/>
  <c r="O27" i="23"/>
  <c r="O23" i="23"/>
  <c r="O13" i="23"/>
  <c r="C2" i="25"/>
  <c r="J36" i="23"/>
  <c r="Q282" i="29"/>
  <c r="T282" i="29" s="1"/>
  <c r="N282" i="29"/>
  <c r="Q273" i="29"/>
  <c r="T273" i="29" s="1"/>
  <c r="Q277" i="29"/>
  <c r="T277" i="29" s="1"/>
  <c r="Q281" i="29"/>
  <c r="T281" i="29" s="1"/>
  <c r="D66" i="38"/>
  <c r="Q270" i="29"/>
  <c r="T270" i="29" s="1"/>
  <c r="N270" i="29"/>
  <c r="T272" i="29"/>
  <c r="N273" i="29"/>
  <c r="T276" i="29"/>
  <c r="N277" i="29"/>
  <c r="T280" i="29"/>
  <c r="N281" i="29"/>
  <c r="C66" i="42"/>
  <c r="C68" i="42"/>
  <c r="C67" i="42"/>
  <c r="C65" i="42"/>
  <c r="D69" i="38"/>
  <c r="Q269" i="29"/>
  <c r="T269" i="29" s="1"/>
  <c r="Q260" i="29"/>
  <c r="T260" i="29" s="1"/>
  <c r="N260" i="29"/>
  <c r="N268" i="29"/>
  <c r="Q268" i="29"/>
  <c r="T268" i="29" s="1"/>
  <c r="Q262" i="29"/>
  <c r="T262" i="29" s="1"/>
  <c r="Q243" i="29"/>
  <c r="T243" i="29" s="1"/>
  <c r="N243" i="29"/>
  <c r="D64" i="38"/>
  <c r="Q247" i="29"/>
  <c r="T247" i="29" s="1"/>
  <c r="N247" i="29"/>
  <c r="Q251" i="29"/>
  <c r="T251" i="29" s="1"/>
  <c r="N251" i="29"/>
  <c r="Q255" i="29"/>
  <c r="T255" i="29" s="1"/>
  <c r="N255" i="29"/>
  <c r="Q259" i="29"/>
  <c r="T259" i="29" s="1"/>
  <c r="Q266" i="29"/>
  <c r="T266" i="29" s="1"/>
  <c r="Q246" i="29"/>
  <c r="T246" i="29" s="1"/>
  <c r="Q250" i="29"/>
  <c r="T250" i="29" s="1"/>
  <c r="Q254" i="29"/>
  <c r="T254" i="29" s="1"/>
  <c r="D62" i="38"/>
  <c r="Q258" i="29"/>
  <c r="T258" i="29" s="1"/>
  <c r="Q264" i="29"/>
  <c r="T264" i="29" s="1"/>
  <c r="N264" i="29"/>
  <c r="N259" i="29"/>
  <c r="T245" i="29"/>
  <c r="N246" i="29"/>
  <c r="T249" i="29"/>
  <c r="N250" i="29"/>
  <c r="T253" i="29"/>
  <c r="N254" i="29"/>
  <c r="T257" i="29"/>
  <c r="N258" i="29"/>
  <c r="T261" i="29"/>
  <c r="N262" i="29"/>
  <c r="T265" i="29"/>
  <c r="N266" i="29"/>
  <c r="N257" i="29"/>
  <c r="N261" i="29"/>
  <c r="N265" i="29"/>
  <c r="L242" i="29"/>
  <c r="Q230" i="29"/>
  <c r="T230" i="29" s="1"/>
  <c r="Q235" i="29"/>
  <c r="T235" i="29" s="1"/>
  <c r="N240" i="29"/>
  <c r="Q240" i="29"/>
  <c r="T240" i="29" s="1"/>
  <c r="N236" i="29"/>
  <c r="Q236" i="29"/>
  <c r="T236" i="29" s="1"/>
  <c r="Q234" i="29"/>
  <c r="T234" i="29" s="1"/>
  <c r="Q239" i="29"/>
  <c r="T239" i="29" s="1"/>
  <c r="Q231" i="29"/>
  <c r="T231" i="29" s="1"/>
  <c r="Q232" i="29"/>
  <c r="T232" i="29" s="1"/>
  <c r="N232" i="29"/>
  <c r="Q238" i="29"/>
  <c r="T238" i="29" s="1"/>
  <c r="N231" i="29"/>
  <c r="N235" i="29"/>
  <c r="N239" i="29"/>
  <c r="N230" i="29"/>
  <c r="T233" i="29"/>
  <c r="N234" i="29"/>
  <c r="T237" i="29"/>
  <c r="N238" i="29"/>
  <c r="N233" i="29"/>
  <c r="N237" i="29"/>
  <c r="L229" i="29"/>
  <c r="D54" i="38"/>
  <c r="Q228" i="29"/>
  <c r="T228" i="29" s="1"/>
  <c r="Q227" i="29"/>
  <c r="T227" i="29" s="1"/>
  <c r="D56" i="38"/>
  <c r="N228" i="29"/>
  <c r="N227" i="29"/>
  <c r="N226" i="29"/>
  <c r="C54" i="42"/>
  <c r="C53" i="42"/>
  <c r="C56" i="42"/>
  <c r="C55" i="42"/>
  <c r="D57" i="38"/>
  <c r="Q225" i="29"/>
  <c r="T225" i="29" s="1"/>
  <c r="N225" i="29"/>
  <c r="Q216" i="29"/>
  <c r="T216" i="29" s="1"/>
  <c r="Q218" i="29"/>
  <c r="T218" i="29" s="1"/>
  <c r="N218" i="29"/>
  <c r="Q222" i="29"/>
  <c r="T222" i="29" s="1"/>
  <c r="N222" i="29"/>
  <c r="Q224" i="29"/>
  <c r="T224" i="29" s="1"/>
  <c r="N224" i="29"/>
  <c r="Q220" i="29"/>
  <c r="T220" i="29" s="1"/>
  <c r="N217" i="29"/>
  <c r="N221" i="29"/>
  <c r="T215" i="29"/>
  <c r="N216" i="29"/>
  <c r="T219" i="29"/>
  <c r="N220" i="29"/>
  <c r="N215" i="29"/>
  <c r="N219" i="29"/>
  <c r="C51" i="42"/>
  <c r="C50" i="42"/>
  <c r="C49" i="42"/>
  <c r="Q214" i="29"/>
  <c r="T214" i="29" s="1"/>
  <c r="C52" i="42"/>
  <c r="D53" i="38"/>
  <c r="N214" i="29"/>
  <c r="Q210" i="29"/>
  <c r="T210" i="29" s="1"/>
  <c r="N210" i="29"/>
  <c r="Q212" i="29"/>
  <c r="T212" i="29" s="1"/>
  <c r="Q205" i="29"/>
  <c r="T205" i="29" s="1"/>
  <c r="N205" i="29"/>
  <c r="Q209" i="29"/>
  <c r="T209" i="29" s="1"/>
  <c r="Q204" i="29"/>
  <c r="T204" i="29" s="1"/>
  <c r="Q208" i="29"/>
  <c r="T208" i="29" s="1"/>
  <c r="Q213" i="29"/>
  <c r="T213" i="29" s="1"/>
  <c r="N209" i="29"/>
  <c r="N213" i="29"/>
  <c r="T203" i="29"/>
  <c r="N204" i="29"/>
  <c r="T207" i="29"/>
  <c r="N208" i="29"/>
  <c r="T211" i="29"/>
  <c r="N212" i="29"/>
  <c r="N207" i="29"/>
  <c r="N211" i="29"/>
  <c r="C47" i="42"/>
  <c r="C46" i="42"/>
  <c r="C45" i="42"/>
  <c r="C48" i="42"/>
  <c r="D49" i="38"/>
  <c r="Q201" i="29"/>
  <c r="T201" i="29" s="1"/>
  <c r="N201" i="29"/>
  <c r="Q178" i="29"/>
  <c r="T178" i="29" s="1"/>
  <c r="Q194" i="29"/>
  <c r="T194" i="29" s="1"/>
  <c r="Q186" i="29"/>
  <c r="T186" i="29" s="1"/>
  <c r="Q188" i="29"/>
  <c r="T188" i="29" s="1"/>
  <c r="N188" i="29"/>
  <c r="Q196" i="29"/>
  <c r="T196" i="29" s="1"/>
  <c r="N196" i="29"/>
  <c r="Q192" i="29"/>
  <c r="T192" i="29" s="1"/>
  <c r="N192" i="29"/>
  <c r="N200" i="29"/>
  <c r="Q200" i="29"/>
  <c r="T200" i="29" s="1"/>
  <c r="Q182" i="29"/>
  <c r="T182" i="29" s="1"/>
  <c r="Q190" i="29"/>
  <c r="T190" i="29" s="1"/>
  <c r="Q198" i="29"/>
  <c r="T198" i="29" s="1"/>
  <c r="N191" i="29"/>
  <c r="N195" i="29"/>
  <c r="N199" i="29"/>
  <c r="T177" i="29"/>
  <c r="N178" i="29"/>
  <c r="T181" i="29"/>
  <c r="N182" i="29"/>
  <c r="T185" i="29"/>
  <c r="N186" i="29"/>
  <c r="T189" i="29"/>
  <c r="N190" i="29"/>
  <c r="T193" i="29"/>
  <c r="N194" i="29"/>
  <c r="T197" i="29"/>
  <c r="N198" i="29"/>
  <c r="L174" i="29"/>
  <c r="D39" i="38"/>
  <c r="Q168" i="29"/>
  <c r="T168" i="29" s="1"/>
  <c r="Q173" i="29"/>
  <c r="T173" i="29" s="1"/>
  <c r="Q169" i="29"/>
  <c r="T169" i="29" s="1"/>
  <c r="Q166" i="29"/>
  <c r="T166" i="29" s="1"/>
  <c r="N166" i="29"/>
  <c r="Q172" i="29"/>
  <c r="T172" i="29" s="1"/>
  <c r="Q165" i="29"/>
  <c r="T165" i="29" s="1"/>
  <c r="Q170" i="29"/>
  <c r="T170" i="29" s="1"/>
  <c r="N170" i="29"/>
  <c r="D40" i="38"/>
  <c r="N165" i="29"/>
  <c r="N169" i="29"/>
  <c r="N173" i="29"/>
  <c r="N168" i="29"/>
  <c r="T171" i="29"/>
  <c r="N172" i="29"/>
  <c r="N167" i="29"/>
  <c r="N171" i="29"/>
  <c r="C39" i="42"/>
  <c r="C38" i="42"/>
  <c r="C37" i="42"/>
  <c r="C40" i="42"/>
  <c r="D41" i="38"/>
  <c r="Q164" i="29"/>
  <c r="T164" i="29" s="1"/>
  <c r="N164" i="29"/>
  <c r="N158" i="29"/>
  <c r="Q158" i="29"/>
  <c r="T158" i="29" s="1"/>
  <c r="Q152" i="29"/>
  <c r="T152" i="29" s="1"/>
  <c r="D34" i="38"/>
  <c r="Q156" i="29"/>
  <c r="T156" i="29" s="1"/>
  <c r="Q162" i="29"/>
  <c r="T162" i="29" s="1"/>
  <c r="N162" i="29"/>
  <c r="Q160" i="29"/>
  <c r="T160" i="29" s="1"/>
  <c r="N157" i="29"/>
  <c r="N161" i="29"/>
  <c r="N152" i="29"/>
  <c r="N156" i="29"/>
  <c r="T159" i="29"/>
  <c r="N160" i="29"/>
  <c r="Q148" i="29"/>
  <c r="T148" i="29" s="1"/>
  <c r="Q139" i="29"/>
  <c r="T139" i="29" s="1"/>
  <c r="Q143" i="29"/>
  <c r="T143" i="29" s="1"/>
  <c r="Q147" i="29"/>
  <c r="T147" i="29" s="1"/>
  <c r="Q140" i="29"/>
  <c r="T140" i="29" s="1"/>
  <c r="N140" i="29"/>
  <c r="Q144" i="29"/>
  <c r="T144" i="29" s="1"/>
  <c r="N144" i="29"/>
  <c r="T138" i="29"/>
  <c r="N139" i="29"/>
  <c r="N143" i="29"/>
  <c r="T146" i="29"/>
  <c r="N147" i="29"/>
  <c r="N146" i="29"/>
  <c r="Q136" i="29"/>
  <c r="T136" i="29" s="1"/>
  <c r="N136" i="29"/>
  <c r="D26" i="38"/>
  <c r="Q120" i="29"/>
  <c r="T120" i="29" s="1"/>
  <c r="Q124" i="29"/>
  <c r="T124" i="29" s="1"/>
  <c r="Q128" i="29"/>
  <c r="T128" i="29" s="1"/>
  <c r="Q132" i="29"/>
  <c r="T132" i="29" s="1"/>
  <c r="D28" i="38"/>
  <c r="T119" i="29"/>
  <c r="N120" i="29"/>
  <c r="T123" i="29"/>
  <c r="N124" i="29"/>
  <c r="T127" i="29"/>
  <c r="N128" i="29"/>
  <c r="T131" i="29"/>
  <c r="N132" i="29"/>
  <c r="T135" i="29"/>
  <c r="C27" i="42"/>
  <c r="C26" i="42"/>
  <c r="Q117" i="29"/>
  <c r="T117" i="29" s="1"/>
  <c r="C25" i="42"/>
  <c r="C28" i="42"/>
  <c r="D29" i="38"/>
  <c r="N117" i="29"/>
  <c r="Q116" i="29"/>
  <c r="T116" i="29" s="1"/>
  <c r="D23" i="38"/>
  <c r="Q115" i="29"/>
  <c r="T115" i="29" s="1"/>
  <c r="N113" i="29"/>
  <c r="Q113" i="29"/>
  <c r="T113" i="29" s="1"/>
  <c r="Q107" i="29"/>
  <c r="T107" i="29" s="1"/>
  <c r="Q111" i="29"/>
  <c r="T111" i="29" s="1"/>
  <c r="Q108" i="29"/>
  <c r="T108" i="29" s="1"/>
  <c r="N108" i="29"/>
  <c r="Q112" i="29"/>
  <c r="T112" i="29" s="1"/>
  <c r="N112" i="29"/>
  <c r="N116" i="29"/>
  <c r="T106" i="29"/>
  <c r="N107" i="29"/>
  <c r="T110" i="29"/>
  <c r="N111" i="29"/>
  <c r="N115" i="29"/>
  <c r="N106" i="29"/>
  <c r="N114" i="29"/>
  <c r="Q114" i="29"/>
  <c r="T114" i="29" s="1"/>
  <c r="C23" i="42"/>
  <c r="C22" i="42"/>
  <c r="C21" i="42"/>
  <c r="C24" i="42"/>
  <c r="D25" i="38"/>
  <c r="Q104" i="29"/>
  <c r="T104" i="29" s="1"/>
  <c r="N104" i="29"/>
  <c r="Q79" i="29"/>
  <c r="T79" i="29" s="1"/>
  <c r="N79" i="29"/>
  <c r="Q83" i="29"/>
  <c r="T83" i="29" s="1"/>
  <c r="N83" i="29"/>
  <c r="Q87" i="29"/>
  <c r="T87" i="29" s="1"/>
  <c r="N87" i="29"/>
  <c r="Q91" i="29"/>
  <c r="T91" i="29" s="1"/>
  <c r="N91" i="29"/>
  <c r="Q95" i="29"/>
  <c r="T95" i="29" s="1"/>
  <c r="N95" i="29"/>
  <c r="L78" i="29"/>
  <c r="Q81" i="29"/>
  <c r="T81" i="29" s="1"/>
  <c r="L82" i="29"/>
  <c r="N82" i="29" s="1"/>
  <c r="Q85" i="29"/>
  <c r="T85" i="29" s="1"/>
  <c r="L86" i="29"/>
  <c r="N86" i="29" s="1"/>
  <c r="Q89" i="29"/>
  <c r="T89" i="29" s="1"/>
  <c r="L90" i="29"/>
  <c r="N90" i="29" s="1"/>
  <c r="Q93" i="29"/>
  <c r="T93" i="29" s="1"/>
  <c r="L94" i="29"/>
  <c r="N94" i="29" s="1"/>
  <c r="N97" i="29"/>
  <c r="Q97" i="29"/>
  <c r="T97" i="29" s="1"/>
  <c r="L98" i="29"/>
  <c r="Q77" i="29"/>
  <c r="T77" i="29" s="1"/>
  <c r="N77" i="29"/>
  <c r="Q62" i="29"/>
  <c r="T62" i="29" s="1"/>
  <c r="Q66" i="29"/>
  <c r="T66" i="29" s="1"/>
  <c r="Q70" i="29"/>
  <c r="T70" i="29" s="1"/>
  <c r="Q74" i="29"/>
  <c r="T74" i="29" s="1"/>
  <c r="N62" i="29"/>
  <c r="N66" i="29"/>
  <c r="N70" i="29"/>
  <c r="N74" i="29"/>
  <c r="L60" i="29"/>
  <c r="Q50" i="29"/>
  <c r="T50" i="29" s="1"/>
  <c r="D12" i="38"/>
  <c r="Q48" i="29"/>
  <c r="T48" i="29" s="1"/>
  <c r="N48" i="29"/>
  <c r="Q54" i="29"/>
  <c r="T54" i="29" s="1"/>
  <c r="Q59" i="29"/>
  <c r="T59" i="29" s="1"/>
  <c r="Q55" i="29"/>
  <c r="T55" i="29" s="1"/>
  <c r="Q52" i="29"/>
  <c r="T52" i="29" s="1"/>
  <c r="N52" i="29"/>
  <c r="Q58" i="29"/>
  <c r="T58" i="29" s="1"/>
  <c r="Q51" i="29"/>
  <c r="T51" i="29" s="1"/>
  <c r="Q56" i="29"/>
  <c r="T56" i="29" s="1"/>
  <c r="N56" i="29"/>
  <c r="N51" i="29"/>
  <c r="N55" i="29"/>
  <c r="N59" i="29"/>
  <c r="T49" i="29"/>
  <c r="N50" i="29"/>
  <c r="T53" i="29"/>
  <c r="N54" i="29"/>
  <c r="T57" i="29"/>
  <c r="N58" i="29"/>
  <c r="N49" i="29"/>
  <c r="N53" i="29"/>
  <c r="N57" i="29"/>
  <c r="C11" i="42"/>
  <c r="C10" i="42"/>
  <c r="C9" i="42"/>
  <c r="C12" i="42"/>
  <c r="D13" i="38"/>
  <c r="Q47" i="29"/>
  <c r="T47" i="29" s="1"/>
  <c r="N47" i="29"/>
  <c r="Q46" i="29"/>
  <c r="T46" i="29" s="1"/>
  <c r="N46" i="29"/>
  <c r="Q44" i="29"/>
  <c r="T44" i="29" s="1"/>
  <c r="Q45" i="29"/>
  <c r="T45" i="29" s="1"/>
  <c r="N45" i="29"/>
  <c r="T43" i="29"/>
  <c r="N44" i="29"/>
  <c r="N43" i="29"/>
  <c r="L42" i="29"/>
  <c r="Q34" i="29"/>
  <c r="T34" i="29" s="1"/>
  <c r="Q13" i="29"/>
  <c r="T13" i="29" s="1"/>
  <c r="N13" i="29"/>
  <c r="Q19" i="29"/>
  <c r="T19" i="29" s="1"/>
  <c r="N19" i="29"/>
  <c r="Q31" i="29"/>
  <c r="T31" i="29" s="1"/>
  <c r="N31" i="29"/>
  <c r="Q38" i="29"/>
  <c r="T38" i="29" s="1"/>
  <c r="Q41" i="29"/>
  <c r="T41" i="29" s="1"/>
  <c r="Q39" i="29"/>
  <c r="T39" i="29" s="1"/>
  <c r="Q12" i="29"/>
  <c r="T12" i="29" s="1"/>
  <c r="Q18" i="29"/>
  <c r="T18" i="29" s="1"/>
  <c r="D3" i="38"/>
  <c r="Q22" i="29"/>
  <c r="T22" i="29" s="1"/>
  <c r="N22" i="29"/>
  <c r="Q26" i="29"/>
  <c r="T26" i="29" s="1"/>
  <c r="N26" i="29"/>
  <c r="Q30" i="29"/>
  <c r="T30" i="29" s="1"/>
  <c r="N30" i="29"/>
  <c r="N36" i="29"/>
  <c r="Q36" i="29"/>
  <c r="T36" i="29" s="1"/>
  <c r="Q21" i="29"/>
  <c r="T21" i="29" s="1"/>
  <c r="Q25" i="29"/>
  <c r="T25" i="29" s="1"/>
  <c r="Q29" i="29"/>
  <c r="T29" i="29" s="1"/>
  <c r="Q35" i="29"/>
  <c r="T35" i="29" s="1"/>
  <c r="N35" i="29"/>
  <c r="N39" i="29"/>
  <c r="T11" i="29"/>
  <c r="N12" i="29"/>
  <c r="T15" i="29"/>
  <c r="N18" i="29"/>
  <c r="T20" i="29"/>
  <c r="N21" i="29"/>
  <c r="T24" i="29"/>
  <c r="N25" i="29"/>
  <c r="T28" i="29"/>
  <c r="N29" i="29"/>
  <c r="T33" i="29"/>
  <c r="N34" i="29"/>
  <c r="T37" i="29"/>
  <c r="N38" i="29"/>
  <c r="N41" i="29"/>
  <c r="N20" i="29"/>
  <c r="N15" i="29"/>
  <c r="N33" i="29"/>
  <c r="N37" i="29"/>
  <c r="L9" i="29"/>
  <c r="D66" i="37"/>
  <c r="Q270" i="28"/>
  <c r="T270" i="28" s="1"/>
  <c r="Q272" i="28"/>
  <c r="T272" i="28" s="1"/>
  <c r="Q274" i="28"/>
  <c r="T274" i="28" s="1"/>
  <c r="Q276" i="28"/>
  <c r="T276" i="28" s="1"/>
  <c r="Q278" i="28"/>
  <c r="T278" i="28" s="1"/>
  <c r="Q280" i="28"/>
  <c r="T280" i="28" s="1"/>
  <c r="Q282" i="28"/>
  <c r="T282" i="28" s="1"/>
  <c r="Q271" i="28"/>
  <c r="T271" i="28" s="1"/>
  <c r="Q273" i="28"/>
  <c r="T273" i="28" s="1"/>
  <c r="Q275" i="28"/>
  <c r="T275" i="28" s="1"/>
  <c r="Q277" i="28"/>
  <c r="T277" i="28" s="1"/>
  <c r="Q279" i="28"/>
  <c r="T279" i="28" s="1"/>
  <c r="Q281" i="28"/>
  <c r="T281" i="28" s="1"/>
  <c r="N271" i="28"/>
  <c r="N273" i="28"/>
  <c r="N275" i="28"/>
  <c r="N277" i="28"/>
  <c r="N279" i="28"/>
  <c r="N281" i="28"/>
  <c r="N270" i="28"/>
  <c r="N272" i="28"/>
  <c r="N274" i="28"/>
  <c r="N276" i="28"/>
  <c r="N278" i="28"/>
  <c r="N280" i="28"/>
  <c r="N282" i="28"/>
  <c r="C67" i="41"/>
  <c r="C66" i="41"/>
  <c r="Q269" i="28"/>
  <c r="T269" i="28" s="1"/>
  <c r="C65" i="41"/>
  <c r="D69" i="37"/>
  <c r="C68" i="41"/>
  <c r="N269" i="28"/>
  <c r="Q244" i="28"/>
  <c r="T244" i="28" s="1"/>
  <c r="Q246" i="28"/>
  <c r="T246" i="28" s="1"/>
  <c r="Q248" i="28"/>
  <c r="T248" i="28" s="1"/>
  <c r="Q250" i="28"/>
  <c r="T250" i="28" s="1"/>
  <c r="D63" i="37"/>
  <c r="Q252" i="28"/>
  <c r="T252" i="28" s="1"/>
  <c r="Q254" i="28"/>
  <c r="T254" i="28" s="1"/>
  <c r="Q256" i="28"/>
  <c r="T256" i="28" s="1"/>
  <c r="D62" i="37"/>
  <c r="Q258" i="28"/>
  <c r="T258" i="28" s="1"/>
  <c r="Q260" i="28"/>
  <c r="T260" i="28" s="1"/>
  <c r="Q262" i="28"/>
  <c r="T262" i="28" s="1"/>
  <c r="Q264" i="28"/>
  <c r="T264" i="28" s="1"/>
  <c r="Q266" i="28"/>
  <c r="T266" i="28" s="1"/>
  <c r="Q268" i="28"/>
  <c r="T268" i="28" s="1"/>
  <c r="Q243" i="28"/>
  <c r="T243" i="28" s="1"/>
  <c r="Q245" i="28"/>
  <c r="T245" i="28" s="1"/>
  <c r="Q247" i="28"/>
  <c r="T247" i="28" s="1"/>
  <c r="D64" i="37"/>
  <c r="Q249" i="28"/>
  <c r="T249" i="28" s="1"/>
  <c r="Q251" i="28"/>
  <c r="T251" i="28" s="1"/>
  <c r="Q253" i="28"/>
  <c r="T253" i="28" s="1"/>
  <c r="Q255" i="28"/>
  <c r="T255" i="28" s="1"/>
  <c r="Q257" i="28"/>
  <c r="T257" i="28" s="1"/>
  <c r="Q259" i="28"/>
  <c r="T259" i="28" s="1"/>
  <c r="Q261" i="28"/>
  <c r="T261" i="28" s="1"/>
  <c r="Q263" i="28"/>
  <c r="T263" i="28" s="1"/>
  <c r="Q265" i="28"/>
  <c r="T265" i="28" s="1"/>
  <c r="Q267" i="28"/>
  <c r="T267" i="28" s="1"/>
  <c r="N244" i="28"/>
  <c r="N246" i="28"/>
  <c r="N248" i="28"/>
  <c r="N250" i="28"/>
  <c r="N252" i="28"/>
  <c r="N254" i="28"/>
  <c r="N256" i="28"/>
  <c r="N258" i="28"/>
  <c r="N260" i="28"/>
  <c r="N262" i="28"/>
  <c r="N264" i="28"/>
  <c r="N266" i="28"/>
  <c r="N268" i="28"/>
  <c r="N243" i="28"/>
  <c r="N245" i="28"/>
  <c r="N247" i="28"/>
  <c r="N249" i="28"/>
  <c r="N251" i="28"/>
  <c r="N253" i="28"/>
  <c r="N255" i="28"/>
  <c r="N257" i="28"/>
  <c r="N259" i="28"/>
  <c r="N261" i="28"/>
  <c r="N263" i="28"/>
  <c r="N265" i="28"/>
  <c r="N267" i="28"/>
  <c r="C63" i="41"/>
  <c r="C62" i="41"/>
  <c r="C61" i="41"/>
  <c r="D65" i="37"/>
  <c r="Q242" i="28"/>
  <c r="T242" i="28" s="1"/>
  <c r="C64" i="41"/>
  <c r="N242" i="28"/>
  <c r="Q237" i="28"/>
  <c r="T237" i="28" s="1"/>
  <c r="Q239" i="28"/>
  <c r="T239" i="28" s="1"/>
  <c r="Q233" i="28"/>
  <c r="T233" i="28" s="1"/>
  <c r="Q231" i="28"/>
  <c r="T231" i="28" s="1"/>
  <c r="Q235" i="28"/>
  <c r="T235" i="28" s="1"/>
  <c r="T230" i="28"/>
  <c r="N231" i="28"/>
  <c r="N233" i="28"/>
  <c r="T234" i="28"/>
  <c r="N235" i="28"/>
  <c r="N237" i="28"/>
  <c r="N239" i="28"/>
  <c r="N238" i="28"/>
  <c r="N240" i="28"/>
  <c r="Q232" i="28"/>
  <c r="T232" i="28" s="1"/>
  <c r="Q229" i="28"/>
  <c r="T229" i="28" s="1"/>
  <c r="N229" i="28"/>
  <c r="D56" i="37"/>
  <c r="Q226" i="28"/>
  <c r="T226" i="28" s="1"/>
  <c r="Q227" i="28"/>
  <c r="T227" i="28" s="1"/>
  <c r="D54" i="37"/>
  <c r="Q228" i="28"/>
  <c r="T228" i="28" s="1"/>
  <c r="N226" i="28"/>
  <c r="N228" i="28"/>
  <c r="N227" i="28"/>
  <c r="C55" i="41"/>
  <c r="C54" i="41"/>
  <c r="Q225" i="28"/>
  <c r="T225" i="28" s="1"/>
  <c r="C53" i="41"/>
  <c r="D57" i="37"/>
  <c r="C56" i="41"/>
  <c r="N225" i="28"/>
  <c r="Q215" i="28"/>
  <c r="T215" i="28" s="1"/>
  <c r="Q221" i="28"/>
  <c r="T221" i="28" s="1"/>
  <c r="Q224" i="28"/>
  <c r="T224" i="28" s="1"/>
  <c r="Q217" i="28"/>
  <c r="T217" i="28" s="1"/>
  <c r="Q216" i="28"/>
  <c r="T216" i="28" s="1"/>
  <c r="Q218" i="28"/>
  <c r="T218" i="28" s="1"/>
  <c r="Q220" i="28"/>
  <c r="T220" i="28" s="1"/>
  <c r="Q222" i="28"/>
  <c r="T222" i="28" s="1"/>
  <c r="Q219" i="28"/>
  <c r="T219" i="28" s="1"/>
  <c r="N216" i="28"/>
  <c r="N218" i="28"/>
  <c r="N220" i="28"/>
  <c r="N222" i="28"/>
  <c r="L223" i="28"/>
  <c r="D53" i="37" s="1"/>
  <c r="N215" i="28"/>
  <c r="N217" i="28"/>
  <c r="N219" i="28"/>
  <c r="N221" i="28"/>
  <c r="N224" i="28"/>
  <c r="Q214" i="28"/>
  <c r="T214" i="28" s="1"/>
  <c r="Q203" i="28"/>
  <c r="T203" i="28" s="1"/>
  <c r="Q209" i="28"/>
  <c r="T209" i="28" s="1"/>
  <c r="Q207" i="28"/>
  <c r="T207" i="28" s="1"/>
  <c r="Q211" i="28"/>
  <c r="T211" i="28" s="1"/>
  <c r="Q202" i="28"/>
  <c r="T202" i="28" s="1"/>
  <c r="Q204" i="28"/>
  <c r="T204" i="28" s="1"/>
  <c r="Q206" i="28"/>
  <c r="T206" i="28" s="1"/>
  <c r="Q208" i="28"/>
  <c r="T208" i="28" s="1"/>
  <c r="Q210" i="28"/>
  <c r="T210" i="28" s="1"/>
  <c r="Q212" i="28"/>
  <c r="T212" i="28" s="1"/>
  <c r="Q205" i="28"/>
  <c r="T205" i="28" s="1"/>
  <c r="Q213" i="28"/>
  <c r="T213" i="28" s="1"/>
  <c r="N202" i="28"/>
  <c r="N204" i="28"/>
  <c r="N206" i="28"/>
  <c r="N208" i="28"/>
  <c r="N210" i="28"/>
  <c r="N212" i="28"/>
  <c r="N203" i="28"/>
  <c r="N205" i="28"/>
  <c r="N207" i="28"/>
  <c r="N209" i="28"/>
  <c r="N211" i="28"/>
  <c r="N213" i="28"/>
  <c r="C48" i="41"/>
  <c r="C47" i="41"/>
  <c r="C46" i="41"/>
  <c r="Q201" i="28"/>
  <c r="T201" i="28" s="1"/>
  <c r="C45" i="41"/>
  <c r="D49" i="37"/>
  <c r="N201" i="28"/>
  <c r="Q192" i="28"/>
  <c r="T192" i="28" s="1"/>
  <c r="Q194" i="28"/>
  <c r="T194" i="28" s="1"/>
  <c r="Q196" i="28"/>
  <c r="T196" i="28" s="1"/>
  <c r="Q198" i="28"/>
  <c r="T198" i="28" s="1"/>
  <c r="Q193" i="28"/>
  <c r="T193" i="28" s="1"/>
  <c r="Q195" i="28"/>
  <c r="T195" i="28" s="1"/>
  <c r="Q197" i="28"/>
  <c r="T197" i="28" s="1"/>
  <c r="Q199" i="28"/>
  <c r="T199" i="28" s="1"/>
  <c r="Q200" i="28"/>
  <c r="T200" i="28" s="1"/>
  <c r="N193" i="28"/>
  <c r="N195" i="28"/>
  <c r="N197" i="28"/>
  <c r="N199" i="28"/>
  <c r="N192" i="28"/>
  <c r="N194" i="28"/>
  <c r="N196" i="28"/>
  <c r="N198" i="28"/>
  <c r="N200" i="28"/>
  <c r="Q182" i="28"/>
  <c r="T182" i="28" s="1"/>
  <c r="Q188" i="28"/>
  <c r="T188" i="28" s="1"/>
  <c r="Q186" i="28"/>
  <c r="T186" i="28" s="1"/>
  <c r="Q176" i="28"/>
  <c r="T176" i="28" s="1"/>
  <c r="Q190" i="28"/>
  <c r="T190" i="28" s="1"/>
  <c r="Q180" i="28"/>
  <c r="T180" i="28" s="1"/>
  <c r="Q178" i="28"/>
  <c r="T178" i="28" s="1"/>
  <c r="Q184" i="28"/>
  <c r="T184" i="28" s="1"/>
  <c r="N175" i="28"/>
  <c r="N179" i="28"/>
  <c r="N185" i="28"/>
  <c r="N187" i="28"/>
  <c r="N177" i="28"/>
  <c r="T175" i="28"/>
  <c r="N176" i="28"/>
  <c r="T177" i="28"/>
  <c r="N178" i="28"/>
  <c r="T179" i="28"/>
  <c r="N180" i="28"/>
  <c r="T181" i="28"/>
  <c r="N182" i="28"/>
  <c r="T183" i="28"/>
  <c r="N184" i="28"/>
  <c r="T185" i="28"/>
  <c r="N186" i="28"/>
  <c r="T187" i="28"/>
  <c r="N188" i="28"/>
  <c r="T189" i="28"/>
  <c r="N190" i="28"/>
  <c r="T191" i="28"/>
  <c r="N181" i="28"/>
  <c r="N189" i="28"/>
  <c r="N191" i="28"/>
  <c r="C44" i="41"/>
  <c r="Q174" i="28"/>
  <c r="T174" i="28" s="1"/>
  <c r="C43" i="41"/>
  <c r="C42" i="41"/>
  <c r="C41" i="41"/>
  <c r="D45" i="37"/>
  <c r="N174" i="28"/>
  <c r="Q170" i="28"/>
  <c r="T170" i="28" s="1"/>
  <c r="Q166" i="28"/>
  <c r="T166" i="28" s="1"/>
  <c r="D39" i="37"/>
  <c r="Q168" i="28"/>
  <c r="T168" i="28" s="1"/>
  <c r="Q172" i="28"/>
  <c r="T172" i="28" s="1"/>
  <c r="Q165" i="28"/>
  <c r="T165" i="28" s="1"/>
  <c r="D40" i="37"/>
  <c r="Q167" i="28"/>
  <c r="T167" i="28" s="1"/>
  <c r="Q169" i="28"/>
  <c r="T169" i="28" s="1"/>
  <c r="Q171" i="28"/>
  <c r="T171" i="28" s="1"/>
  <c r="Q173" i="28"/>
  <c r="T173" i="28" s="1"/>
  <c r="N166" i="28"/>
  <c r="N168" i="28"/>
  <c r="N170" i="28"/>
  <c r="N172" i="28"/>
  <c r="N165" i="28"/>
  <c r="N167" i="28"/>
  <c r="N169" i="28"/>
  <c r="N171" i="28"/>
  <c r="N173" i="28"/>
  <c r="C40" i="41"/>
  <c r="C39" i="41"/>
  <c r="Q164" i="28"/>
  <c r="T164" i="28" s="1"/>
  <c r="C38" i="41"/>
  <c r="C37" i="41"/>
  <c r="D41" i="37"/>
  <c r="N164" i="28"/>
  <c r="Q155" i="28"/>
  <c r="T155" i="28" s="1"/>
  <c r="Q163" i="28"/>
  <c r="T163" i="28" s="1"/>
  <c r="Q149" i="28"/>
  <c r="T149" i="28" s="1"/>
  <c r="Q153" i="28"/>
  <c r="T153" i="28" s="1"/>
  <c r="Q151" i="28"/>
  <c r="T151" i="28" s="1"/>
  <c r="Q159" i="28"/>
  <c r="T159" i="28" s="1"/>
  <c r="Q157" i="28"/>
  <c r="T157" i="28" s="1"/>
  <c r="Q161" i="28"/>
  <c r="T161" i="28" s="1"/>
  <c r="N150" i="28"/>
  <c r="N152" i="28"/>
  <c r="N156" i="28"/>
  <c r="N160" i="28"/>
  <c r="D34" i="37"/>
  <c r="N158" i="28"/>
  <c r="N162" i="28"/>
  <c r="N149" i="28"/>
  <c r="N151" i="28"/>
  <c r="N153" i="28"/>
  <c r="N155" i="28"/>
  <c r="N157" i="28"/>
  <c r="N159" i="28"/>
  <c r="N161" i="28"/>
  <c r="N163" i="28"/>
  <c r="C36" i="41"/>
  <c r="C35" i="41"/>
  <c r="C34" i="41"/>
  <c r="C33" i="41"/>
  <c r="D37" i="37"/>
  <c r="Q148" i="28"/>
  <c r="T148" i="28" s="1"/>
  <c r="N148" i="28"/>
  <c r="Q141" i="28"/>
  <c r="T141" i="28" s="1"/>
  <c r="Q143" i="28"/>
  <c r="T143" i="28" s="1"/>
  <c r="Q137" i="28"/>
  <c r="T137" i="28" s="1"/>
  <c r="Q145" i="28"/>
  <c r="T145" i="28" s="1"/>
  <c r="Q139" i="28"/>
  <c r="T139" i="28" s="1"/>
  <c r="Q147" i="28"/>
  <c r="T147" i="28" s="1"/>
  <c r="N140" i="28"/>
  <c r="N142" i="28"/>
  <c r="N144" i="28"/>
  <c r="N146" i="28"/>
  <c r="N137" i="28"/>
  <c r="T138" i="28"/>
  <c r="N139" i="28"/>
  <c r="T140" i="28"/>
  <c r="N141" i="28"/>
  <c r="T142" i="28"/>
  <c r="N143" i="28"/>
  <c r="T144" i="28"/>
  <c r="N145" i="28"/>
  <c r="T146" i="28"/>
  <c r="N147" i="28"/>
  <c r="N138" i="28"/>
  <c r="C32" i="41"/>
  <c r="D32" i="37"/>
  <c r="Q136" i="28"/>
  <c r="T136" i="28" s="1"/>
  <c r="C31" i="41"/>
  <c r="C30" i="41"/>
  <c r="C29" i="41"/>
  <c r="N136" i="28"/>
  <c r="Q123" i="28"/>
  <c r="T123" i="28" s="1"/>
  <c r="C28" i="41"/>
  <c r="C27" i="41"/>
  <c r="D29" i="37"/>
  <c r="C26" i="41"/>
  <c r="Q117" i="28"/>
  <c r="T117" i="28" s="1"/>
  <c r="C25" i="41"/>
  <c r="Q125" i="28"/>
  <c r="T125" i="28" s="1"/>
  <c r="Q133" i="28"/>
  <c r="T133" i="28" s="1"/>
  <c r="Q131" i="28"/>
  <c r="T131" i="28" s="1"/>
  <c r="Q119" i="28"/>
  <c r="T119" i="28" s="1"/>
  <c r="Q127" i="28"/>
  <c r="T127" i="28" s="1"/>
  <c r="Q135" i="28"/>
  <c r="T135" i="28" s="1"/>
  <c r="D28" i="37"/>
  <c r="Q121" i="28"/>
  <c r="T121" i="28" s="1"/>
  <c r="Q129" i="28"/>
  <c r="T129" i="28" s="1"/>
  <c r="N122" i="28"/>
  <c r="N126" i="28"/>
  <c r="N132" i="28"/>
  <c r="D26" i="37"/>
  <c r="N118" i="28"/>
  <c r="N120" i="28"/>
  <c r="N124" i="28"/>
  <c r="N128" i="28"/>
  <c r="N130" i="28"/>
  <c r="N134" i="28"/>
  <c r="N117" i="28"/>
  <c r="T118" i="28"/>
  <c r="N119" i="28"/>
  <c r="N121" i="28"/>
  <c r="T122" i="28"/>
  <c r="N123" i="28"/>
  <c r="T124" i="28"/>
  <c r="N125" i="28"/>
  <c r="T126" i="28"/>
  <c r="N127" i="28"/>
  <c r="T128" i="28"/>
  <c r="N129" i="28"/>
  <c r="T130" i="28"/>
  <c r="N131" i="28"/>
  <c r="T132" i="28"/>
  <c r="N133" i="28"/>
  <c r="T134" i="28"/>
  <c r="N135" i="28"/>
  <c r="C24" i="41"/>
  <c r="C23" i="41"/>
  <c r="Q104" i="28"/>
  <c r="T104" i="28" s="1"/>
  <c r="D25" i="37"/>
  <c r="C22" i="41"/>
  <c r="C21" i="41"/>
  <c r="D23" i="37"/>
  <c r="Q114" i="28"/>
  <c r="T114" i="28" s="1"/>
  <c r="Q108" i="28"/>
  <c r="T108" i="28" s="1"/>
  <c r="Q112" i="28"/>
  <c r="T112" i="28" s="1"/>
  <c r="Q116" i="28"/>
  <c r="T116" i="28" s="1"/>
  <c r="Q106" i="28"/>
  <c r="T106" i="28" s="1"/>
  <c r="Q110" i="28"/>
  <c r="T110" i="28" s="1"/>
  <c r="N109" i="28"/>
  <c r="N115" i="28"/>
  <c r="N107" i="28"/>
  <c r="N113" i="28"/>
  <c r="N104" i="28"/>
  <c r="N106" i="28"/>
  <c r="N108" i="28"/>
  <c r="N110" i="28"/>
  <c r="N112" i="28"/>
  <c r="N114" i="28"/>
  <c r="N116" i="28"/>
  <c r="Q78" i="28"/>
  <c r="T78" i="28" s="1"/>
  <c r="Q82" i="28"/>
  <c r="T82" i="28" s="1"/>
  <c r="Q86" i="28"/>
  <c r="T86" i="28" s="1"/>
  <c r="Q90" i="28"/>
  <c r="T90" i="28" s="1"/>
  <c r="Q94" i="28"/>
  <c r="T94" i="28" s="1"/>
  <c r="Q98" i="28"/>
  <c r="T98" i="28" s="1"/>
  <c r="Q80" i="28"/>
  <c r="T80" i="28" s="1"/>
  <c r="Q84" i="28"/>
  <c r="T84" i="28" s="1"/>
  <c r="Q88" i="28"/>
  <c r="T88" i="28" s="1"/>
  <c r="Q92" i="28"/>
  <c r="T92" i="28" s="1"/>
  <c r="Q96" i="28"/>
  <c r="T96" i="28" s="1"/>
  <c r="N78" i="28"/>
  <c r="N80" i="28"/>
  <c r="T81" i="28"/>
  <c r="N82" i="28"/>
  <c r="N84" i="28"/>
  <c r="T85" i="28"/>
  <c r="N86" i="28"/>
  <c r="N88" i="28"/>
  <c r="T89" i="28"/>
  <c r="N90" i="28"/>
  <c r="N92" i="28"/>
  <c r="T93" i="28"/>
  <c r="N94" i="28"/>
  <c r="N96" i="28"/>
  <c r="T97" i="28"/>
  <c r="N98" i="28"/>
  <c r="Q77" i="28"/>
  <c r="T77" i="28" s="1"/>
  <c r="C16" i="41"/>
  <c r="D17" i="37"/>
  <c r="C15" i="41"/>
  <c r="C13" i="41"/>
  <c r="C14" i="41"/>
  <c r="Q60" i="28"/>
  <c r="T60" i="28" s="1"/>
  <c r="Q62" i="28"/>
  <c r="T62" i="28" s="1"/>
  <c r="Q64" i="28"/>
  <c r="T64" i="28" s="1"/>
  <c r="Q66" i="28"/>
  <c r="T66" i="28" s="1"/>
  <c r="Q68" i="28"/>
  <c r="T68" i="28" s="1"/>
  <c r="D14" i="37"/>
  <c r="Q70" i="28"/>
  <c r="T70" i="28" s="1"/>
  <c r="Q72" i="28"/>
  <c r="T72" i="28" s="1"/>
  <c r="Q74" i="28"/>
  <c r="T74" i="28" s="1"/>
  <c r="Q76" i="28"/>
  <c r="T76" i="28" s="1"/>
  <c r="Q61" i="28"/>
  <c r="T61" i="28" s="1"/>
  <c r="Q63" i="28"/>
  <c r="T63" i="28" s="1"/>
  <c r="D15" i="37"/>
  <c r="Q65" i="28"/>
  <c r="T65" i="28" s="1"/>
  <c r="Q67" i="28"/>
  <c r="T67" i="28" s="1"/>
  <c r="Q69" i="28"/>
  <c r="T69" i="28" s="1"/>
  <c r="Q71" i="28"/>
  <c r="T71" i="28" s="1"/>
  <c r="Q73" i="28"/>
  <c r="T73" i="28" s="1"/>
  <c r="Q75" i="28"/>
  <c r="T75" i="28" s="1"/>
  <c r="N60" i="28"/>
  <c r="N62" i="28"/>
  <c r="N64" i="28"/>
  <c r="N66" i="28"/>
  <c r="N68" i="28"/>
  <c r="N70" i="28"/>
  <c r="N72" i="28"/>
  <c r="N74" i="28"/>
  <c r="N76" i="28"/>
  <c r="N61" i="28"/>
  <c r="N63" i="28"/>
  <c r="N65" i="28"/>
  <c r="N67" i="28"/>
  <c r="N69" i="28"/>
  <c r="N71" i="28"/>
  <c r="N73" i="28"/>
  <c r="N75" i="28"/>
  <c r="D12" i="37"/>
  <c r="Q48" i="28"/>
  <c r="T48" i="28" s="1"/>
  <c r="Q50" i="28"/>
  <c r="T50" i="28" s="1"/>
  <c r="Q52" i="28"/>
  <c r="T52" i="28" s="1"/>
  <c r="Q54" i="28"/>
  <c r="T54" i="28" s="1"/>
  <c r="Q56" i="28"/>
  <c r="T56" i="28" s="1"/>
  <c r="Q58" i="28"/>
  <c r="T58" i="28" s="1"/>
  <c r="C12" i="41"/>
  <c r="C11" i="41"/>
  <c r="Q47" i="28"/>
  <c r="C9" i="41"/>
  <c r="D13" i="37"/>
  <c r="C10" i="41"/>
  <c r="T47" i="28"/>
  <c r="Q49" i="28"/>
  <c r="T49" i="28" s="1"/>
  <c r="Q51" i="28"/>
  <c r="T51" i="28" s="1"/>
  <c r="Q53" i="28"/>
  <c r="T53" i="28" s="1"/>
  <c r="D16" i="37"/>
  <c r="Q55" i="28"/>
  <c r="T55" i="28" s="1"/>
  <c r="Q57" i="28"/>
  <c r="T57" i="28" s="1"/>
  <c r="Q59" i="28"/>
  <c r="T59" i="28" s="1"/>
  <c r="N48" i="28"/>
  <c r="N50" i="28"/>
  <c r="N52" i="28"/>
  <c r="N54" i="28"/>
  <c r="N56" i="28"/>
  <c r="N58" i="28"/>
  <c r="N47" i="28"/>
  <c r="N49" i="28"/>
  <c r="N51" i="28"/>
  <c r="N53" i="28"/>
  <c r="N55" i="28"/>
  <c r="N57" i="28"/>
  <c r="N59" i="28"/>
  <c r="C8" i="41"/>
  <c r="C7" i="41"/>
  <c r="D7" i="37"/>
  <c r="Q42" i="28"/>
  <c r="T42" i="28" s="1"/>
  <c r="C5" i="41"/>
  <c r="C6" i="41"/>
  <c r="Q44" i="28"/>
  <c r="T44" i="28" s="1"/>
  <c r="Q46" i="28"/>
  <c r="T46" i="28" s="1"/>
  <c r="Q43" i="28"/>
  <c r="T43" i="28" s="1"/>
  <c r="Q45" i="28"/>
  <c r="T45" i="28" s="1"/>
  <c r="N43" i="28"/>
  <c r="N45" i="28"/>
  <c r="N42" i="28"/>
  <c r="N44" i="28"/>
  <c r="N46" i="28"/>
  <c r="C30" i="24"/>
  <c r="D30" i="24" s="1"/>
  <c r="Q9" i="28"/>
  <c r="T9" i="28" s="1"/>
  <c r="C29" i="24"/>
  <c r="D29" i="24" s="1"/>
  <c r="C31" i="24"/>
  <c r="D31" i="24" s="1"/>
  <c r="C28" i="24"/>
  <c r="D28" i="24" s="1"/>
  <c r="D4" i="37"/>
  <c r="Q11" i="28"/>
  <c r="T11" i="28" s="1"/>
  <c r="Q13" i="28"/>
  <c r="T13" i="28" s="1"/>
  <c r="Q15" i="28"/>
  <c r="T15" i="28" s="1"/>
  <c r="Q19" i="28"/>
  <c r="T19" i="28" s="1"/>
  <c r="Q21" i="28"/>
  <c r="T21" i="28" s="1"/>
  <c r="Q23" i="28"/>
  <c r="T23" i="28" s="1"/>
  <c r="Q25" i="28"/>
  <c r="T25" i="28" s="1"/>
  <c r="Q27" i="28"/>
  <c r="T27" i="28" s="1"/>
  <c r="Q29" i="28"/>
  <c r="T29" i="28" s="1"/>
  <c r="Q31" i="28"/>
  <c r="T31" i="28" s="1"/>
  <c r="Q34" i="28"/>
  <c r="T34" i="28" s="1"/>
  <c r="Q36" i="28"/>
  <c r="T36" i="28" s="1"/>
  <c r="Q38" i="28"/>
  <c r="T38" i="28" s="1"/>
  <c r="N38" i="28"/>
  <c r="Q41" i="28"/>
  <c r="T41" i="28" s="1"/>
  <c r="Q10" i="28"/>
  <c r="T10" i="28" s="1"/>
  <c r="Q12" i="28"/>
  <c r="T12" i="28" s="1"/>
  <c r="Q14" i="28"/>
  <c r="T14" i="28" s="1"/>
  <c r="D3" i="37"/>
  <c r="C26" i="24"/>
  <c r="D26" i="24" s="1"/>
  <c r="C25" i="24"/>
  <c r="D25" i="24" s="1"/>
  <c r="Q18" i="28"/>
  <c r="T18" i="28" s="1"/>
  <c r="C27" i="24"/>
  <c r="D27" i="24" s="1"/>
  <c r="C24" i="24"/>
  <c r="D24" i="24" s="1"/>
  <c r="Q20" i="28"/>
  <c r="T20" i="28" s="1"/>
  <c r="Q22" i="28"/>
  <c r="T22" i="28" s="1"/>
  <c r="Q24" i="28"/>
  <c r="T24" i="28" s="1"/>
  <c r="Q26" i="28"/>
  <c r="T26" i="28" s="1"/>
  <c r="Q28" i="28"/>
  <c r="T28" i="28" s="1"/>
  <c r="Q30" i="28"/>
  <c r="T30" i="28" s="1"/>
  <c r="Q33" i="28"/>
  <c r="T33" i="28" s="1"/>
  <c r="Q35" i="28"/>
  <c r="T35" i="28" s="1"/>
  <c r="Q37" i="28"/>
  <c r="T37" i="28" s="1"/>
  <c r="Q39" i="28"/>
  <c r="T39" i="28" s="1"/>
  <c r="N9" i="28"/>
  <c r="N11" i="28"/>
  <c r="N13" i="28"/>
  <c r="N15" i="28"/>
  <c r="N19" i="28"/>
  <c r="N21" i="28"/>
  <c r="N23" i="28"/>
  <c r="N25" i="28"/>
  <c r="N27" i="28"/>
  <c r="N29" i="28"/>
  <c r="N31" i="28"/>
  <c r="N34" i="28"/>
  <c r="N36" i="28"/>
  <c r="N41" i="28"/>
  <c r="N10" i="28"/>
  <c r="N12" i="28"/>
  <c r="N14" i="28"/>
  <c r="N18" i="28"/>
  <c r="N20" i="28"/>
  <c r="N22" i="28"/>
  <c r="N24" i="28"/>
  <c r="N26" i="28"/>
  <c r="N28" i="28"/>
  <c r="N30" i="28"/>
  <c r="N33" i="28"/>
  <c r="N35" i="28"/>
  <c r="N37" i="28"/>
  <c r="N39" i="28"/>
  <c r="D5" i="38"/>
  <c r="N40" i="29"/>
  <c r="Q40" i="29"/>
  <c r="T40" i="29" s="1"/>
  <c r="C4" i="41"/>
  <c r="C2" i="41"/>
  <c r="Q40" i="28"/>
  <c r="T40" i="28" s="1"/>
  <c r="C1" i="41"/>
  <c r="D5" i="37"/>
  <c r="N40" i="28"/>
  <c r="C3" i="41"/>
  <c r="D31" i="38" l="1"/>
  <c r="D2" i="27"/>
  <c r="D67" i="27"/>
  <c r="C45" i="24"/>
  <c r="D45" i="24" s="1"/>
  <c r="D31" i="27"/>
  <c r="D30" i="27"/>
  <c r="D2" i="38"/>
  <c r="D15" i="38"/>
  <c r="T65" i="29"/>
  <c r="T73" i="29"/>
  <c r="D14" i="38"/>
  <c r="N159" i="23"/>
  <c r="C20" i="24"/>
  <c r="D20" i="24" s="1"/>
  <c r="D18" i="38"/>
  <c r="C20" i="41"/>
  <c r="C38" i="24"/>
  <c r="D38" i="24" s="1"/>
  <c r="C10" i="26"/>
  <c r="C2" i="42"/>
  <c r="C57" i="41"/>
  <c r="C59" i="41"/>
  <c r="D61" i="37"/>
  <c r="C58" i="42"/>
  <c r="C57" i="42"/>
  <c r="C59" i="42"/>
  <c r="C60" i="42"/>
  <c r="D61" i="38"/>
  <c r="C58" i="26"/>
  <c r="C59" i="26"/>
  <c r="C60" i="26"/>
  <c r="D61" i="27"/>
  <c r="C57" i="26"/>
  <c r="C60" i="41"/>
  <c r="C58" i="41"/>
  <c r="T155" i="29"/>
  <c r="C19" i="42"/>
  <c r="C17" i="41"/>
  <c r="C17" i="42"/>
  <c r="C18" i="42"/>
  <c r="C19" i="41"/>
  <c r="D18" i="37"/>
  <c r="C18" i="41"/>
  <c r="C20" i="42"/>
  <c r="D7" i="27"/>
  <c r="N9" i="23"/>
  <c r="Q9" i="23"/>
  <c r="T9" i="23" s="1"/>
  <c r="N18" i="23"/>
  <c r="Q18" i="23"/>
  <c r="T18" i="23" s="1"/>
  <c r="N14" i="23"/>
  <c r="Q14" i="23"/>
  <c r="T14" i="23" s="1"/>
  <c r="Q12" i="23"/>
  <c r="T12" i="23" s="1"/>
  <c r="N12" i="23"/>
  <c r="N10" i="23"/>
  <c r="Q10" i="23"/>
  <c r="T10" i="23" s="1"/>
  <c r="D37" i="38"/>
  <c r="T163" i="29"/>
  <c r="C34" i="42"/>
  <c r="N257" i="23"/>
  <c r="T236" i="28"/>
  <c r="N273" i="23"/>
  <c r="N278" i="23"/>
  <c r="N155" i="23"/>
  <c r="C4" i="42"/>
  <c r="C50" i="24"/>
  <c r="D50" i="24" s="1"/>
  <c r="C1" i="42"/>
  <c r="D32" i="38"/>
  <c r="C33" i="42"/>
  <c r="C3" i="42"/>
  <c r="C36" i="42"/>
  <c r="T151" i="29"/>
  <c r="C52" i="24"/>
  <c r="D52" i="24" s="1"/>
  <c r="C43" i="24"/>
  <c r="D43" i="24" s="1"/>
  <c r="C44" i="24"/>
  <c r="D44" i="24" s="1"/>
  <c r="C32" i="42"/>
  <c r="C42" i="24"/>
  <c r="D42" i="24" s="1"/>
  <c r="D16" i="38"/>
  <c r="T69" i="29"/>
  <c r="T61" i="29"/>
  <c r="C35" i="24"/>
  <c r="D35" i="24" s="1"/>
  <c r="C34" i="24"/>
  <c r="D34" i="24" s="1"/>
  <c r="C32" i="24"/>
  <c r="D32" i="24" s="1"/>
  <c r="C22" i="24"/>
  <c r="D22" i="24" s="1"/>
  <c r="T79" i="28"/>
  <c r="C50" i="41"/>
  <c r="C33" i="24"/>
  <c r="D33" i="24" s="1"/>
  <c r="T87" i="28"/>
  <c r="C23" i="24"/>
  <c r="D23" i="24" s="1"/>
  <c r="T95" i="28"/>
  <c r="C5" i="26"/>
  <c r="N148" i="23"/>
  <c r="N259" i="23"/>
  <c r="C9" i="26"/>
  <c r="T220" i="23"/>
  <c r="Q40" i="23"/>
  <c r="T40" i="23" s="1"/>
  <c r="N40" i="23"/>
  <c r="C12" i="26"/>
  <c r="T244" i="23"/>
  <c r="T264" i="23"/>
  <c r="N277" i="23"/>
  <c r="D4" i="27"/>
  <c r="C6" i="26"/>
  <c r="N46" i="23"/>
  <c r="C30" i="26"/>
  <c r="C49" i="41"/>
  <c r="D63" i="27"/>
  <c r="C51" i="41"/>
  <c r="D37" i="27"/>
  <c r="C50" i="26"/>
  <c r="C39" i="24"/>
  <c r="C35" i="42"/>
  <c r="C32" i="26"/>
  <c r="C31" i="26"/>
  <c r="N157" i="23"/>
  <c r="N201" i="23"/>
  <c r="N218" i="23"/>
  <c r="N214" i="23"/>
  <c r="C29" i="26"/>
  <c r="N138" i="29"/>
  <c r="C49" i="26"/>
  <c r="D49" i="27"/>
  <c r="C51" i="26"/>
  <c r="C41" i="24"/>
  <c r="D41" i="24" s="1"/>
  <c r="D32" i="27"/>
  <c r="N226" i="23"/>
  <c r="D64" i="27"/>
  <c r="N236" i="28"/>
  <c r="N78" i="29"/>
  <c r="N87" i="28"/>
  <c r="N164" i="23"/>
  <c r="D53" i="27"/>
  <c r="N249" i="23"/>
  <c r="N271" i="23"/>
  <c r="C40" i="24"/>
  <c r="D40" i="24" s="1"/>
  <c r="N208" i="23"/>
  <c r="C45" i="26"/>
  <c r="N240" i="23"/>
  <c r="N269" i="23"/>
  <c r="N264" i="23"/>
  <c r="C53" i="24"/>
  <c r="D53" i="24" s="1"/>
  <c r="N242" i="23"/>
  <c r="Q252" i="23"/>
  <c r="T252" i="23" s="1"/>
  <c r="N229" i="23"/>
  <c r="N252" i="23"/>
  <c r="N220" i="23"/>
  <c r="N244" i="23"/>
  <c r="C11" i="26"/>
  <c r="C7" i="26"/>
  <c r="Q276" i="23"/>
  <c r="T276" i="23" s="1"/>
  <c r="N276" i="23"/>
  <c r="Q281" i="23"/>
  <c r="T281" i="23" s="1"/>
  <c r="D66" i="27"/>
  <c r="Q271" i="23"/>
  <c r="T271" i="23" s="1"/>
  <c r="Q282" i="23"/>
  <c r="T282" i="23" s="1"/>
  <c r="Q272" i="23"/>
  <c r="T272" i="23" s="1"/>
  <c r="Q275" i="23"/>
  <c r="T275" i="23" s="1"/>
  <c r="Q269" i="23"/>
  <c r="T269" i="23" s="1"/>
  <c r="C66" i="26"/>
  <c r="D69" i="27"/>
  <c r="C68" i="26"/>
  <c r="C65" i="26"/>
  <c r="C67" i="26"/>
  <c r="Q250" i="23"/>
  <c r="T250" i="23" s="1"/>
  <c r="Q262" i="23"/>
  <c r="T262" i="23" s="1"/>
  <c r="Q254" i="23"/>
  <c r="T254" i="23" s="1"/>
  <c r="Q245" i="23"/>
  <c r="T245" i="23" s="1"/>
  <c r="Q265" i="23"/>
  <c r="T265" i="23" s="1"/>
  <c r="Q258" i="23"/>
  <c r="T258" i="23" s="1"/>
  <c r="D62" i="27"/>
  <c r="Q261" i="23"/>
  <c r="T261" i="23" s="1"/>
  <c r="Q246" i="23"/>
  <c r="T246" i="23" s="1"/>
  <c r="N258" i="23"/>
  <c r="Q266" i="23"/>
  <c r="T266" i="23" s="1"/>
  <c r="Q253" i="23"/>
  <c r="T253" i="23" s="1"/>
  <c r="Q249" i="23"/>
  <c r="T249" i="23" s="1"/>
  <c r="N245" i="23"/>
  <c r="N265" i="23"/>
  <c r="C51" i="24"/>
  <c r="D51" i="24" s="1"/>
  <c r="C61" i="26"/>
  <c r="C63" i="26"/>
  <c r="D65" i="27"/>
  <c r="C62" i="26"/>
  <c r="Q242" i="23"/>
  <c r="T242" i="23" s="1"/>
  <c r="C64" i="26"/>
  <c r="Q238" i="23"/>
  <c r="T238" i="23" s="1"/>
  <c r="Q236" i="23"/>
  <c r="T236" i="23" s="1"/>
  <c r="Q233" i="23"/>
  <c r="T233" i="23" s="1"/>
  <c r="N238" i="23"/>
  <c r="Q240" i="23"/>
  <c r="T240" i="23" s="1"/>
  <c r="Q234" i="23"/>
  <c r="T234" i="23" s="1"/>
  <c r="Q230" i="23"/>
  <c r="T230" i="23" s="1"/>
  <c r="N234" i="23"/>
  <c r="N236" i="23"/>
  <c r="Q229" i="23"/>
  <c r="T229" i="23" s="1"/>
  <c r="D56" i="27"/>
  <c r="Q226" i="23"/>
  <c r="T226" i="23" s="1"/>
  <c r="Q227" i="23"/>
  <c r="T227" i="23" s="1"/>
  <c r="N227" i="23"/>
  <c r="L225" i="23"/>
  <c r="C52" i="41"/>
  <c r="Q217" i="23"/>
  <c r="T217" i="23" s="1"/>
  <c r="Q223" i="23"/>
  <c r="T223" i="23" s="1"/>
  <c r="Q224" i="23"/>
  <c r="T224" i="23" s="1"/>
  <c r="N217" i="23"/>
  <c r="Q221" i="23"/>
  <c r="T221" i="23" s="1"/>
  <c r="C52" i="26"/>
  <c r="Q218" i="23"/>
  <c r="T218" i="23" s="1"/>
  <c r="N221" i="23"/>
  <c r="Q222" i="23"/>
  <c r="T222" i="23" s="1"/>
  <c r="C46" i="26"/>
  <c r="Q208" i="23"/>
  <c r="T208" i="23" s="1"/>
  <c r="Q212" i="23"/>
  <c r="T212" i="23" s="1"/>
  <c r="Q204" i="23"/>
  <c r="T204" i="23" s="1"/>
  <c r="C47" i="26"/>
  <c r="Q210" i="23"/>
  <c r="T210" i="23" s="1"/>
  <c r="Q206" i="23"/>
  <c r="T206" i="23" s="1"/>
  <c r="Q202" i="23"/>
  <c r="T202" i="23" s="1"/>
  <c r="C48" i="26"/>
  <c r="N204" i="23"/>
  <c r="Q179" i="23"/>
  <c r="T179" i="23" s="1"/>
  <c r="Q191" i="23"/>
  <c r="T191" i="23" s="1"/>
  <c r="Q199" i="23"/>
  <c r="T199" i="23" s="1"/>
  <c r="Q186" i="23"/>
  <c r="T186" i="23" s="1"/>
  <c r="Q187" i="23"/>
  <c r="T187" i="23" s="1"/>
  <c r="Q195" i="23"/>
  <c r="T195" i="23" s="1"/>
  <c r="Q181" i="23"/>
  <c r="T181" i="23" s="1"/>
  <c r="N179" i="23"/>
  <c r="Q185" i="23"/>
  <c r="T185" i="23" s="1"/>
  <c r="N191" i="23"/>
  <c r="N199" i="23"/>
  <c r="Q193" i="23"/>
  <c r="T193" i="23" s="1"/>
  <c r="Q183" i="23"/>
  <c r="T183" i="23" s="1"/>
  <c r="Q189" i="23"/>
  <c r="T189" i="23" s="1"/>
  <c r="N187" i="23"/>
  <c r="N195" i="23"/>
  <c r="N181" i="23"/>
  <c r="Q182" i="23"/>
  <c r="T182" i="23" s="1"/>
  <c r="Q177" i="23"/>
  <c r="T177" i="23" s="1"/>
  <c r="N186" i="23"/>
  <c r="Q197" i="23"/>
  <c r="T197" i="23" s="1"/>
  <c r="C44" i="26"/>
  <c r="C41" i="26"/>
  <c r="Q176" i="23"/>
  <c r="T176" i="23" s="1"/>
  <c r="C43" i="26"/>
  <c r="D45" i="27"/>
  <c r="C42" i="26"/>
  <c r="Q173" i="23"/>
  <c r="T173" i="23" s="1"/>
  <c r="Q165" i="23"/>
  <c r="T165" i="23" s="1"/>
  <c r="Q166" i="23"/>
  <c r="T166" i="23" s="1"/>
  <c r="Q169" i="23"/>
  <c r="T169" i="23" s="1"/>
  <c r="N173" i="23"/>
  <c r="D39" i="27"/>
  <c r="Q168" i="23"/>
  <c r="T168" i="23" s="1"/>
  <c r="Q170" i="23"/>
  <c r="T170" i="23" s="1"/>
  <c r="Q172" i="23"/>
  <c r="T172" i="23" s="1"/>
  <c r="N168" i="23"/>
  <c r="N170" i="23"/>
  <c r="C38" i="26"/>
  <c r="Q164" i="23"/>
  <c r="T164" i="23" s="1"/>
  <c r="D41" i="27"/>
  <c r="C39" i="26"/>
  <c r="C37" i="26"/>
  <c r="C40" i="26"/>
  <c r="N151" i="29"/>
  <c r="N155" i="29"/>
  <c r="N163" i="29"/>
  <c r="L158" i="23"/>
  <c r="Q154" i="23"/>
  <c r="T154" i="23" s="1"/>
  <c r="Q161" i="23"/>
  <c r="T161" i="23" s="1"/>
  <c r="Q156" i="23"/>
  <c r="T156" i="23" s="1"/>
  <c r="Q153" i="23"/>
  <c r="T153" i="23" s="1"/>
  <c r="N154" i="23"/>
  <c r="N161" i="23"/>
  <c r="N156" i="23"/>
  <c r="N153" i="23"/>
  <c r="Q149" i="23"/>
  <c r="T149" i="23" s="1"/>
  <c r="Q150" i="23"/>
  <c r="T150" i="23" s="1"/>
  <c r="Q162" i="23"/>
  <c r="T162" i="23" s="1"/>
  <c r="C31" i="42"/>
  <c r="N142" i="29"/>
  <c r="C29" i="42"/>
  <c r="T142" i="29"/>
  <c r="C30" i="42"/>
  <c r="Q143" i="23"/>
  <c r="T143" i="23" s="1"/>
  <c r="Q145" i="23"/>
  <c r="T145" i="23" s="1"/>
  <c r="Q137" i="23"/>
  <c r="T137" i="23" s="1"/>
  <c r="Q141" i="23"/>
  <c r="T141" i="23" s="1"/>
  <c r="Q139" i="23"/>
  <c r="T139" i="23" s="1"/>
  <c r="Q147" i="23"/>
  <c r="T147" i="23" s="1"/>
  <c r="N143" i="23"/>
  <c r="N145" i="23"/>
  <c r="N147" i="23"/>
  <c r="N79" i="28"/>
  <c r="C21" i="24"/>
  <c r="N95" i="28"/>
  <c r="T91" i="28"/>
  <c r="T83" i="28"/>
  <c r="N91" i="28"/>
  <c r="N83" i="28"/>
  <c r="Q82" i="23"/>
  <c r="T82" i="23" s="1"/>
  <c r="L78" i="23"/>
  <c r="N82" i="23"/>
  <c r="N61" i="29"/>
  <c r="N65" i="29"/>
  <c r="N73" i="29"/>
  <c r="N69" i="29"/>
  <c r="L64" i="23"/>
  <c r="N64" i="23" s="1"/>
  <c r="D14" i="27"/>
  <c r="Q70" i="23"/>
  <c r="T70" i="23" s="1"/>
  <c r="L62" i="23"/>
  <c r="N70" i="23"/>
  <c r="L66" i="23"/>
  <c r="Q74" i="23"/>
  <c r="T74" i="23" s="1"/>
  <c r="Q60" i="23"/>
  <c r="T60" i="23" s="1"/>
  <c r="Q55" i="23"/>
  <c r="T55" i="23" s="1"/>
  <c r="N55" i="23"/>
  <c r="Q59" i="23"/>
  <c r="T59" i="23" s="1"/>
  <c r="Q46" i="23"/>
  <c r="T46" i="23" s="1"/>
  <c r="N11" i="29"/>
  <c r="Q25" i="23"/>
  <c r="T25" i="23" s="1"/>
  <c r="Q19" i="23"/>
  <c r="T19" i="23" s="1"/>
  <c r="Q13" i="23"/>
  <c r="T13" i="23" s="1"/>
  <c r="Q27" i="23"/>
  <c r="T27" i="23" s="1"/>
  <c r="L36" i="23"/>
  <c r="Q11" i="23"/>
  <c r="T11" i="23" s="1"/>
  <c r="Q34" i="23"/>
  <c r="T34" i="23" s="1"/>
  <c r="Q20" i="23"/>
  <c r="T20" i="23" s="1"/>
  <c r="Q31" i="23"/>
  <c r="T31" i="23" s="1"/>
  <c r="Q15" i="23"/>
  <c r="T15" i="23" s="1"/>
  <c r="Q29" i="23"/>
  <c r="T29" i="23" s="1"/>
  <c r="N19" i="23"/>
  <c r="N13" i="23"/>
  <c r="N27" i="23"/>
  <c r="L35" i="23"/>
  <c r="N20" i="23"/>
  <c r="N31" i="23"/>
  <c r="N29" i="23"/>
  <c r="L41" i="23"/>
  <c r="N41" i="23" s="1"/>
  <c r="N25" i="23"/>
  <c r="Q38" i="23"/>
  <c r="T38" i="23" s="1"/>
  <c r="Q23" i="23"/>
  <c r="T23" i="23" s="1"/>
  <c r="Q37" i="23"/>
  <c r="T37" i="23" s="1"/>
  <c r="C62" i="42"/>
  <c r="Q242" i="29"/>
  <c r="T242" i="29" s="1"/>
  <c r="C61" i="42"/>
  <c r="C64" i="42"/>
  <c r="C63" i="42"/>
  <c r="D65" i="38"/>
  <c r="N242" i="29"/>
  <c r="Q229" i="29"/>
  <c r="T229" i="29" s="1"/>
  <c r="N229" i="29"/>
  <c r="C43" i="42"/>
  <c r="Q174" i="29"/>
  <c r="T174" i="29" s="1"/>
  <c r="C42" i="42"/>
  <c r="C41" i="42"/>
  <c r="C44" i="42"/>
  <c r="D45" i="38"/>
  <c r="N174" i="29"/>
  <c r="Q94" i="29"/>
  <c r="T94" i="29" s="1"/>
  <c r="Q86" i="29"/>
  <c r="T86" i="29" s="1"/>
  <c r="Q78" i="29"/>
  <c r="T78" i="29" s="1"/>
  <c r="Q98" i="29"/>
  <c r="T98" i="29" s="1"/>
  <c r="N98" i="29"/>
  <c r="Q90" i="29"/>
  <c r="T90" i="29" s="1"/>
  <c r="Q82" i="29"/>
  <c r="T82" i="29" s="1"/>
  <c r="C15" i="42"/>
  <c r="Q60" i="29"/>
  <c r="T60" i="29" s="1"/>
  <c r="C14" i="42"/>
  <c r="C13" i="42"/>
  <c r="C16" i="42"/>
  <c r="D17" i="38"/>
  <c r="N60" i="29"/>
  <c r="C7" i="42"/>
  <c r="Q42" i="29"/>
  <c r="T42" i="29" s="1"/>
  <c r="C6" i="42"/>
  <c r="D7" i="38"/>
  <c r="C5" i="42"/>
  <c r="C8" i="42"/>
  <c r="N42" i="29"/>
  <c r="C46" i="24"/>
  <c r="D46" i="24" s="1"/>
  <c r="Q9" i="29"/>
  <c r="T9" i="29" s="1"/>
  <c r="C49" i="24"/>
  <c r="D49" i="24" s="1"/>
  <c r="C48" i="24"/>
  <c r="D48" i="24" s="1"/>
  <c r="D4" i="38"/>
  <c r="C47" i="24"/>
  <c r="D47" i="24" s="1"/>
  <c r="N9" i="29"/>
  <c r="Q223" i="28"/>
  <c r="T223" i="28" s="1"/>
  <c r="N223" i="28"/>
  <c r="G38" i="24" l="1"/>
  <c r="G20" i="24"/>
  <c r="C2" i="24"/>
  <c r="D2" i="24" s="1"/>
  <c r="D18" i="27"/>
  <c r="C17" i="26"/>
  <c r="C19" i="26"/>
  <c r="C20" i="26"/>
  <c r="C18" i="26"/>
  <c r="D21" i="24"/>
  <c r="G23" i="24"/>
  <c r="D39" i="24"/>
  <c r="G41" i="24"/>
  <c r="C16" i="26"/>
  <c r="D17" i="27"/>
  <c r="D16" i="27"/>
  <c r="C13" i="26"/>
  <c r="C5" i="24"/>
  <c r="D5" i="24" s="1"/>
  <c r="C3" i="24"/>
  <c r="N78" i="23"/>
  <c r="D34" i="27"/>
  <c r="C4" i="24"/>
  <c r="D4" i="24" s="1"/>
  <c r="N66" i="23"/>
  <c r="C14" i="26"/>
  <c r="D57" i="27"/>
  <c r="C54" i="26"/>
  <c r="Q225" i="23"/>
  <c r="T225" i="23" s="1"/>
  <c r="C53" i="26"/>
  <c r="C55" i="26"/>
  <c r="C56" i="26"/>
  <c r="N225" i="23"/>
  <c r="Q158" i="23"/>
  <c r="T158" i="23" s="1"/>
  <c r="C36" i="26"/>
  <c r="C34" i="26"/>
  <c r="C35" i="26"/>
  <c r="C33" i="26"/>
  <c r="N158" i="23"/>
  <c r="Q78" i="23"/>
  <c r="T78" i="23" s="1"/>
  <c r="Q62" i="23"/>
  <c r="T62" i="23" s="1"/>
  <c r="C11" i="24"/>
  <c r="D11" i="24" s="1"/>
  <c r="C10" i="24"/>
  <c r="D10" i="24" s="1"/>
  <c r="C13" i="24"/>
  <c r="D13" i="24" s="1"/>
  <c r="C12" i="24"/>
  <c r="D12" i="24" s="1"/>
  <c r="C15" i="26"/>
  <c r="Q66" i="23"/>
  <c r="T66" i="23" s="1"/>
  <c r="D15" i="27"/>
  <c r="N62" i="23"/>
  <c r="Q64" i="23"/>
  <c r="T64" i="23" s="1"/>
  <c r="Q35" i="23"/>
  <c r="T35" i="23" s="1"/>
  <c r="C7" i="24"/>
  <c r="C9" i="24"/>
  <c r="D9" i="24" s="1"/>
  <c r="C3" i="26"/>
  <c r="D3" i="27"/>
  <c r="C2" i="26"/>
  <c r="C4" i="26"/>
  <c r="C1" i="26"/>
  <c r="C6" i="24"/>
  <c r="D6" i="24" s="1"/>
  <c r="C8" i="24"/>
  <c r="D8" i="24" s="1"/>
  <c r="N35" i="23"/>
  <c r="Q36" i="23"/>
  <c r="T36" i="23" s="1"/>
  <c r="Q41" i="23"/>
  <c r="T41" i="23" s="1"/>
  <c r="C16" i="24"/>
  <c r="D16" i="24" s="1"/>
  <c r="C15" i="24"/>
  <c r="D15" i="24" s="1"/>
  <c r="D5" i="27"/>
  <c r="C17" i="24"/>
  <c r="D17" i="24" s="1"/>
  <c r="C14" i="24"/>
  <c r="D14" i="24" s="1"/>
  <c r="N36" i="23"/>
  <c r="G2" i="24" l="1"/>
  <c r="G39" i="24"/>
  <c r="G40" i="24" s="1"/>
  <c r="G21" i="24"/>
  <c r="G22" i="24" s="1"/>
  <c r="D3" i="24"/>
  <c r="D7" i="24"/>
  <c r="G5" i="24"/>
  <c r="F27" i="24" l="1"/>
  <c r="F45" i="24"/>
  <c r="G3" i="24"/>
  <c r="G4" i="24" l="1"/>
  <c r="F9" i="2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Valerie Blount</author>
  </authors>
  <commentList>
    <comment ref="D2" authorId="0" shapeId="0" xr:uid="{D83FA0ED-0406-4043-8A43-5E04F06072B7}">
      <text>
        <r>
          <rPr>
            <b/>
            <sz val="9"/>
            <color indexed="81"/>
            <rFont val="Tahoma"/>
            <family val="2"/>
          </rPr>
          <t>Point of Contact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Romey Imam</author>
    <author>Alex Masten</author>
  </authors>
  <commentList>
    <comment ref="G32" authorId="0" shapeId="0" xr:uid="{0FD321D6-F48F-4E26-9D31-D82F5FA4CBE3}">
      <text>
        <r>
          <rPr>
            <b/>
            <sz val="9"/>
            <color indexed="81"/>
            <rFont val="Tahoma"/>
            <family val="2"/>
          </rPr>
          <t>Romey Imam:</t>
        </r>
        <r>
          <rPr>
            <sz val="9"/>
            <color indexed="81"/>
            <rFont val="Tahoma"/>
            <family val="2"/>
          </rPr>
          <t xml:space="preserve">
Grading Guidance:
1. Adequate: The vendor is using SecureLink. 
2. Adequate: The vendor is NOT using SecureLink but is willing to transition to SecureLink for remote access to Avera systems.
3. Inadequate: The vendor is NOT using SecureLink, but is using a secure VPN service, CORL to address in the executive summary and will be reviewed by Avera’s team. 
4. Inadequate: The vendor is NOT using SecureLink or any other secure VPN service, CORL to address in the executive summary.</t>
        </r>
      </text>
    </comment>
    <comment ref="G132" authorId="1" shapeId="0" xr:uid="{00000000-0006-0000-1B00-000001000000}">
      <text>
        <r>
          <rPr>
            <b/>
            <sz val="9"/>
            <color indexed="81"/>
            <rFont val="Tahoma"/>
            <family val="2"/>
          </rPr>
          <t>Alex Masten:</t>
        </r>
        <r>
          <rPr>
            <sz val="9"/>
            <color indexed="81"/>
            <rFont val="Tahoma"/>
            <family val="2"/>
          </rPr>
          <t xml:space="preserve">
Reword question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Romey Imam</author>
    <author>Alex Masten</author>
  </authors>
  <commentList>
    <comment ref="G32" authorId="0" shapeId="0" xr:uid="{0802DD6B-2212-4875-A346-A7FB2ECA8359}">
      <text>
        <r>
          <rPr>
            <b/>
            <sz val="9"/>
            <color indexed="81"/>
            <rFont val="Tahoma"/>
            <family val="2"/>
          </rPr>
          <t>Romey Imam:</t>
        </r>
        <r>
          <rPr>
            <sz val="9"/>
            <color indexed="81"/>
            <rFont val="Tahoma"/>
            <family val="2"/>
          </rPr>
          <t xml:space="preserve">
Grading Guidance:
1. Adequate: The vendor is using SecureLink. 
2. Adequate: The vendor is NOT using SecureLink but is willing to transition to SecureLink for remote access to Avera systems.
3. Inadequate: The vendor is NOT using SecureLink, but is using a secure VPN service, CORL to address in the executive summary and will be reviewed by Avera’s team. 
4. Inadequate: The vendor is NOT using SecureLink or any other secure VPN service, CORL to address in the executive summary.</t>
        </r>
      </text>
    </comment>
    <comment ref="G132" authorId="1" shapeId="0" xr:uid="{00000000-0006-0000-1C00-000001000000}">
      <text>
        <r>
          <rPr>
            <b/>
            <sz val="9"/>
            <color indexed="81"/>
            <rFont val="Tahoma"/>
            <family val="2"/>
          </rPr>
          <t>Alex Masten:</t>
        </r>
        <r>
          <rPr>
            <sz val="9"/>
            <color indexed="81"/>
            <rFont val="Tahoma"/>
            <family val="2"/>
          </rPr>
          <t xml:space="preserve">
Reword question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Romey Imam</author>
    <author>Alex Masten</author>
  </authors>
  <commentList>
    <comment ref="G32" authorId="0" shapeId="0" xr:uid="{A22C7691-4A5F-459B-9679-F2F11960405A}">
      <text>
        <r>
          <rPr>
            <b/>
            <sz val="9"/>
            <color indexed="81"/>
            <rFont val="Tahoma"/>
            <family val="2"/>
          </rPr>
          <t>Romey Imam:</t>
        </r>
        <r>
          <rPr>
            <sz val="9"/>
            <color indexed="81"/>
            <rFont val="Tahoma"/>
            <family val="2"/>
          </rPr>
          <t xml:space="preserve">
Grading Guidance:
1. Adequate: The vendor is using SecureLink. 
2. Adequate: The vendor is NOT using SecureLink but is willing to transition to SecureLink for remote access to Avera systems.
3. Inadequate: The vendor is NOT using SecureLink, but is using a secure VPN service, CORL to address in the executive summary and will be reviewed by Avera’s team. 
4. Inadequate: The vendor is NOT using SecureLink or any other secure VPN service, CORL to address in the executive summary.</t>
        </r>
      </text>
    </comment>
    <comment ref="G132" authorId="1" shapeId="0" xr:uid="{00000000-0006-0000-1D00-000001000000}">
      <text>
        <r>
          <rPr>
            <b/>
            <sz val="9"/>
            <color indexed="81"/>
            <rFont val="Tahoma"/>
            <family val="2"/>
          </rPr>
          <t>Alex Masten:</t>
        </r>
        <r>
          <rPr>
            <sz val="9"/>
            <color indexed="81"/>
            <rFont val="Tahoma"/>
            <family val="2"/>
          </rPr>
          <t xml:space="preserve">
Reword question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Bryan Johnson</author>
  </authors>
  <commentList>
    <comment ref="G6" authorId="0" shapeId="0" xr:uid="{00000000-0006-0000-1E00-000001000000}">
      <text>
        <r>
          <rPr>
            <b/>
            <sz val="9"/>
            <color indexed="81"/>
            <rFont val="Tahoma"/>
            <family val="2"/>
          </rPr>
          <t>Bryan Johnson:</t>
        </r>
        <r>
          <rPr>
            <sz val="9"/>
            <color indexed="81"/>
            <rFont val="Tahoma"/>
            <family val="2"/>
          </rPr>
          <t xml:space="preserve">
Has not been defined as of the time of this coding.</t>
        </r>
      </text>
    </comment>
    <comment ref="G24" authorId="0" shapeId="0" xr:uid="{00000000-0006-0000-1E00-000002000000}">
      <text>
        <r>
          <rPr>
            <b/>
            <sz val="9"/>
            <color indexed="81"/>
            <rFont val="Tahoma"/>
            <family val="2"/>
          </rPr>
          <t>Bryan Johnson:</t>
        </r>
        <r>
          <rPr>
            <sz val="9"/>
            <color indexed="81"/>
            <rFont val="Tahoma"/>
            <family val="2"/>
          </rPr>
          <t xml:space="preserve">
Has not been defined as of the time of this coding.</t>
        </r>
      </text>
    </comment>
    <comment ref="G42" authorId="0" shapeId="0" xr:uid="{00000000-0006-0000-1E00-000003000000}">
      <text>
        <r>
          <rPr>
            <b/>
            <sz val="9"/>
            <color indexed="81"/>
            <rFont val="Tahoma"/>
            <family val="2"/>
          </rPr>
          <t>Bryan Johnson:</t>
        </r>
        <r>
          <rPr>
            <sz val="9"/>
            <color indexed="81"/>
            <rFont val="Tahoma"/>
            <family val="2"/>
          </rPr>
          <t xml:space="preserve">
Has not been defined as of the time of this coding.</t>
        </r>
      </text>
    </comment>
  </commentList>
</comments>
</file>

<file path=xl/sharedStrings.xml><?xml version="1.0" encoding="utf-8"?>
<sst xmlns="http://schemas.openxmlformats.org/spreadsheetml/2006/main" count="7779" uniqueCount="1460">
  <si>
    <t>"IRQ" - Inherent Risk Questionnaire - Business Owner to Complete</t>
  </si>
  <si>
    <t>"VSQ" - Vendor Security Questionnaire -  Excel worksheets 1-17 herein - Vendor to Complete</t>
  </si>
  <si>
    <t>Response Questions</t>
  </si>
  <si>
    <t>Data Classifications</t>
  </si>
  <si>
    <t>Types of Data:</t>
  </si>
  <si>
    <t>Type of Access</t>
  </si>
  <si>
    <t>Method of Access</t>
  </si>
  <si>
    <t>Volume of Records</t>
  </si>
  <si>
    <t>Financial Value</t>
  </si>
  <si>
    <t>Breah Business Impact</t>
  </si>
  <si>
    <t xml:space="preserve">Geographic Scope </t>
  </si>
  <si>
    <t>Size of Organization (# of Employees)</t>
  </si>
  <si>
    <t>How data is stored, hosted</t>
  </si>
  <si>
    <t>App / Product?</t>
  </si>
  <si>
    <t>Vendor Age / Business Relationship Length</t>
  </si>
  <si>
    <t>Yes</t>
  </si>
  <si>
    <t>Company Data</t>
  </si>
  <si>
    <t>PHI</t>
  </si>
  <si>
    <t>Intentionally Shared</t>
  </si>
  <si>
    <t>Electronic</t>
  </si>
  <si>
    <t>Most of our patients</t>
  </si>
  <si>
    <t>High</t>
  </si>
  <si>
    <t>International</t>
  </si>
  <si>
    <t>&gt; 100,000</t>
  </si>
  <si>
    <t>In the Cloud</t>
  </si>
  <si>
    <t>&lt; 5 Years</t>
  </si>
  <si>
    <t>No</t>
  </si>
  <si>
    <t>Restricted Data</t>
  </si>
  <si>
    <t>PII</t>
  </si>
  <si>
    <t>Incidental Access</t>
  </si>
  <si>
    <t>Physical</t>
  </si>
  <si>
    <t>Most our employees</t>
  </si>
  <si>
    <t>Medium High</t>
  </si>
  <si>
    <t>National</t>
  </si>
  <si>
    <t>&gt; 10,001</t>
  </si>
  <si>
    <t>On our Network</t>
  </si>
  <si>
    <t>5 - 10 Years</t>
  </si>
  <si>
    <t>Partial</t>
  </si>
  <si>
    <t>Sensitive Data</t>
  </si>
  <si>
    <t>PCI</t>
  </si>
  <si>
    <t>No Access</t>
  </si>
  <si>
    <t>Electronic and Physical</t>
  </si>
  <si>
    <t>Data related to a specific business unit or division</t>
  </si>
  <si>
    <t xml:space="preserve">Medium </t>
  </si>
  <si>
    <t>Single-State</t>
  </si>
  <si>
    <t>&gt; 1001</t>
  </si>
  <si>
    <t>At the Vendor's Location</t>
  </si>
  <si>
    <t>11 - 20 Years</t>
  </si>
  <si>
    <t>N/A</t>
  </si>
  <si>
    <t>Internal Data</t>
  </si>
  <si>
    <t>Intellectual property</t>
  </si>
  <si>
    <t>Data related to a specific service line or facility</t>
  </si>
  <si>
    <t>Medium Low</t>
  </si>
  <si>
    <t>&gt; 501</t>
  </si>
  <si>
    <t>&gt; 20 Years</t>
  </si>
  <si>
    <t>Public Data</t>
  </si>
  <si>
    <t>PHI, PII</t>
  </si>
  <si>
    <t>Very specific and limited focus</t>
  </si>
  <si>
    <t>Low</t>
  </si>
  <si>
    <t>&gt; 51</t>
  </si>
  <si>
    <t>PHI, PCI</t>
  </si>
  <si>
    <t>None</t>
  </si>
  <si>
    <t>&gt; 1</t>
  </si>
  <si>
    <t>PHI, Intellectual property</t>
  </si>
  <si>
    <t>PCI, PII</t>
  </si>
  <si>
    <t>PCI, Intellectual property</t>
  </si>
  <si>
    <t xml:space="preserve">PII, Intellectual property </t>
  </si>
  <si>
    <t>All Data types</t>
  </si>
  <si>
    <t>Inherent Risk Questionnaire ("IRQ")</t>
  </si>
  <si>
    <t>Official Name of Vendor:</t>
  </si>
  <si>
    <t>Vendor POC Name:</t>
  </si>
  <si>
    <t>Vendor-specific business unit / division, if applicable:</t>
  </si>
  <si>
    <t>Vendor POC Title:</t>
  </si>
  <si>
    <t>Vendor Website Domain(s):</t>
  </si>
  <si>
    <t>Vendor POC Email:</t>
  </si>
  <si>
    <t>Date IRQ Completed:</t>
  </si>
  <si>
    <t>Vendor POC Phone #:</t>
  </si>
  <si>
    <t>Control Question #</t>
  </si>
  <si>
    <t>Control Name</t>
  </si>
  <si>
    <t>Control Questions</t>
  </si>
  <si>
    <t>Response</t>
  </si>
  <si>
    <t>Notes</t>
  </si>
  <si>
    <t>Inherent Risk Questions:</t>
  </si>
  <si>
    <t>Products and Applications</t>
  </si>
  <si>
    <t>Does your organization use a vendor specific service/product(s)? (if "Yes" please list the names of the services/products in "Notes")</t>
  </si>
  <si>
    <t>Accessible Data</t>
  </si>
  <si>
    <t>Type of data vendor will have access to:</t>
  </si>
  <si>
    <t>Data Storage</t>
  </si>
  <si>
    <t>Where will the data of your organization be stored, hosted?</t>
  </si>
  <si>
    <t>Report Support</t>
  </si>
  <si>
    <t>Does vendor provide remote support?</t>
  </si>
  <si>
    <t>Records</t>
  </si>
  <si>
    <t>Volume of your organization's records accessible by vendor:</t>
  </si>
  <si>
    <t>Vendor Business Operations</t>
  </si>
  <si>
    <t>Geographic scope of the vendor (if vendor has international operations, please list country name(s) in "Notes"):</t>
  </si>
  <si>
    <t>Vendor Age</t>
  </si>
  <si>
    <t>How long has the vendor been in business in general?</t>
  </si>
  <si>
    <t>Business Relationship Length</t>
  </si>
  <si>
    <t>How long has the vendor been in business with your organization?</t>
  </si>
  <si>
    <t>Annual Revenue</t>
  </si>
  <si>
    <t>What is the vendor's annual revenue?</t>
  </si>
  <si>
    <t>Vendor Size</t>
  </si>
  <si>
    <t>Size of the vendor (# of employees):</t>
  </si>
  <si>
    <t>Business Associate Agreement (BAA)</t>
  </si>
  <si>
    <t>Is there an executed Business Associate Agreement between your organization and the vendor?</t>
  </si>
  <si>
    <t>Information Security Agreement (ISA)</t>
  </si>
  <si>
    <t>Is there an executed Information Security Agreement between your organization and the vendor?</t>
  </si>
  <si>
    <t>Security Assessment Activities</t>
  </si>
  <si>
    <t>Has your organization completed security assessment activities on the vendor in the past? (if "Yes" please describe the assessment scope and approximate timeframe in "Notes"):</t>
  </si>
  <si>
    <r>
      <t xml:space="preserve">Initial Vendor Profile Questionnaire - for </t>
    </r>
    <r>
      <rPr>
        <b/>
        <sz val="12"/>
        <color rgb="FFFF0000"/>
        <rFont val="Arial"/>
        <family val="2"/>
      </rPr>
      <t>CLIENT NAME</t>
    </r>
  </si>
  <si>
    <t>Vendor name:</t>
  </si>
  <si>
    <t>Name:</t>
  </si>
  <si>
    <t>Service(s) / Product(s) provided:</t>
  </si>
  <si>
    <t>Title:</t>
  </si>
  <si>
    <t>Email:</t>
  </si>
  <si>
    <t>Date Completed:</t>
  </si>
  <si>
    <t>Phone:</t>
  </si>
  <si>
    <t>Response:</t>
  </si>
  <si>
    <t>Comments/ Notes:</t>
  </si>
  <si>
    <t>Evidence Provided</t>
  </si>
  <si>
    <t>NIST SP800-53 R4: Control #</t>
  </si>
  <si>
    <t xml:space="preserve">HIPAA CFR Control Reference(s): </t>
  </si>
  <si>
    <t>Vendor Discovery Questions:</t>
  </si>
  <si>
    <t>Will you have access to the following types of data:</t>
  </si>
  <si>
    <t>1.1-a</t>
  </si>
  <si>
    <t>PHI (Protected Health Information)</t>
  </si>
  <si>
    <t>1.1-b</t>
  </si>
  <si>
    <t>Intellectual Property</t>
  </si>
  <si>
    <t>1.1-c</t>
  </si>
  <si>
    <t>Financial Property</t>
  </si>
  <si>
    <t>1.1-d</t>
  </si>
  <si>
    <t>PII (Personally Identifiable Information)</t>
  </si>
  <si>
    <t>1.1-e</t>
  </si>
  <si>
    <t>PCI (Payment Card Industry)</t>
  </si>
  <si>
    <t>1.1-f</t>
  </si>
  <si>
    <t>Employee Information</t>
  </si>
  <si>
    <t>Security Leadership</t>
  </si>
  <si>
    <t>Do you have a designated responsible leader for information security? If so, please explain their title and role in the comments section.</t>
  </si>
  <si>
    <t>Security Assurances</t>
  </si>
  <si>
    <t>Has your company attained any of the following security certifications or external, independent validations of the following:?</t>
  </si>
  <si>
    <t>1.3-a</t>
  </si>
  <si>
    <t>SOC (indicate SOC 1, 2 or 3 and type 1 or 2)</t>
  </si>
  <si>
    <t>Example evidence: certification document</t>
  </si>
  <si>
    <t>1.3-b</t>
  </si>
  <si>
    <t>HITRUST</t>
  </si>
  <si>
    <t>1.3-c</t>
  </si>
  <si>
    <t>PCI Compliance</t>
  </si>
  <si>
    <t>1.3-d</t>
  </si>
  <si>
    <t>ISO 27001</t>
  </si>
  <si>
    <t>1.3-e</t>
  </si>
  <si>
    <t>FedRAMP</t>
  </si>
  <si>
    <t>1.3-f</t>
  </si>
  <si>
    <t>HIPAA (please provide type of assessment performed and certifying organization in the comments section)</t>
  </si>
  <si>
    <t>1.3-g</t>
  </si>
  <si>
    <t>NIST (please provide type of assessment performed and certifying organization in the comments section)</t>
  </si>
  <si>
    <t>1.3-h</t>
  </si>
  <si>
    <t>Other? (please specify in the comments section)</t>
  </si>
  <si>
    <t>Cyber Liability Insurance</t>
  </si>
  <si>
    <t>Do you maintain cyber liability insurance in addition to general liability insurance? If Yes, please explain how much in the comments section.</t>
  </si>
  <si>
    <t>Example evidence: insurance policy</t>
  </si>
  <si>
    <t>Contractors/Subcontractors</t>
  </si>
  <si>
    <t>Do you use any employees, contractors or subcontractors outside of the United States?</t>
  </si>
  <si>
    <t>Please list locations and approximate # of employees at each location</t>
  </si>
  <si>
    <t>Do any of your subcontractors (foreign or domestic) have access to sensitive and/or confidential data? If yes, please name the companies and services they provide to you in the comments section.</t>
  </si>
  <si>
    <t>Please provide a list of sub-contractors</t>
  </si>
  <si>
    <t>Employee Screenings</t>
  </si>
  <si>
    <t xml:space="preserve">Do you conduct background checks for all employees, contractors and subcontractors?  If not, for which areas/positions do you require a background check. Please explain in the comments section. </t>
  </si>
  <si>
    <t>PS-3</t>
  </si>
  <si>
    <t xml:space="preserve">164.308(a)(3)(ii)(B) 
</t>
  </si>
  <si>
    <t>Is this a remote hosted or cloud system? If yes, please answer the following questions.</t>
  </si>
  <si>
    <t>1.8-a</t>
  </si>
  <si>
    <t>Do you have any data centers outside of the United States?</t>
  </si>
  <si>
    <t>1.8-b</t>
  </si>
  <si>
    <t>Can data be restricted to be stored only within the United States?</t>
  </si>
  <si>
    <t>Will data be stored at an encrypted data center?</t>
  </si>
  <si>
    <t>Please list names of recognized data centers</t>
  </si>
  <si>
    <t>SC-13</t>
  </si>
  <si>
    <t>164.312(a)(2)(iv)
164.312(e)(2)(ii)</t>
  </si>
  <si>
    <t>Data Center Security Assurances</t>
  </si>
  <si>
    <t>What certifications does your data center have or external, independent validations of the following:?</t>
  </si>
  <si>
    <t>1.10-a</t>
  </si>
  <si>
    <t>SOC (indicate SOC 1, 2, or 3 and type 1 or 2)</t>
  </si>
  <si>
    <t>1.10-b</t>
  </si>
  <si>
    <t>1.10-c</t>
  </si>
  <si>
    <t>1.10-d</t>
  </si>
  <si>
    <t>1.10-e</t>
  </si>
  <si>
    <t>1.10-f</t>
  </si>
  <si>
    <t>1.10-g</t>
  </si>
  <si>
    <t>1.10-h</t>
  </si>
  <si>
    <t>Other (please specify in the comments section)</t>
  </si>
  <si>
    <t>Data Breach History</t>
  </si>
  <si>
    <t>Has your organization ever experienced a data breach?  If so, please explain in the comments box.</t>
  </si>
  <si>
    <t>Key Control Question Reference #</t>
  </si>
  <si>
    <t>Key Control:</t>
  </si>
  <si>
    <t>Control Area #</t>
  </si>
  <si>
    <t>SI-3</t>
  </si>
  <si>
    <t>Remote Access</t>
  </si>
  <si>
    <t>AC-17</t>
  </si>
  <si>
    <t>RA-5</t>
  </si>
  <si>
    <t>SI-2.1</t>
  </si>
  <si>
    <t xml:space="preserve">HIPAA CFR Control Reference(s) </t>
  </si>
  <si>
    <t>Security Questions:</t>
  </si>
  <si>
    <t>Access Control</t>
  </si>
  <si>
    <t>AC-1.1</t>
  </si>
  <si>
    <t>AC-1</t>
  </si>
  <si>
    <t xml:space="preserve">164.308(a)(3)(i) 
164.308(a)(3)(ii)(A)
164.308(a)(4)(i) 
164.308(a)(4)(ii)(B)
164.308(a)(4)(ii)(C)
164.312(a)(1) 
</t>
  </si>
  <si>
    <t>Access Control Policy and Procedures</t>
  </si>
  <si>
    <t>Are there formally documented policies and procedures for access control? If yes, please attach.</t>
  </si>
  <si>
    <t>AC-2.1</t>
  </si>
  <si>
    <t>AC-2</t>
  </si>
  <si>
    <t xml:space="preserve">164.308(a)(3)(ii)(A) *From AC-13
164.308(a)(3)(ii)(B) 
164.308(a)(4)(i) 
164.308(a)(4)(ii)(B)
164.308(a)(4)(ii)(C)
164.308(a)(5)(ii)(C)
164.312(a)(2)(i) 
164.312(a)(2)(ii) 
</t>
  </si>
  <si>
    <t>Account Management</t>
  </si>
  <si>
    <t>Do you have a process for managing accounts, including - creating, modifying, monitoring, and deleting/disabling accounts?</t>
  </si>
  <si>
    <t>AC-2.2</t>
  </si>
  <si>
    <t>Are accounts reviewed on a periodic basis?  If yes, include timeframe in comment.</t>
  </si>
  <si>
    <t>AC-2.3</t>
  </si>
  <si>
    <t>Have all guest, shared (other than Admin/Root), or group accounts been removed or disabled?</t>
  </si>
  <si>
    <t>AC-2.4</t>
  </si>
  <si>
    <t>Are account managers notified when accounts are no longer required, when users are terminated or transferred, or when individual access requirements change?</t>
  </si>
  <si>
    <t>AC-2.5</t>
  </si>
  <si>
    <t xml:space="preserve">Is approval from an authorized signer required before provisioning accounts?  </t>
  </si>
  <si>
    <t>AC-3.1</t>
  </si>
  <si>
    <t>AC-3</t>
  </si>
  <si>
    <t xml:space="preserve">164.308(a)(3)(ii)(A)
164.308(a)(4)(ii)(B)
164.308(a)(4)(ii)(C)
164.310(a)(2)(iii)
164.310(b)
164.312(a)(1) 
164.312(a)(2)(i) 
164.312(a)(2)(ii)
164.312(a)(2)(iv)
</t>
  </si>
  <si>
    <t>Access Enforcement</t>
  </si>
  <si>
    <t xml:space="preserve">Does the information system verify the rights of a user to access the information system? (Access Control Lists, Group/Role membership?) If yes, detail how the access is enforced in the comment. </t>
  </si>
  <si>
    <t>AC-4.1</t>
  </si>
  <si>
    <t>AC-4</t>
  </si>
  <si>
    <t xml:space="preserve">164.308(a)(3)(ii)(A)
164.308(a)(4)(ii)(B)
164.310(b)
</t>
  </si>
  <si>
    <t>Information Flow Enforcement</t>
  </si>
  <si>
    <t>Is the flow of sensitive information secured between interconnected systems? (Firewall rule sets - iptables, proxies, encrypted tunnels.)</t>
  </si>
  <si>
    <t>AC-5.1</t>
  </si>
  <si>
    <t>AC-5</t>
  </si>
  <si>
    <t xml:space="preserve">164.308(a)(3)(i)
164.308(a)(4)(i) 
164.308(a)(4)(ii)(A)
164.312(a)(1) 
</t>
  </si>
  <si>
    <t>Separation of Duties</t>
  </si>
  <si>
    <t>Is separation of duties implemented? (E.g., Mission functions and support functions divided among personnel, different administrative accounts for different roles.)</t>
  </si>
  <si>
    <t>AC-6.1</t>
  </si>
  <si>
    <t>AC-6</t>
  </si>
  <si>
    <t xml:space="preserve">164.308(a)(3)(i)
164.308(a)(3)(ii)(A) *From AC-13
164.308(a)(4)(i) 
164.308(a)(4)(ii)(A)
164.308(a)(4)(ii)(B) *From AC-13
164.308(a)(5)(ii)(C) *From AC-13
164.312(a)(1) 
</t>
  </si>
  <si>
    <t>Least Privilege</t>
  </si>
  <si>
    <t>Is least privilege employed? (I.e., must administrators switch to the root or a separate administrator account to perform administrative functions/make system changes?)</t>
  </si>
  <si>
    <t>AC-7.1</t>
  </si>
  <si>
    <t>AC-7</t>
  </si>
  <si>
    <t>Unsuccessful Logon Attempts</t>
  </si>
  <si>
    <t>AC-8.1</t>
  </si>
  <si>
    <t>AC-8</t>
  </si>
  <si>
    <t>System Use Notification</t>
  </si>
  <si>
    <t>Is there a system use notification displayed before granting access that provides privacy and security notices?</t>
  </si>
  <si>
    <t>AC-9.1</t>
  </si>
  <si>
    <t>AC-9</t>
  </si>
  <si>
    <t>Previous Logon Notification</t>
  </si>
  <si>
    <t>Does the system display the last user logon date and time to the user?</t>
  </si>
  <si>
    <t>AC-10.1</t>
  </si>
  <si>
    <t>AC-10</t>
  </si>
  <si>
    <t>Concurrent Session Control</t>
  </si>
  <si>
    <t>Does the system limit the number of concurrent sessions for the user?</t>
  </si>
  <si>
    <t>AC-11.1</t>
  </si>
  <si>
    <t>AC-11</t>
  </si>
  <si>
    <t xml:space="preserve">164.310(b)
164.312(a)(2)(iii)
</t>
  </si>
  <si>
    <t>Session Lock</t>
  </si>
  <si>
    <r>
      <t xml:space="preserve">Does the application/system have a session </t>
    </r>
    <r>
      <rPr>
        <i/>
        <sz val="9"/>
        <rFont val="Arial"/>
        <family val="2"/>
      </rPr>
      <t>lock</t>
    </r>
    <r>
      <rPr>
        <sz val="9"/>
        <rFont val="Arial"/>
        <family val="2"/>
      </rPr>
      <t xml:space="preserve"> after a period of inactivity that requires a user to reauthenticate?</t>
    </r>
  </si>
  <si>
    <t>AC-12.1</t>
  </si>
  <si>
    <t>AC-12</t>
  </si>
  <si>
    <t>Session Termination</t>
  </si>
  <si>
    <r>
      <t xml:space="preserve">Does the application/system </t>
    </r>
    <r>
      <rPr>
        <i/>
        <sz val="9"/>
        <rFont val="Arial"/>
        <family val="2"/>
      </rPr>
      <t>terminate</t>
    </r>
    <r>
      <rPr>
        <sz val="9"/>
        <rFont val="Arial"/>
        <family val="2"/>
      </rPr>
      <t xml:space="preserve"> the session after predefined circumstances?</t>
    </r>
  </si>
  <si>
    <t>AC-14.1</t>
  </si>
  <si>
    <t>AC-14</t>
  </si>
  <si>
    <t>Permitted Actions without Identification or
Authentication</t>
  </si>
  <si>
    <t>Does the system prevent user actions that can be performed on the system without identification and authentication?</t>
  </si>
  <si>
    <t>AC-16.1</t>
  </si>
  <si>
    <t>AC-16</t>
  </si>
  <si>
    <t xml:space="preserve">164.310(b)
</t>
  </si>
  <si>
    <t>Security Attributes</t>
  </si>
  <si>
    <t>Is protected health information identified as such with access only provided to authorized personnel?</t>
  </si>
  <si>
    <t>AC-17.1</t>
  </si>
  <si>
    <t>Is remote access allowed from outside the network only through the use of the VPN client?</t>
  </si>
  <si>
    <t>AC-17.2</t>
  </si>
  <si>
    <t>Are there established and documented usage restrictions for those connections?</t>
  </si>
  <si>
    <t>AC-17.3</t>
  </si>
  <si>
    <t xml:space="preserve">Is remote access to the information system authorized prior to allowing such connections? </t>
  </si>
  <si>
    <t>AC-18.1</t>
  </si>
  <si>
    <t>AC-18</t>
  </si>
  <si>
    <t>Wireless Access</t>
  </si>
  <si>
    <t xml:space="preserve">Does the information system and/or associated device allow wireless access and only connect to secure networks? (Network access, Bluetooth, infrared, etc.) </t>
  </si>
  <si>
    <t>AC-19.1</t>
  </si>
  <si>
    <t>AC-19</t>
  </si>
  <si>
    <t>Access Control for Mobile Devices</t>
  </si>
  <si>
    <t>Can users or administrators connect using mobile devices (i.e. iPad, Smart Phone, PDAs)?</t>
  </si>
  <si>
    <t>AC-19.2</t>
  </si>
  <si>
    <t>AC-19.3</t>
  </si>
  <si>
    <t>AC-20.1</t>
  </si>
  <si>
    <t>AC-20</t>
  </si>
  <si>
    <t>Use of External Information Systems</t>
  </si>
  <si>
    <t>Does the information system have any trust relationships with external environments?  (E.g., interconnection agreements with third parties.)</t>
  </si>
  <si>
    <t>AC-20.2</t>
  </si>
  <si>
    <t xml:space="preserve">Are there established terms and conditions to access, process, store, or transmit organizational information using their systems? </t>
  </si>
  <si>
    <t>AC-21.1</t>
  </si>
  <si>
    <t>AC-21</t>
  </si>
  <si>
    <t>Information Sharing</t>
  </si>
  <si>
    <t>Does the organization facilitate information sharing by enabling authorized users to determine whether access authorizations assigned to the sharing partner match the access restriction on the information for the user?</t>
  </si>
  <si>
    <t>AC-22.1</t>
  </si>
  <si>
    <t>AC-22</t>
  </si>
  <si>
    <t>Publicly Accessible Content</t>
  </si>
  <si>
    <t xml:space="preserve">Is there any publicly accessible information? </t>
  </si>
  <si>
    <t>AC-22.2</t>
  </si>
  <si>
    <t>Are designated individuals trained to post and review information on the publicly accessible site?</t>
  </si>
  <si>
    <t>Awareness and Training</t>
  </si>
  <si>
    <t>AT-1.1</t>
  </si>
  <si>
    <t>AT-1</t>
  </si>
  <si>
    <t xml:space="preserve">164.308(a)(5)(i)
</t>
  </si>
  <si>
    <t>Security Awareness and Training Policy and
Procedures</t>
  </si>
  <si>
    <t>Are there formally documented procedures for security awareness and training for this information system? If yes, please attach.</t>
  </si>
  <si>
    <t>AT-2.1</t>
  </si>
  <si>
    <t>AT-2</t>
  </si>
  <si>
    <t xml:space="preserve">164.308(a)(5)(i)
164.308(a)(5)(ii)(A)
164.308(a)(5)(ii)(B)
</t>
  </si>
  <si>
    <t>Security Awareness</t>
  </si>
  <si>
    <t xml:space="preserve">Is basic security awareness training performed for all personnel as a part of the onboarding process? </t>
  </si>
  <si>
    <t>AT-2.2</t>
  </si>
  <si>
    <t>Is it periodically performed for all users?</t>
  </si>
  <si>
    <t>AT-3.1</t>
  </si>
  <si>
    <t>AT-3</t>
  </si>
  <si>
    <t>Role-Based Security Training</t>
  </si>
  <si>
    <t>Is there role-based security training for personnel with assigned security roles and responsibilities for this information system before access is granted and when required by information system changes?</t>
  </si>
  <si>
    <t>AT-4.1</t>
  </si>
  <si>
    <t>AT-4</t>
  </si>
  <si>
    <t>Security Training Records</t>
  </si>
  <si>
    <t>Do you document and monitor information system security training activities for individuals?</t>
  </si>
  <si>
    <t>Audit and Accountability</t>
  </si>
  <si>
    <t>AU-1.1</t>
  </si>
  <si>
    <t>AU-1</t>
  </si>
  <si>
    <t xml:space="preserve">164.312(b)
</t>
  </si>
  <si>
    <t>Audit and Accountability Policy and
Procedures</t>
  </si>
  <si>
    <t>Are there formally documented audit and accountability procedures for this information system? If yes, please attach.</t>
  </si>
  <si>
    <t>AU-2.1</t>
  </si>
  <si>
    <t>AU-2</t>
  </si>
  <si>
    <t xml:space="preserve">164.308(a)(5)(ii)(C)
164.312(b)
</t>
  </si>
  <si>
    <t>Audit Events</t>
  </si>
  <si>
    <t>Is the information system actively auditing events such as access to patient information, login/logoffs, account creation, etc.? If yes, please detail the events captured in the comment.</t>
  </si>
  <si>
    <t>AU-2.2</t>
  </si>
  <si>
    <t>Are the audit logs captured sufficient for incident response and system and user performance/investigation?</t>
  </si>
  <si>
    <t>AU-3.1</t>
  </si>
  <si>
    <t>AU-3</t>
  </si>
  <si>
    <t>Content of Audit Records</t>
  </si>
  <si>
    <t>Does the system create audit records that contain sufficient information to, at a minimum, establish what type of event occurred, when the event occurred, where the event occurred, the source of the event, the outcome (success or failure) of the event, and the identity of any user/subject associated with the event?</t>
  </si>
  <si>
    <t>AU-4.1</t>
  </si>
  <si>
    <t>AU-4</t>
  </si>
  <si>
    <t>Audit Storage Capacity</t>
  </si>
  <si>
    <t>Have you evaluated the audit storage capacity of this information system and determined that it is adequate?</t>
  </si>
  <si>
    <t>AU-5.1</t>
  </si>
  <si>
    <t>AU-5</t>
  </si>
  <si>
    <t>Response to Audit Processing Failures</t>
  </si>
  <si>
    <t>Does the information system generate an alert that notifies the team in the event of an audit processing failure?</t>
  </si>
  <si>
    <t>AU-6.1</t>
  </si>
  <si>
    <t>AU-6</t>
  </si>
  <si>
    <t xml:space="preserve">164.308(a)(1)(ii)(D)
164.308(a)(3)(ii)(A)
164.308(a)(4)(i) 
164.308(a)(5)(ii)(C)
164.312(b)
</t>
  </si>
  <si>
    <t>Audit Review, Analysis, and Reporting</t>
  </si>
  <si>
    <t>Do you review the audit logs for indications of inappropriate or unusual activity and report those incidents to authorized personnel?</t>
  </si>
  <si>
    <t>AU-7.1</t>
  </si>
  <si>
    <t>AU-7</t>
  </si>
  <si>
    <t xml:space="preserve">164.308(a)(1)(ii)(D)
164.312(b)
</t>
  </si>
  <si>
    <t>Audit Reduction and Report Generation</t>
  </si>
  <si>
    <t>Does the information system provide the capability to generate customizable audit reports?</t>
  </si>
  <si>
    <t>AU-7.2</t>
  </si>
  <si>
    <t>Does the generation of an audit report alter the original content or time stamp of the audit record?</t>
  </si>
  <si>
    <t>AU-8.1</t>
  </si>
  <si>
    <t>AU-8</t>
  </si>
  <si>
    <t>Time Stamps</t>
  </si>
  <si>
    <t>Are the audit logs time stamped? (Date and Time)</t>
  </si>
  <si>
    <t>AU-9.1</t>
  </si>
  <si>
    <t>AU-9</t>
  </si>
  <si>
    <t>Protection of Audit Information</t>
  </si>
  <si>
    <t>Does the system/application protect audit information from unauthorized access, modification, and deletion?</t>
  </si>
  <si>
    <t>AU-11.1</t>
  </si>
  <si>
    <t>AU-11</t>
  </si>
  <si>
    <t>Audit Record Retention</t>
  </si>
  <si>
    <t xml:space="preserve">Does the information system retain audit records in accordance with implemented policies? </t>
  </si>
  <si>
    <t>AU-12.1</t>
  </si>
  <si>
    <t>AU-12</t>
  </si>
  <si>
    <t>Audit Generation</t>
  </si>
  <si>
    <t xml:space="preserve">Can the information system be configured to select which auditable events are captured in the audit log? </t>
  </si>
  <si>
    <t>Security Assessment and Authorization</t>
  </si>
  <si>
    <t>CA-1.1</t>
  </si>
  <si>
    <t>CA-1</t>
  </si>
  <si>
    <t xml:space="preserve">164.308(a)(8)
</t>
  </si>
  <si>
    <t>Security Assessment and Authorization Policies and Procedures</t>
  </si>
  <si>
    <t>Are there formally documented policies and procedures for Security Assessments and Authorizations? If yes, please attach.</t>
  </si>
  <si>
    <t>CA-2.1</t>
  </si>
  <si>
    <t>CA-2</t>
  </si>
  <si>
    <t xml:space="preserve">164.308(a)(2) *From CA-04
164.308(a)(8)
</t>
  </si>
  <si>
    <t>Security Assessments</t>
  </si>
  <si>
    <t xml:space="preserve">Has the scope of the security assessment plan been addressed, and does it cover specific security controls and enhancements?
</t>
  </si>
  <si>
    <t>CA-2.2</t>
  </si>
  <si>
    <t xml:space="preserve">Are interconnection security agreements documented? (e.g. interface characteristics, security requirements, data types transmitted)
</t>
  </si>
  <si>
    <t>CA-2.3</t>
  </si>
  <si>
    <t xml:space="preserve">Are these connections monitored for compliance with the agreements?
</t>
  </si>
  <si>
    <t>CA-3.1</t>
  </si>
  <si>
    <t>CA-3</t>
  </si>
  <si>
    <t xml:space="preserve">164.308(b)(1)
164.308(b)(4)
164.314(a)(2)(ii)
</t>
  </si>
  <si>
    <t>System Interconnections</t>
  </si>
  <si>
    <t xml:space="preserve">Does this information system interface with any other information system? </t>
  </si>
  <si>
    <t>CA-3.2</t>
  </si>
  <si>
    <t>Are the interfaces that interconnect with this information system documented?</t>
  </si>
  <si>
    <t>CA-3.3</t>
  </si>
  <si>
    <t>Is there documentation on what information is communicated through that interface and what the security requirements are?</t>
  </si>
  <si>
    <t>CA-5.1</t>
  </si>
  <si>
    <t>CA-5</t>
  </si>
  <si>
    <t>Plan of Action and Milestones</t>
  </si>
  <si>
    <t>Have previous assessment results been used to mitigate identified risks?</t>
  </si>
  <si>
    <t>CA-6.1</t>
  </si>
  <si>
    <t>CA-6</t>
  </si>
  <si>
    <t xml:space="preserve">164.308(a)(2)
164.308(a)(8)
</t>
  </si>
  <si>
    <t>Security Authorization</t>
  </si>
  <si>
    <t xml:space="preserve">Is there an authorizing official for this environment? Can they decide if an environment is turned off if necessary?
</t>
  </si>
  <si>
    <t>CA-6.2</t>
  </si>
  <si>
    <t xml:space="preserve">Have assessments been officially signed off? By whom?
</t>
  </si>
  <si>
    <t>CA-7.1</t>
  </si>
  <si>
    <t>CA-7</t>
  </si>
  <si>
    <t xml:space="preserve">164.308(a)(1)(ii)(D)
164.308(a)(8)
</t>
  </si>
  <si>
    <t>Continuous Monitoring</t>
  </si>
  <si>
    <t>Is there a continuous monitoring strategy? What metrics are used to ensure compliance?</t>
  </si>
  <si>
    <t>CA-7.2</t>
  </si>
  <si>
    <t>Are continuous monitoring results analyzed?</t>
  </si>
  <si>
    <t>CA-7.3</t>
  </si>
  <si>
    <t>Are security controls monitored for compliance? What actions are taken if components are deemed non-compliant?</t>
  </si>
  <si>
    <t>CA-7.4</t>
  </si>
  <si>
    <t>Are the results of continuous monitoring reported to an authorizing official?</t>
  </si>
  <si>
    <t>CA-8.1</t>
  </si>
  <si>
    <t>CA-8</t>
  </si>
  <si>
    <t>Penetration Testing</t>
  </si>
  <si>
    <t>Does your organization do penetration testing on internal networks?</t>
  </si>
  <si>
    <t>CA-9.1</t>
  </si>
  <si>
    <t>CA-9</t>
  </si>
  <si>
    <t>Internal System Connections</t>
  </si>
  <si>
    <t>Is there a device or component that is uniquely used with this system? (E.g., biomedical devices used particularly with this information system).</t>
  </si>
  <si>
    <t>CA-9.2</t>
  </si>
  <si>
    <t>Is there documentation on what information is communicated with that device, how it is transferred, and how the data is secured?</t>
  </si>
  <si>
    <t>Configuration Management</t>
  </si>
  <si>
    <t>CM-1.1</t>
  </si>
  <si>
    <t>CM-1</t>
  </si>
  <si>
    <t>Configuration Management Policy and
Procedures</t>
  </si>
  <si>
    <t>Are there documented procedures to outline who/when and how the system/application is configured? If yes, please attach</t>
  </si>
  <si>
    <t>CM-2.1</t>
  </si>
  <si>
    <t>CM-2</t>
  </si>
  <si>
    <t>Baseline Configuration</t>
  </si>
  <si>
    <t>Do you have a current configuration baseline documented for the information system? (The baseline configuration is a documented, up-to-date specification to which the information system is built.)</t>
  </si>
  <si>
    <t>CM-3.1</t>
  </si>
  <si>
    <t>CM-3</t>
  </si>
  <si>
    <t>Configuration Change Control</t>
  </si>
  <si>
    <t>Are types of changes to the information system that are configuration-controlled defined?</t>
  </si>
  <si>
    <t>CM-3.2</t>
  </si>
  <si>
    <t>Does the organization review proposed configuration-controlled changes to the information system, using defined security impact analyses?</t>
  </si>
  <si>
    <t>CM-3.3</t>
  </si>
  <si>
    <t>Are all configuration changes adequately documented?</t>
  </si>
  <si>
    <t>CM-3.4</t>
  </si>
  <si>
    <t>Are all approved configuration controls implemented timely?</t>
  </si>
  <si>
    <t>CM-3.5</t>
  </si>
  <si>
    <t>Does the organization retain records of configuration controlled changes?</t>
  </si>
  <si>
    <t>CM-3.6</t>
  </si>
  <si>
    <t>Are there auditing and monitoring activities implemented to assess the configuration-controlled changes?</t>
  </si>
  <si>
    <t>CM-4.1</t>
  </si>
  <si>
    <t>CM-4</t>
  </si>
  <si>
    <t>Security Impact Analysis</t>
  </si>
  <si>
    <t>Do you analyze changes to the information system to determine potential security impacts prior to change implementation?</t>
  </si>
  <si>
    <t>CM-5.1</t>
  </si>
  <si>
    <t>CM-5</t>
  </si>
  <si>
    <t>Access Restrictions for Change</t>
  </si>
  <si>
    <t>Does the organization define, documents, approves, and enforces physical and logical access restrictions associated with changes to the information system?</t>
  </si>
  <si>
    <t>CM-6.1</t>
  </si>
  <si>
    <t>CM-6</t>
  </si>
  <si>
    <t>Configuration Settings</t>
  </si>
  <si>
    <t xml:space="preserve">Have all the configuration settings been documented that reflect the most restrictive mode consistent with operational requirements? </t>
  </si>
  <si>
    <t>CM-6.2</t>
  </si>
  <si>
    <t>Is there any automated or manual monitoring of configuration changes? (e.g. Tripwire, manual checklists)</t>
  </si>
  <si>
    <t>CM-6.3</t>
  </si>
  <si>
    <t>Do you document and approve deviations from the established configuration settings?</t>
  </si>
  <si>
    <t>CM-7.1</t>
  </si>
  <si>
    <t>CM-7</t>
  </si>
  <si>
    <t>Least Functionality</t>
  </si>
  <si>
    <t xml:space="preserve">Do you restrict or prohibit the use of any functions, ports, protocols and/or services that are not essential to the function of the information system? </t>
  </si>
  <si>
    <t>CM-8.1</t>
  </si>
  <si>
    <t>CM-8</t>
  </si>
  <si>
    <t xml:space="preserve">164.310(d)(1)
164.310(d)(2)(iii)
</t>
  </si>
  <si>
    <t>Information System Component Inventory</t>
  </si>
  <si>
    <t>Do you have an accurate and current documented inventory of the components within the information system?</t>
  </si>
  <si>
    <t>CM-8.2</t>
  </si>
  <si>
    <t>If yes, do you review and update the information system component inventory regularly?</t>
  </si>
  <si>
    <t>CM-9.1</t>
  </si>
  <si>
    <t>CM-9</t>
  </si>
  <si>
    <t>Configuration Management Plan</t>
  </si>
  <si>
    <t>Does the organization develop, document, and implement a configuration management plan for the information system that addresses roles, responsibilities and configuration management processes and procedures?</t>
  </si>
  <si>
    <t>CM-9.2</t>
  </si>
  <si>
    <t>Does the organization establish a process for identifying configuration items throughout the system development life cycle?</t>
  </si>
  <si>
    <t>CM-9.3</t>
  </si>
  <si>
    <t>Does the organization define configuration items for the information system?</t>
  </si>
  <si>
    <t>CM-9.4</t>
  </si>
  <si>
    <t>Does the organization protect the configuration management plan for unauthorized disclosures and modifications?</t>
  </si>
  <si>
    <t>CM-10.1</t>
  </si>
  <si>
    <t>CM-10</t>
  </si>
  <si>
    <t>Software Usage Restrictions</t>
  </si>
  <si>
    <t>Is software usage in accordance with contract agreements and copyright laws?</t>
  </si>
  <si>
    <t>CM-11.1</t>
  </si>
  <si>
    <t>CM-11</t>
  </si>
  <si>
    <t>User-Installed Software</t>
  </si>
  <si>
    <t>Is user installation of software restricted and monitored?</t>
  </si>
  <si>
    <t>Contingency Planning</t>
  </si>
  <si>
    <t>CP-1.1</t>
  </si>
  <si>
    <t>CP-1</t>
  </si>
  <si>
    <t xml:space="preserve">164.308(a)(7)(i)
</t>
  </si>
  <si>
    <t>Contingency Planning Policy and
Procedures</t>
  </si>
  <si>
    <t>Are there formally documented policies and procedures for Contingency Plan? If yes, please attach.</t>
  </si>
  <si>
    <t>CP-2.1</t>
  </si>
  <si>
    <t>CP-2</t>
  </si>
  <si>
    <t xml:space="preserve">164.308(a)(7)(ii)(B)
164.308(a)(7)(ii)(C)
164.308(a)(7)(ii)(D)
164.308(a)(7)(ii)(E)
164.310(a)(2)(i)
164.312(a)(2)(ii)
</t>
  </si>
  <si>
    <t>Contingency Plan</t>
  </si>
  <si>
    <t>Have you developed a contingency plan for this information system? If yes, please attach.</t>
  </si>
  <si>
    <t>CP-2.2</t>
  </si>
  <si>
    <t>Does the contingency plan:
- Identify the essential missions and business functions 
- Provide recovery objectives, restoration priorities, and metrics
- Address contingency roles, responsibilities, and assigned individuals with contact information 
- Address maintaining essential missions and business functions despite a disruption
- Address full restoration without deterioration of originally implemented security safeguards
- Distributed to key personnel
- Coordinated with incident handling procedures
- Reviewed and updated to address changes 
- Protected from unauthorized disclosure or modification</t>
  </si>
  <si>
    <t>CP-3.1</t>
  </si>
  <si>
    <t>CP-3</t>
  </si>
  <si>
    <t>164.308(a)(7)(ii)(D)</t>
  </si>
  <si>
    <t>Contingency Training</t>
  </si>
  <si>
    <t>Does your department train personnel in their contingency roles and responsibilities and provide refresher training when required?</t>
  </si>
  <si>
    <t>CP-4.1</t>
  </si>
  <si>
    <t>CP-4</t>
  </si>
  <si>
    <t>Contingency Plan Testing</t>
  </si>
  <si>
    <t>Do you test and/or exercise the contingency plan periodically to determine the plan’s effectiveness and review the contingency plan test results to initiate any needed corrective actions?</t>
  </si>
  <si>
    <t>CP-6.1</t>
  </si>
  <si>
    <t>CP-6</t>
  </si>
  <si>
    <t xml:space="preserve">164.308(a)(7)(ii)(B)
164.310(a)(2)(i)
</t>
  </si>
  <si>
    <t>Alternate Storage Site</t>
  </si>
  <si>
    <t>Has your department established an alternate storage site including necessary agreements to permit the storage and recovery of information system backup information?</t>
  </si>
  <si>
    <t>CP-6.2</t>
  </si>
  <si>
    <t>Does the alternate storage site provide information security safeguards equivalent to that of the primary site?</t>
  </si>
  <si>
    <t>CP-7.1</t>
  </si>
  <si>
    <t>CP-7</t>
  </si>
  <si>
    <t>Alternate Processing Site</t>
  </si>
  <si>
    <t>Has your department established an alternate processing site to permit the resumption of information system operations for essential missions and business functions when the primary processing capabilities are unavailable?</t>
  </si>
  <si>
    <t>CP-7.2</t>
  </si>
  <si>
    <t>Does the alternate processing site provide information security safeguards equivalent to that of the primary site?</t>
  </si>
  <si>
    <t>CP-8.1</t>
  </si>
  <si>
    <t>CP-8</t>
  </si>
  <si>
    <t>164.308(a)(7)(ii)(B)</t>
  </si>
  <si>
    <t>Telecommunications Service</t>
  </si>
  <si>
    <t>Are there alternate forms of telecommunication available should primary means (e.g. email, cellular phone) be unavailable?</t>
  </si>
  <si>
    <t>CP-9.1</t>
  </si>
  <si>
    <t>CP-9</t>
  </si>
  <si>
    <t xml:space="preserve">164.308(a)(7)(ii)(A)
164.308(a)(7)(ii)(B)
164.310(d)(2)(iv)
164.312(c)(1)
</t>
  </si>
  <si>
    <t>Information System Backup</t>
  </si>
  <si>
    <t>Is user-level information, system-level information, and information system documentation backed up?</t>
  </si>
  <si>
    <t>CP-9.2</t>
  </si>
  <si>
    <t>Is the confidentiality, integrity, and availability of backup information protected at the storage location?</t>
  </si>
  <si>
    <t>CP-10.1</t>
  </si>
  <si>
    <t>CP-10</t>
  </si>
  <si>
    <t xml:space="preserve">164.308(a)(7)(ii)(B)
164.308(a)(7)(ii)(C)
</t>
  </si>
  <si>
    <t>Information System Recovery and
Reconstitution</t>
  </si>
  <si>
    <t>Is there recovery and reconstitution of the information system to a known state after a disruption, compromise, or failure?</t>
  </si>
  <si>
    <t>Identification and Authentication</t>
  </si>
  <si>
    <t>IA-1.1</t>
  </si>
  <si>
    <t>IA-1</t>
  </si>
  <si>
    <t>Identification and Authentication Policy and Procedures</t>
  </si>
  <si>
    <t>Does the application/system use managed LDAP services for identification and authentication? If no, detail in the comment column what is used.</t>
  </si>
  <si>
    <t>IA-1.2</t>
  </si>
  <si>
    <t>Are there formally documented policies and procedures for Identification and Authentication? If yes, please attach.</t>
  </si>
  <si>
    <t>IA-2.1</t>
  </si>
  <si>
    <t>IA-2</t>
  </si>
  <si>
    <t xml:space="preserve">164.308(a)(5)(ii)(D)
164.312(a)(2)(i) 
164.312(d)
</t>
  </si>
  <si>
    <t>Identification and Authentication
(Organizational Users)</t>
  </si>
  <si>
    <t>Does the information system use multifactor authentication for privileged or non-privileged access? (Uses at least two of: what you have, what you know, what you are.  E.g., tokens, passwords, biometrics.)</t>
  </si>
  <si>
    <t>IA-3.1</t>
  </si>
  <si>
    <t>IA-3</t>
  </si>
  <si>
    <t xml:space="preserve">164.312(a)(2)(i) 
164.312(d)
</t>
  </si>
  <si>
    <t>Device Identification and Authentication</t>
  </si>
  <si>
    <t>Does the information system uniquely identify and authenticate devices before establishing a connection? (E.g., MAC, TCP/IP, IEEE 802.1x)</t>
  </si>
  <si>
    <t>IA-4.1</t>
  </si>
  <si>
    <t>IA-4</t>
  </si>
  <si>
    <t>Identifier Management</t>
  </si>
  <si>
    <t>Do you manage the information system identifiers for users and devices by requiring authorization by an authorized signer prior to assigning an identifier?</t>
  </si>
  <si>
    <t>IA-4.2</t>
  </si>
  <si>
    <t>Does the application/system prevent reuse of user or device identifiers?</t>
  </si>
  <si>
    <t>IA-4.3</t>
  </si>
  <si>
    <t>Does the application/system disable the user or device account after a pre-defined period of inactivity?</t>
  </si>
  <si>
    <t>IA-5.1</t>
  </si>
  <si>
    <t>IA-5</t>
  </si>
  <si>
    <t xml:space="preserve">164.308(a)(5)(ii)(D)
</t>
  </si>
  <si>
    <t>Authenticator Management</t>
  </si>
  <si>
    <t xml:space="preserve">Does the application/system comply with the password complexity as outlined in implemented policies? </t>
  </si>
  <si>
    <t>IA-5.2</t>
  </si>
  <si>
    <t>IA-5.3</t>
  </si>
  <si>
    <t>Are the passwords encrypted within the information system when stored or transmitted?</t>
  </si>
  <si>
    <t>IA-5.4</t>
  </si>
  <si>
    <t>Are factory default passwords changed once implemented into production? (Admin/root passwords.)</t>
  </si>
  <si>
    <t>IA-5.5</t>
  </si>
  <si>
    <t>Is the identity of the individual or device verified as part of the initial password distribution process?</t>
  </si>
  <si>
    <t>IA-5.6</t>
  </si>
  <si>
    <t>Are there administrative procedures for initial password distribution and for revoking access?</t>
  </si>
  <si>
    <t>IA-5.7</t>
  </si>
  <si>
    <t>Is authenticator content protected from unauthorized disclosure and modification?</t>
  </si>
  <si>
    <t>IA-5.8</t>
  </si>
  <si>
    <t>Are passwords for group/role accounts changed when membership to those accounts change?</t>
  </si>
  <si>
    <t>IA-5.9</t>
  </si>
  <si>
    <t>Is token-based authentication required?</t>
  </si>
  <si>
    <t>IA-6.1</t>
  </si>
  <si>
    <t>IA-6</t>
  </si>
  <si>
    <t>Authenticator Feedback</t>
  </si>
  <si>
    <t>Does the information system obscure the authenticator/password during the authentication process?</t>
  </si>
  <si>
    <t>IA-7.1</t>
  </si>
  <si>
    <t>IA-7</t>
  </si>
  <si>
    <t>Cryptographic Module Authentication</t>
  </si>
  <si>
    <t>Does the information system use mechanisms for authentication to a cryptographic module? (This control is used for mostly operating systems and appliances used to encrypt something.)</t>
  </si>
  <si>
    <t>IA-8.1</t>
  </si>
  <si>
    <t>IA-8</t>
  </si>
  <si>
    <t>Identification and Authentication (Non- Organizational Users)</t>
  </si>
  <si>
    <t>Does the information system uniquely identify and authenticate non-organizational users (such as vendors)? (I.e., do the vendors have unique accounts instead of a shared account to gain access?)</t>
  </si>
  <si>
    <t xml:space="preserve">Incident Response </t>
  </si>
  <si>
    <t>IR-1.1</t>
  </si>
  <si>
    <t>IR-1</t>
  </si>
  <si>
    <t>164.308(a)(6)(i)</t>
  </si>
  <si>
    <t xml:space="preserve">Incident Response Policies and Procedures </t>
  </si>
  <si>
    <t>Are there formally documented policies and procedures for Incident Response? If yes, please attach.</t>
  </si>
  <si>
    <t>IR-2.1</t>
  </si>
  <si>
    <t>IR-2</t>
  </si>
  <si>
    <t>Incident Response Training</t>
  </si>
  <si>
    <t>Are staff provided with incident response training?</t>
  </si>
  <si>
    <t>IR-2.2</t>
  </si>
  <si>
    <t>Is incident response training unique based on the role of the individual?</t>
  </si>
  <si>
    <t>IR-3.1</t>
  </si>
  <si>
    <t>IR-3</t>
  </si>
  <si>
    <t>Incident Response Testing and Exercises</t>
  </si>
  <si>
    <t>Are incident response tests conducted?</t>
  </si>
  <si>
    <t>IR-3.2</t>
  </si>
  <si>
    <t>Are the incident response test results analyzed?</t>
  </si>
  <si>
    <t>IR-4.1</t>
  </si>
  <si>
    <t>IR-4</t>
  </si>
  <si>
    <t xml:space="preserve">164.308(a)(6)(ii)
</t>
  </si>
  <si>
    <t>Incident Handling</t>
  </si>
  <si>
    <t>Is there an incident handling process</t>
  </si>
  <si>
    <t>IR-4.2</t>
  </si>
  <si>
    <t>Are incident handling activities coordinated with contingency planning activities?</t>
  </si>
  <si>
    <t>IR-5.1</t>
  </si>
  <si>
    <t>IR-5</t>
  </si>
  <si>
    <t xml:space="preserve">164.308(a)(1)(ii)(D)
164.308(a)(6)(ii)
</t>
  </si>
  <si>
    <t>Incident Monitoring</t>
  </si>
  <si>
    <t>Are security incidents tracked and documented?</t>
  </si>
  <si>
    <t>IR-6.1</t>
  </si>
  <si>
    <t xml:space="preserve">IR-6 </t>
  </si>
  <si>
    <t xml:space="preserve">164.308(a)(1)(ii)(D)
164.308(a)(6)(ii)
164.314(a)(2)(i)
</t>
  </si>
  <si>
    <t>Incident Reporting</t>
  </si>
  <si>
    <t>Are security incidents timely reported to appropriate personnel/ government authorities?</t>
  </si>
  <si>
    <t>IR-7.1</t>
  </si>
  <si>
    <t xml:space="preserve">IR-7 </t>
  </si>
  <si>
    <t>164.308(a)(6)(ii)</t>
  </si>
  <si>
    <t>Incident Response Assistance</t>
  </si>
  <si>
    <t>Are incident response resources used outside of the incident response team?</t>
  </si>
  <si>
    <t>IR-8.1</t>
  </si>
  <si>
    <t>IR-8</t>
  </si>
  <si>
    <t>Incident Response Plan</t>
  </si>
  <si>
    <t>Is there a comprehensive Incident Response Plan? If so, please attach.</t>
  </si>
  <si>
    <t>IR-9.1</t>
  </si>
  <si>
    <t>IR-9</t>
  </si>
  <si>
    <t>Information Spillage Response</t>
  </si>
  <si>
    <t>Does the organization respond to information spillage appropriately and timely?</t>
  </si>
  <si>
    <t>Maintenance</t>
  </si>
  <si>
    <t>MA-1.1</t>
  </si>
  <si>
    <t>MA-1</t>
  </si>
  <si>
    <t xml:space="preserve">164.310(a)(2)(iv)
</t>
  </si>
  <si>
    <t>System Maintenance Policy and Procedures</t>
  </si>
  <si>
    <t>Are there formally documented policies and procedures for Maintenance? If yes, please attach.</t>
  </si>
  <si>
    <t>MA-2.1</t>
  </si>
  <si>
    <r>
      <rPr>
        <sz val="9"/>
        <rFont val="Arial"/>
        <family val="2"/>
      </rPr>
      <t>Controlled Maintenance</t>
    </r>
  </si>
  <si>
    <t>Are maintenance and repairs on the information system scheduled, performed, documented, and reviewed?</t>
  </si>
  <si>
    <t>MA-2.2</t>
  </si>
  <si>
    <t>Do you approve and monitor all maintenance activities?</t>
  </si>
  <si>
    <t>MA-2.3</t>
  </si>
  <si>
    <t>Is management's approval required for the removal of the information system or its components for off-site maintenance and repairs?</t>
  </si>
  <si>
    <t>MA-2.4</t>
  </si>
  <si>
    <t>Do you sanitize equipment to remove all information from associated media (e.g., hard drives) prior to removal from the facilities for off-site maintenance or repairs?</t>
  </si>
  <si>
    <t>MA-2.5</t>
  </si>
  <si>
    <t>Do you check all potentially impacted security controls to verify that the controls are still functioning properly following maintenance or repair actions? (E.g., verify that audit logs are still functioning properly, user level of access is still appropriate.)</t>
  </si>
  <si>
    <t>MA-3.1</t>
  </si>
  <si>
    <t>MA-3</t>
  </si>
  <si>
    <t>Maintenance Tools</t>
  </si>
  <si>
    <t>Does the organization approve, control and monitor information system maintenance tools?</t>
  </si>
  <si>
    <t>MA-4.1</t>
  </si>
  <si>
    <t>MA-4</t>
  </si>
  <si>
    <t>Nonlocal Maintenance</t>
  </si>
  <si>
    <t>Is any nonlocal maintenance and diagnostic activity performed on the information system  (such as across the network, either internal or external, using terminal services/RDP)?</t>
  </si>
  <si>
    <t>MA-4.2</t>
  </si>
  <si>
    <t>Are all nonlocal maintenance and diagnostic activities approved and monitored?</t>
  </si>
  <si>
    <t>MA-4.3</t>
  </si>
  <si>
    <t>Are strong authenticators/passwords used in the establishment of nonlocal maintenance and diagnostic sessions?</t>
  </si>
  <si>
    <t>MA-4.4</t>
  </si>
  <si>
    <t>Do you maintain records for nonlocal maintenance and diagnostic activities?</t>
  </si>
  <si>
    <t>MA-4.5</t>
  </si>
  <si>
    <t>Are the sessions and network connections terminated after the nonlocal maintenance has been completed?</t>
  </si>
  <si>
    <t>MA-5.1</t>
  </si>
  <si>
    <t xml:space="preserve">164.308(a)(3)(ii)(A)
</t>
  </si>
  <si>
    <r>
      <rPr>
        <sz val="9"/>
        <rFont val="Arial"/>
        <family val="2"/>
      </rPr>
      <t>Maintenance Personnel</t>
    </r>
  </si>
  <si>
    <t>Do you authorize and maintain a list of authorized maintenance personnel?</t>
  </si>
  <si>
    <t>MA-5.2</t>
  </si>
  <si>
    <t>Do you ensure that personnel performing maintenance of the information system have the required access authorizations?</t>
  </si>
  <si>
    <t>MA-5.3</t>
  </si>
  <si>
    <t>If personnel without the required access authorizations are allowed to perform maintenance activities (a vendor), are they supervised by authorized organizational personnel?</t>
  </si>
  <si>
    <t>MA-6.1</t>
  </si>
  <si>
    <t>MA-6</t>
  </si>
  <si>
    <t>Timely Maintenance</t>
  </si>
  <si>
    <t>Is there a maintenance contract with the vendor to provide timely maintenance in the event of a failure of the information system? (E.g., spare parts on hand, response times from the vendor or other personnel, documented in OLA/SLA agreements.)</t>
  </si>
  <si>
    <t>Media Protection</t>
  </si>
  <si>
    <t>MP-1.1</t>
  </si>
  <si>
    <t>MP-1</t>
  </si>
  <si>
    <t xml:space="preserve">164.310(d)(1)
</t>
  </si>
  <si>
    <t>MP-1.2</t>
  </si>
  <si>
    <t>Media Protection Policy and Procedures</t>
  </si>
  <si>
    <t>Are there formally documented policies and procedures for Media Protection? If yes, please attach.</t>
  </si>
  <si>
    <t>MP-2.1</t>
  </si>
  <si>
    <t>MP-2</t>
  </si>
  <si>
    <t xml:space="preserve">164.308(a)(3)(ii)(A)
164.310(c)
164.310(d)(1)
164.312(c)(1)
</t>
  </si>
  <si>
    <t>Media Access</t>
  </si>
  <si>
    <t xml:space="preserve">Is access to media associated with the information system (diskettes, hard disk drives, flash drives, CDs, paper, microfilm, etc.) restricted to authorized personnel? </t>
  </si>
  <si>
    <t>MP-3.1</t>
  </si>
  <si>
    <t>MP-3</t>
  </si>
  <si>
    <t xml:space="preserve">164.310(b) *From AC-15
164.310(c)
164.310(d)(1)
</t>
  </si>
  <si>
    <t>Media Marking</t>
  </si>
  <si>
    <t>Is any media containing sensitive data marked to indicate distribution limitations, handling caveats, ownership, and any applicable security markings if it is removed from a controlled area?</t>
  </si>
  <si>
    <t>MP-4.1</t>
  </si>
  <si>
    <t>MP-4</t>
  </si>
  <si>
    <t xml:space="preserve">164.310(c)
164.310(d)(1)
164.310(d)(2)(iv)
</t>
  </si>
  <si>
    <t>Media Storage</t>
  </si>
  <si>
    <t>Is the media stored is a secure location? (E.g., data center, locked office or cabinet.)</t>
  </si>
  <si>
    <t>MP-5.1</t>
  </si>
  <si>
    <t>MP-5</t>
  </si>
  <si>
    <t xml:space="preserve">164.310(d)(1)
164.310(d)(2)(iii)
164.312(c)(1)
</t>
  </si>
  <si>
    <t>Media Transport</t>
  </si>
  <si>
    <t>Does media related to this information system get transported outside of the controlled environment?</t>
  </si>
  <si>
    <t>MP-5.2</t>
  </si>
  <si>
    <t>Do you maintain accountability during the transport of the media outside of the controlled area, documenting transport activities and restricting transport activities to associated personnel?</t>
  </si>
  <si>
    <t>MP-6.1</t>
  </si>
  <si>
    <t>MP-6</t>
  </si>
  <si>
    <t xml:space="preserve">164.310(d)(1)
164.310(d)(2)(i)
164.310(d)(2)(ii)
</t>
  </si>
  <si>
    <t>Media Sanitization</t>
  </si>
  <si>
    <t>Is the media sanitized prior to destruction, disposal, re-use, or release? (I.e., degaussed.)</t>
  </si>
  <si>
    <t>MP-7.1</t>
  </si>
  <si>
    <t>MP-7</t>
  </si>
  <si>
    <t>Media Use</t>
  </si>
  <si>
    <t>Are there any restrictions on the types of storage media that can connect to the information system? (E.g., restricting or prohibiting the use of flash drives or external hard disk drives.)</t>
  </si>
  <si>
    <t>MP-7.2</t>
  </si>
  <si>
    <t>Are there technical or nontechnical safeguards (e.g., policies, procedures, rules of behavior) in place to enforce the media restriction(s)?</t>
  </si>
  <si>
    <t>Physical and Environmental Protection</t>
  </si>
  <si>
    <t>PE-1.1</t>
  </si>
  <si>
    <t>PE-1</t>
  </si>
  <si>
    <t xml:space="preserve">164.310(a)(1)
164.310(a)(2)(ii)
164.310(a)(2)(iii)
</t>
  </si>
  <si>
    <t>Physical and Environmental Protection
Policy and Procedures</t>
  </si>
  <si>
    <t>PE-2.1</t>
  </si>
  <si>
    <t xml:space="preserve">164.310(a)(1)
164.310(a)(2)(iii)
</t>
  </si>
  <si>
    <r>
      <rPr>
        <sz val="9"/>
        <rFont val="Arial"/>
        <family val="2"/>
      </rPr>
      <t>Physical Access Authorizations</t>
    </r>
  </si>
  <si>
    <t>Is there a documented and current list of personnel with authorized access to the facility where the information system resides?</t>
  </si>
  <si>
    <t>PE-2.2</t>
  </si>
  <si>
    <t>Is the access list detailing the individuals with authorized facility access periodically reviewed?</t>
  </si>
  <si>
    <t>PE-2.3</t>
  </si>
  <si>
    <t>Are individuals no longer requiring facility access removed from the list?</t>
  </si>
  <si>
    <t>PE-3.1</t>
  </si>
  <si>
    <t xml:space="preserve">164.310(a)(1)
164.310(a)(2)(iii)
164.310(b)
164.310(c)
</t>
  </si>
  <si>
    <r>
      <rPr>
        <sz val="9"/>
        <rFont val="Arial"/>
        <family val="2"/>
      </rPr>
      <t>Physical Access Control</t>
    </r>
  </si>
  <si>
    <t>Are there controls in place to verify individual access before granting access to the facility where the information system resides? (E.g., card readers.)</t>
  </si>
  <si>
    <t>PE-3.2</t>
  </si>
  <si>
    <t>Do you maintain physical access audit logs for the necessary entry/exit points?</t>
  </si>
  <si>
    <t>PE-3.3</t>
  </si>
  <si>
    <t xml:space="preserve">Are there any components of the information system available in a public area? (For example, a client on a public or publicly visible workstation.) If yes, detail in the comment how this access is controlled. </t>
  </si>
  <si>
    <t>PE-3.4</t>
  </si>
  <si>
    <t>Do you escort visitors and monitor visitor activity?</t>
  </si>
  <si>
    <t>PE-3.5</t>
  </si>
  <si>
    <t>Are keys, combinations, and other physical access devices secured?</t>
  </si>
  <si>
    <t>PE-3.6</t>
  </si>
  <si>
    <t>Are physical access devices inventoried and periodically reviewed?</t>
  </si>
  <si>
    <t>PE-3.7</t>
  </si>
  <si>
    <t>Are combinations and keys changed periodically or when keys are lost, combinations are compromised, or individuals are transferred or terminated?</t>
  </si>
  <si>
    <t>PE-4.1</t>
  </si>
  <si>
    <t>PE-4</t>
  </si>
  <si>
    <t xml:space="preserve">164.310(a)(1)
164.310(c)
</t>
  </si>
  <si>
    <t>Access Control for Transmission Medium</t>
  </si>
  <si>
    <t>Are phone lines, internet lines, energy lines, and other wires protected from environmental damage or access from unauthorized individuals? (E.g., locking wiring closets, disconnecting or locking spare jacks, protecting cabling by conduit or cable trays.)</t>
  </si>
  <si>
    <t>PE-5.1</t>
  </si>
  <si>
    <t>PE-5</t>
  </si>
  <si>
    <t xml:space="preserve">164.310(a)(1)
164.310(b)
164.310(c)
</t>
  </si>
  <si>
    <t>Access Control for Output Devices</t>
  </si>
  <si>
    <t xml:space="preserve">Are monitors, printers, and audio devices physically secured so that unauthorized individuals may not obtain information from the output? </t>
  </si>
  <si>
    <t>PE-6.1</t>
  </si>
  <si>
    <t xml:space="preserve">164.310(a)(2)(iii)
</t>
  </si>
  <si>
    <r>
      <rPr>
        <sz val="9"/>
        <rFont val="Arial"/>
        <family val="2"/>
      </rPr>
      <t>Monitoring Physical Access</t>
    </r>
  </si>
  <si>
    <t>Is there monitoring  of physical access to the facility where the information system resides to detect and respond to physical security incidents?</t>
  </si>
  <si>
    <t>PE-6.2</t>
  </si>
  <si>
    <t>Are physical access logs reviewed?</t>
  </si>
  <si>
    <t>PE-6.3</t>
  </si>
  <si>
    <t>Are the results of the review and investigation available for the incident response team?</t>
  </si>
  <si>
    <t>PE-8.1</t>
  </si>
  <si>
    <r>
      <rPr>
        <sz val="9"/>
        <rFont val="Arial"/>
        <family val="2"/>
      </rPr>
      <t>Visitor Access Records</t>
    </r>
  </si>
  <si>
    <t>Do you maintain visitor access records to the facility where the information system resides?</t>
  </si>
  <si>
    <t>PE-8.2</t>
  </si>
  <si>
    <t>Are the visitor access records reviewed on a regular basis?</t>
  </si>
  <si>
    <t>PE-10.1</t>
  </si>
  <si>
    <t>PE-10</t>
  </si>
  <si>
    <t>Emergency Shutoff</t>
  </si>
  <si>
    <t>Are there emergency power shutoffs in easily accessible areas that are protected from unauthorized activation?</t>
  </si>
  <si>
    <t>PE-11.1</t>
  </si>
  <si>
    <t>PE-11</t>
  </si>
  <si>
    <t>Emergency Power</t>
  </si>
  <si>
    <t>Is there short-term, uninterruptible power supply (UPS) to facilitate the transition of the information system to the long-term alternate power source in the event of a primary power source loss?</t>
  </si>
  <si>
    <t>PE-12.1</t>
  </si>
  <si>
    <t>PE-12</t>
  </si>
  <si>
    <t>Emergency Lighting</t>
  </si>
  <si>
    <t xml:space="preserve">Do you maintain automatic emergency lighting that activates in the event of a power outage and that covers emergency exits and evacuation routes within the facility?  </t>
  </si>
  <si>
    <t>PE-13.1</t>
  </si>
  <si>
    <t>PE-13</t>
  </si>
  <si>
    <t>Fire Protection</t>
  </si>
  <si>
    <t>Do you use and maintain fire suppression and detection devices/systems for the information system that are supported by an independent energy source?</t>
  </si>
  <si>
    <t>PE-14.1</t>
  </si>
  <si>
    <t>PE-14</t>
  </si>
  <si>
    <t>Temperature and Humidity Controls</t>
  </si>
  <si>
    <t xml:space="preserve">Do you regularly monitor and maintain temperature and humidity in an acceptable level within the facility? </t>
  </si>
  <si>
    <t>PE-15.1</t>
  </si>
  <si>
    <t>PE-15</t>
  </si>
  <si>
    <t>Water Damage Protection</t>
  </si>
  <si>
    <t>Is the information system protected from damage resulting from water leakage by providing master shutoff or isolation valves that are accessible, working properly, and known to key personnel?</t>
  </si>
  <si>
    <t>PE-16.1</t>
  </si>
  <si>
    <t>PE-16</t>
  </si>
  <si>
    <t>Delivery and Removal</t>
  </si>
  <si>
    <t>Do you authorize, monitor, and control information system components entering and exiting the facility and maintain records of those items?</t>
  </si>
  <si>
    <t>PE-17.1</t>
  </si>
  <si>
    <t>PE-17</t>
  </si>
  <si>
    <t xml:space="preserve">164.310(a)(2)(i)
</t>
  </si>
  <si>
    <t>Alternate Work Site</t>
  </si>
  <si>
    <t>In the event of an emergency, has an alternate work site with effective physical security controls been designated?</t>
  </si>
  <si>
    <t>PE-18.1</t>
  </si>
  <si>
    <t>PE-18</t>
  </si>
  <si>
    <t xml:space="preserve">164.310(c)
</t>
  </si>
  <si>
    <t>Location of Information System Components</t>
  </si>
  <si>
    <t>Do you position information system components to minimize potential damage from physical and environmental hazards or to minimize unauthorized access?</t>
  </si>
  <si>
    <t>Planning</t>
  </si>
  <si>
    <t>PL-1.1</t>
  </si>
  <si>
    <t>PL-1</t>
  </si>
  <si>
    <t xml:space="preserve">164.316(a)
</t>
  </si>
  <si>
    <t>Security Planning Policy and Procedures</t>
  </si>
  <si>
    <t>Is there a security plan for this information system? If yes, please attach.</t>
  </si>
  <si>
    <t>PL-2.1</t>
  </si>
  <si>
    <t xml:space="preserve">164.308(a)(1)(ii)(B) *From PL-06
164.310(a)(2)(ii)
164.316(a)
164.316(b)(1)
164.316(b)(2)(iii) *From PL-03
</t>
  </si>
  <si>
    <r>
      <rPr>
        <sz val="9"/>
        <rFont val="Arial"/>
        <family val="2"/>
      </rPr>
      <t>System Security Plan</t>
    </r>
  </si>
  <si>
    <t xml:space="preserve">Does the security plan: 
- Explicitly define the authorization boundary for the system;
- Describe the operational context of the information system in terms of missions and business processes;
- Provide the security categorization of the information system including supporting rationale;
- Describe the operational environment for the information system and relationships with or connections to other information systems;
- Provide an overview of the security requirements for the system;
- Describes the security controls that are in place at a high level; 
- Get reviewed and approved by the authorizing official or designated representative prior to plan implementation
</t>
  </si>
  <si>
    <t>PL-2.2</t>
  </si>
  <si>
    <t>Are copies of the security plan distributed and subsequent changes communicated to key personnel?</t>
  </si>
  <si>
    <t>PL-2.3</t>
  </si>
  <si>
    <t>Is the security plan periodically reviewed?</t>
  </si>
  <si>
    <t>PL-2.4</t>
  </si>
  <si>
    <t>Is the plan updated to address changes in the environment?</t>
  </si>
  <si>
    <t>PL-2.5</t>
  </si>
  <si>
    <t>Is the security plan protected from unauthorized disclosure and modification?</t>
  </si>
  <si>
    <t>PL-4.1</t>
  </si>
  <si>
    <t>PL-4</t>
  </si>
  <si>
    <t>Rules of Behavior</t>
  </si>
  <si>
    <t>Are there established and readily available rules of behavior that describe the responsibilities and expected behavior of users for this information system?</t>
  </si>
  <si>
    <t>PL-4.2</t>
  </si>
  <si>
    <t>Do users indicate that they have read, understood, and agree to abide by the rules of behavior before authorizing access to information and the information system? If yes, how is this documented?</t>
  </si>
  <si>
    <t>PL-4.3</t>
  </si>
  <si>
    <t>Are the rules of behavior updated?</t>
  </si>
  <si>
    <t>PL-4.4</t>
  </si>
  <si>
    <t>Are users required to read and resign when the rules of behavior are updated?</t>
  </si>
  <si>
    <t>PL-8.1</t>
  </si>
  <si>
    <t>PL-8</t>
  </si>
  <si>
    <t>Information Security Architecture</t>
  </si>
  <si>
    <t>Does the organization have a comprehensive information security architecture for their information system?</t>
  </si>
  <si>
    <t>PL-8.2</t>
  </si>
  <si>
    <t>Does the organization describe how the information security architecture is integrated into and supports the enterprise architecture?</t>
  </si>
  <si>
    <t>PL-8.3</t>
  </si>
  <si>
    <t>Does the organization describe any information security assumptions and dependencies on external services?</t>
  </si>
  <si>
    <t>Personnel Security</t>
  </si>
  <si>
    <t>PS-1.1</t>
  </si>
  <si>
    <t xml:space="preserve">PS-1 </t>
  </si>
  <si>
    <t xml:space="preserve">164.308(a)(3)(ii)(A)
164.308(a)(3)(ii)(B) 
164.308(a)(3)(ii)(C)
</t>
  </si>
  <si>
    <t xml:space="preserve">Personnel Security Policies and Procedures </t>
  </si>
  <si>
    <t>Are there formally documented policies and procedures for Personnel Security? If yes, please attach.</t>
  </si>
  <si>
    <t>PS-2.1</t>
  </si>
  <si>
    <t>PS-2</t>
  </si>
  <si>
    <t>Position Risk Designation</t>
  </si>
  <si>
    <t>Does the organization assign risk designations to all positions?</t>
  </si>
  <si>
    <t>PS-2.2</t>
  </si>
  <si>
    <t>Does the organization establish screening criteria for individuals filling those positions?</t>
  </si>
  <si>
    <t>PS-2.3</t>
  </si>
  <si>
    <t>Does the organization review and revise position risk designations at least every three years?</t>
  </si>
  <si>
    <t>PS-3.1</t>
  </si>
  <si>
    <t>Personnel Screening</t>
  </si>
  <si>
    <t>Does the organization screen individuals prior to authorizing access to the information system?</t>
  </si>
  <si>
    <t>PS-3.2</t>
  </si>
  <si>
    <t>Does the organization re-screen individuals with access to the information system?</t>
  </si>
  <si>
    <t>PS-4.1</t>
  </si>
  <si>
    <t>PS-4</t>
  </si>
  <si>
    <t xml:space="preserve">164.308(a)(3)(ii)(C)
</t>
  </si>
  <si>
    <t>Personnel Termination</t>
  </si>
  <si>
    <t>Does the organization have appropriate termination procedures in place to those with access to the information system?</t>
  </si>
  <si>
    <t>PS-5.1</t>
  </si>
  <si>
    <t>PS-5</t>
  </si>
  <si>
    <t>Personnel Transfer</t>
  </si>
  <si>
    <t>Does the organization have appropriate transfer procedures in place to those with access to the information system?</t>
  </si>
  <si>
    <t>PS-6.1</t>
  </si>
  <si>
    <t>PS-6</t>
  </si>
  <si>
    <t xml:space="preserve">164.308(a)(3)(ii)(A)
164.308(a)(3)(ii)(B)
164.308(a)(4)(ii)(B)
164.310(b)
164.310(d)(2)(iii)
164.314(a)(1)
164.314(a)(2)(i)
164.314(a)(2)(ii)
</t>
  </si>
  <si>
    <t>Access Agreements</t>
  </si>
  <si>
    <t>Does the organization have access agreements (reviewed annually) for individuals with access to the information system?</t>
  </si>
  <si>
    <t>PS-7.1</t>
  </si>
  <si>
    <t>PS-7</t>
  </si>
  <si>
    <t xml:space="preserve">164.308(a)(3)(ii)(A)
164.308(a)(4)(ii)(B)
164.308(b)(1)
164.314(a)(1)
164.314(a)(2)(i)
164.314(a)(2)(ii)
</t>
  </si>
  <si>
    <t>Third Party Personnel Security</t>
  </si>
  <si>
    <t>Does the organization have appropriate third-party access control procedures for external parties granted access to the information system?</t>
  </si>
  <si>
    <t>PS-8.1</t>
  </si>
  <si>
    <t>PS-8</t>
  </si>
  <si>
    <t>164.308(a)(1)(ii)(C)</t>
  </si>
  <si>
    <t>Personnel Sanctions</t>
  </si>
  <si>
    <t>Does the organization have appropriate personnel sanctions policies and procedures?</t>
  </si>
  <si>
    <t xml:space="preserve">Risk Assessment </t>
  </si>
  <si>
    <t>RA-1.1</t>
  </si>
  <si>
    <t>RA-1</t>
  </si>
  <si>
    <t xml:space="preserve">164.308(a)(1)(i)
164.316(a)
</t>
  </si>
  <si>
    <t>Risk Assessment Policy and Procedures</t>
  </si>
  <si>
    <t>Are there formally documented policies and procedures for Risk Assessments? If yes, please attach.</t>
  </si>
  <si>
    <t>RA-2.1</t>
  </si>
  <si>
    <t>RA-2</t>
  </si>
  <si>
    <t xml:space="preserve">164.308(a)(1)(ii)(A)
164.308(a)(1)(ii)(B)
164.308(a)(7)(ii)(E)
</t>
  </si>
  <si>
    <t xml:space="preserve">Security Categorization </t>
  </si>
  <si>
    <t>Does the organization categorize information and the information system in accordance with applicable Federal Laws, Executive Orders, directives, policies, regulations, standards and guidance?</t>
  </si>
  <si>
    <t>RA-3.1</t>
  </si>
  <si>
    <t>RA-3</t>
  </si>
  <si>
    <t xml:space="preserve">164.308(a)(1)(ii)(A)
164.308(a)(1)(ii)(B)
164.316(a)
</t>
  </si>
  <si>
    <t>Risk Assessment</t>
  </si>
  <si>
    <t>Does the organization conduct a risk assessment including the likelihood and impact of harm, from the unauthorized access, use, disclosure, disruption, modification or destruction of the information system and the information it processes, stores or transmits?</t>
  </si>
  <si>
    <t>RA-5.1</t>
  </si>
  <si>
    <t>Vulnerability Scanning</t>
  </si>
  <si>
    <t>System and Services Acquisition</t>
  </si>
  <si>
    <t>SA-1.1</t>
  </si>
  <si>
    <t>SA-1</t>
  </si>
  <si>
    <t>System and Services Acquisition Policy and Procedure</t>
  </si>
  <si>
    <t>Are there formally documented policies and procedures for System and Services Acquisitions? If yes, please attach.</t>
  </si>
  <si>
    <t>SA-2.1</t>
  </si>
  <si>
    <t>SA-2</t>
  </si>
  <si>
    <t>Allocation of Resources</t>
  </si>
  <si>
    <t>Does the organization adequately allocate resources to allow for the information system to run safely and efficiently?</t>
  </si>
  <si>
    <t>SA-3.1</t>
  </si>
  <si>
    <t>SA-3</t>
  </si>
  <si>
    <t>System Development Life Cycle</t>
  </si>
  <si>
    <t>Does the organization define a comprehensive life cycle for the information system?</t>
  </si>
  <si>
    <t>SA-4.1</t>
  </si>
  <si>
    <t>SA-4</t>
  </si>
  <si>
    <t xml:space="preserve">164.314(a)(2)(i)
</t>
  </si>
  <si>
    <t>Acquisition Process</t>
  </si>
  <si>
    <t>Does the organization include the requirements, descriptions, and criteria, explicitly or by reference, in the acquisition contract for the information system, system component, or information system service in accordance with applicable federal laws, Executive Orders, directives, policies, regulations, standards, guidelines, and organizational mission/business needs</t>
  </si>
  <si>
    <t>SA-5.1</t>
  </si>
  <si>
    <t>SA-5</t>
  </si>
  <si>
    <t>Information System Documentation</t>
  </si>
  <si>
    <t xml:space="preserve">Do you have administrator documentation for this information system that describes:
1. Secure configuration, installation, and operation of the system, component, or service; 
2. Effective use and maintenance of security functions/mechanisms; and
3. Known vulnerabilities regarding configuration and use of administrative (i.e., privileged) functions;
</t>
  </si>
  <si>
    <t>SA-5.2</t>
  </si>
  <si>
    <t xml:space="preserve">Do you have user documentation for this information system that describes:
1. User-accessible security functions/mechanisms and how to effectively use those security functions/mechanisms;
2. Methods for user interaction, which enables individuals to use the system, component, or service in a more secure manner; and
3. User responsibilities in maintaining the security of the system, component, or service.
</t>
  </si>
  <si>
    <t>SA-5.3</t>
  </si>
  <si>
    <t>If documentation for this information system is unavailable or nonexistent, is the attempt to obtain such documentation recorded?</t>
  </si>
  <si>
    <t>SA-5.4</t>
  </si>
  <si>
    <t>Is the documentation protected as required and only distributed to authorized personnel?</t>
  </si>
  <si>
    <t>SA-8.1</t>
  </si>
  <si>
    <t>SA-8</t>
  </si>
  <si>
    <t>Security Engineering Principles</t>
  </si>
  <si>
    <t>Does the organization apply information system security engineering principles in the specification, design, development, implementation, and modification of the information system.</t>
  </si>
  <si>
    <t>SA-9.1</t>
  </si>
  <si>
    <t>SA-9</t>
  </si>
  <si>
    <t xml:space="preserve">164.308(b)(1)
164.308(b)(4)
164.314(a)(1)
164.314(a)(2)(i)
164.314(a)(2)(ii)
</t>
  </si>
  <si>
    <t>External Information System Services</t>
  </si>
  <si>
    <t>Does the organization require that providers of external information system services comply with organizational information security requirements in accordance with applicable Federal Laws, Executive Orders, directives, policies, regulations, standards and guidance?</t>
  </si>
  <si>
    <t>SA-10.1</t>
  </si>
  <si>
    <t>SA-10</t>
  </si>
  <si>
    <t>Developer Configuration Management</t>
  </si>
  <si>
    <t>Does the organization require the developer of the information system, system component or information system service to perform configuration, document the changes and implement only organization-approved configuration changes?</t>
  </si>
  <si>
    <t>SA-11.1</t>
  </si>
  <si>
    <t>SA-11</t>
  </si>
  <si>
    <t>Developer Security Testing and Evaluation</t>
  </si>
  <si>
    <t>Does the organization require the developer of the information system, system component, or information system service to create and implement a security assessment plan, perform tests/evaluations and produce evidence of the execution of the security assessment plan?</t>
  </si>
  <si>
    <t>System and Communications Protection</t>
  </si>
  <si>
    <t>SC-1.1</t>
  </si>
  <si>
    <t>SC-1</t>
  </si>
  <si>
    <t>System and Communications Protection
Policy and Procedures</t>
  </si>
  <si>
    <t>Do you have formally documented policies and procedures for System and Communications Protection? If yes, please attach.</t>
  </si>
  <si>
    <t>SC-2.1</t>
  </si>
  <si>
    <t>SC-2</t>
  </si>
  <si>
    <t>Application Partitioning</t>
  </si>
  <si>
    <t>Does The information system separate user functionality (including user interface services) from information system management functionality?</t>
  </si>
  <si>
    <t>SC-4.1</t>
  </si>
  <si>
    <t>SC-4</t>
  </si>
  <si>
    <t>Information in Shared Resources</t>
  </si>
  <si>
    <t>Does The information system prevent unauthorized and unintended information transfer via shared system resources?</t>
  </si>
  <si>
    <t>SC-5.1</t>
  </si>
  <si>
    <t>SC-5</t>
  </si>
  <si>
    <t>Denial of Service Protection</t>
  </si>
  <si>
    <t>Does the information system protect against or limits the effect of DOS/DDOS attacks?</t>
  </si>
  <si>
    <t>SC-6.1</t>
  </si>
  <si>
    <t>SC-6</t>
  </si>
  <si>
    <t>Resource Availability</t>
  </si>
  <si>
    <t>Does the information system protect the availability of resources by appropriately allocating those resources?</t>
  </si>
  <si>
    <t>SC-7.1</t>
  </si>
  <si>
    <t>SC-7</t>
  </si>
  <si>
    <t>Boundary Protection</t>
  </si>
  <si>
    <t>Does the application/system monitor and control communications at the external boundary of the system and at key internal boundaries?</t>
  </si>
  <si>
    <t>SC-7.2</t>
  </si>
  <si>
    <t>Does the application/system connect to external networks or information systems only through managed interfaces with boundary protection devices in place?</t>
  </si>
  <si>
    <t>SC-7.3</t>
  </si>
  <si>
    <t>Do you physically allocate publicly accessible information system components to separate sub networks with separate physical network interfaces?</t>
  </si>
  <si>
    <t>SC-7.4</t>
  </si>
  <si>
    <t>Do you prevent public access into the organization’s internal networks except as appropriately mediated by managed interfaces employing boundary protection devices?</t>
  </si>
  <si>
    <t>SC-7.5</t>
  </si>
  <si>
    <t>Does the system connect to other information systems only through managed interfaces, deny network traffic by default, and allow network traffic by exception (i.e., deny all, permit by exception)?</t>
  </si>
  <si>
    <t>SC-8.1</t>
  </si>
  <si>
    <t>SC-8</t>
  </si>
  <si>
    <t xml:space="preserve">164.312(c)(1)
164.312(c)(2)
164.312(e)(1) *From SC-09
164.312(e)(2)(i)
164.312(e)(2)(ii) *From SC-09
</t>
  </si>
  <si>
    <t>Transmission Confidentiality and Integrity</t>
  </si>
  <si>
    <t>SC-8.2</t>
  </si>
  <si>
    <t xml:space="preserve">Does the application/system employ cryptographic mechanisms to recognize changes to information during transmission (such as hashing algorithms)? </t>
  </si>
  <si>
    <t>SC-10.1</t>
  </si>
  <si>
    <t>SC-10</t>
  </si>
  <si>
    <t>Network Disconnect</t>
  </si>
  <si>
    <t>Does the information system terminate network connection associated with a communication session at the end of the session or after no longer than 30 minutes of inactivity?</t>
  </si>
  <si>
    <t>SC-12.1</t>
  </si>
  <si>
    <t>SC-12</t>
  </si>
  <si>
    <t xml:space="preserve">164.312(e)(2)(ii)
</t>
  </si>
  <si>
    <t>Cryptographic Key Establishment and
Management</t>
  </si>
  <si>
    <t xml:space="preserve">Are cryptographic keys established and managed? If no, detail why in the comment. </t>
  </si>
  <si>
    <t>SC-13.1</t>
  </si>
  <si>
    <t xml:space="preserve">164.312(a)(2)(iv)
164.312(e)(2)(ii)
</t>
  </si>
  <si>
    <t>Cryptographic Protection</t>
  </si>
  <si>
    <t>SC-15.1</t>
  </si>
  <si>
    <t>SC-15</t>
  </si>
  <si>
    <t>Collaborative Computing Devices</t>
  </si>
  <si>
    <t>Does the information system support the use of collaborative computing devices (e.g., networked white boards, cameras, microphones)?</t>
  </si>
  <si>
    <t>SC-15.2</t>
  </si>
  <si>
    <t>Is remote activation prohibited?</t>
  </si>
  <si>
    <t>SC-15.3</t>
  </si>
  <si>
    <t>Does the device indicate to the user that it is actively in use? (E.g., activated microphone or camera has an  illuminated indicator light.)</t>
  </si>
  <si>
    <t>SC-17.1</t>
  </si>
  <si>
    <t>SC-17</t>
  </si>
  <si>
    <t>Public Key Infrastructure Certificates</t>
  </si>
  <si>
    <t>Does the organization issue public key certificates or obtain public key certificates from an approved service provider?</t>
  </si>
  <si>
    <t>SC-18.1</t>
  </si>
  <si>
    <t>SC-18</t>
  </si>
  <si>
    <t>Mobile Code</t>
  </si>
  <si>
    <t>Does the organization define acceptable and unacceptable mobile code and mobile code technologies, establish usage restrictions for mobile technologies and monitor and control the use of mobile codes and mobile code technologies within the information system?</t>
  </si>
  <si>
    <t>SC-19.1</t>
  </si>
  <si>
    <t>SC-19</t>
  </si>
  <si>
    <t>Voice Over Internet Protocol</t>
  </si>
  <si>
    <t>Does the  organization establish usage restrictions and implementation guidance for Voice over Internet Protocol (VoIP) technologies based on the potential to cause damage to the information system if used maliciously?</t>
  </si>
  <si>
    <t>SC-20.1</t>
  </si>
  <si>
    <t>SC-20</t>
  </si>
  <si>
    <t>Secure Name/Address Resolution Service (Authoritative Source)</t>
  </si>
  <si>
    <t>Does the information system provide additional data origin authentication and integrity verification artifacts along with the authoritative name resolution data the system returns in response to external name/address resolution queries?</t>
  </si>
  <si>
    <t>SC-21.1</t>
  </si>
  <si>
    <t>SC-21</t>
  </si>
  <si>
    <t>Secure Name/Address Resolution Service (Recursive or Caching Resolver)</t>
  </si>
  <si>
    <t>Does the information system request and perform data origin authentication and data integrity verification on the name/address resolution responses the system receives from authoritative sources?</t>
  </si>
  <si>
    <t>SC-22.1</t>
  </si>
  <si>
    <t>SC-22</t>
  </si>
  <si>
    <t>Architecture and Provisioning for Name/Address Resolution Service</t>
  </si>
  <si>
    <t>Does the information system collectively provide name/address resolution service for an organization are fault-tolerant and implement internal/external role separation?</t>
  </si>
  <si>
    <t>SC-23.1</t>
  </si>
  <si>
    <t>SC-23</t>
  </si>
  <si>
    <t>Session Authenticity</t>
  </si>
  <si>
    <t>Does the information system protect the authenticity of communication sessions?</t>
  </si>
  <si>
    <t>SC-28.1</t>
  </si>
  <si>
    <t>SC-28</t>
  </si>
  <si>
    <t>Protection of Information at Rest</t>
  </si>
  <si>
    <t>SC-39.1</t>
  </si>
  <si>
    <t>SC-39</t>
  </si>
  <si>
    <t>Process Isolation</t>
  </si>
  <si>
    <t>System and Information Integrity</t>
  </si>
  <si>
    <t>SI-1.1</t>
  </si>
  <si>
    <t>SI-1</t>
  </si>
  <si>
    <t xml:space="preserve">164.312(c)(1)
</t>
  </si>
  <si>
    <t>System and Information Integrity Policy and
Procedures</t>
  </si>
  <si>
    <t>Do you have formally documented policies and procedures for System and Information Integrity? If yes, please attach.</t>
  </si>
  <si>
    <t>SI-2</t>
  </si>
  <si>
    <t>Flaw Remediation</t>
  </si>
  <si>
    <t>Are information system flaws identified, reported, and corrected? (I.e., are vulnerability scans performed and addressed?)</t>
  </si>
  <si>
    <t>SI-2.2</t>
  </si>
  <si>
    <t>Are software and firmware updates tested for effectiveness and potential side effects before installation?</t>
  </si>
  <si>
    <t>SI-2.3</t>
  </si>
  <si>
    <t>Is flaw remediation incorporated into the organizational configuration management process?</t>
  </si>
  <si>
    <t>SI-3.1</t>
  </si>
  <si>
    <t xml:space="preserve">164.308(a)(5)(ii)(B)
</t>
  </si>
  <si>
    <r>
      <rPr>
        <sz val="9"/>
        <rFont val="Arial"/>
        <family val="2"/>
      </rPr>
      <t>Malicious Code Protection</t>
    </r>
  </si>
  <si>
    <t>SI-3.2</t>
  </si>
  <si>
    <t>Are the DAT files updated regularly?</t>
  </si>
  <si>
    <t>SI-3.3</t>
  </si>
  <si>
    <t>Is the information system and its components periodically scanned for malicious code?</t>
  </si>
  <si>
    <t>SI-3.4</t>
  </si>
  <si>
    <t>Are the administrators notified and do they respond to malicious code detections?</t>
  </si>
  <si>
    <t>SI-4.1</t>
  </si>
  <si>
    <t>SI-4</t>
  </si>
  <si>
    <t xml:space="preserve">164.308(a)(1)(ii)(D)
164.308(a)(5)(ii)(B)
</t>
  </si>
  <si>
    <t>Information System Monitoring</t>
  </si>
  <si>
    <t>Is the information system monitored to detect attacks, potential attacks, and unauthorized use? (This can be done through audit activity in real time, monitoring devices, or applications such as Tripwire or SiteScope.)</t>
  </si>
  <si>
    <t>SI-5.1</t>
  </si>
  <si>
    <t xml:space="preserve">164.308(a)(5)(ii)(A)
</t>
  </si>
  <si>
    <r>
      <rPr>
        <sz val="9"/>
        <rFont val="Arial"/>
        <family val="2"/>
      </rPr>
      <t>Security Alerts, Advisories, and Directives</t>
    </r>
  </si>
  <si>
    <t>Does the team  receive or subscribe to external security alerts, listservs, etc. related to the information system? (For instance, does the vendor notify you of security issues with an application?)</t>
  </si>
  <si>
    <t>SI-5.2</t>
  </si>
  <si>
    <t>Does the team generate and disseminate internal security alerts, advisories, and directives as deemed necessary?</t>
  </si>
  <si>
    <t>SI-7.1</t>
  </si>
  <si>
    <t>SI-7</t>
  </si>
  <si>
    <t xml:space="preserve">164.312(c)(1)
164.312(c)(2)
164.312(e)(2)(i)
</t>
  </si>
  <si>
    <t>Software, Firmware, and Information
Integrity</t>
  </si>
  <si>
    <t>Are integrity verification tools used to detect unauthorized changes to software, firmware, and information?  (E.g., Tripwire)</t>
  </si>
  <si>
    <t>SI-8.1</t>
  </si>
  <si>
    <t>SI-8</t>
  </si>
  <si>
    <t>Spam Protection</t>
  </si>
  <si>
    <t>SI-12.1</t>
  </si>
  <si>
    <t>SI-12</t>
  </si>
  <si>
    <t>Information Handling and Retention</t>
  </si>
  <si>
    <t>Is information within and output from the system retained for the amount of time as required by data policies and regulations? (This includes paper copies, CDs, DVDs, and flash drives.)</t>
  </si>
  <si>
    <t xml:space="preserve">Key </t>
  </si>
  <si>
    <t>Tier 1</t>
  </si>
  <si>
    <t>Tier 2</t>
  </si>
  <si>
    <t xml:space="preserve">Tier 3 </t>
  </si>
  <si>
    <t>Is all removable media stored only on-site within a recognized data center?</t>
  </si>
  <si>
    <t>Conditional to other Questions</t>
  </si>
  <si>
    <t>Questions dependent on comments and QA by CE</t>
  </si>
  <si>
    <t xml:space="preserve">Response acceptance dependent on the business relationship btwn client and vendor </t>
  </si>
  <si>
    <t>Tier</t>
  </si>
  <si>
    <t>Override</t>
  </si>
  <si>
    <t>Final Response</t>
  </si>
  <si>
    <t>Control Family</t>
  </si>
  <si>
    <t>Access Controls</t>
  </si>
  <si>
    <t>Calc Response</t>
  </si>
  <si>
    <t>Overrides</t>
  </si>
  <si>
    <t>No Override</t>
  </si>
  <si>
    <t>Adequate</t>
  </si>
  <si>
    <t>Inadequate</t>
  </si>
  <si>
    <t>Security Assessment</t>
  </si>
  <si>
    <t>Authentication &amp; Authorization</t>
  </si>
  <si>
    <t>Incident Response</t>
  </si>
  <si>
    <t>Physical Security</t>
  </si>
  <si>
    <t>Risk Assessments</t>
  </si>
  <si>
    <t>System Acquisition</t>
  </si>
  <si>
    <t>System Data Protection</t>
  </si>
  <si>
    <t>System Data Integrity</t>
  </si>
  <si>
    <t>Blank</t>
  </si>
  <si>
    <t>Configuration</t>
  </si>
  <si>
    <t>Count</t>
  </si>
  <si>
    <t>% of tier</t>
  </si>
  <si>
    <t>Tier 3</t>
  </si>
  <si>
    <t>Tier 4</t>
  </si>
  <si>
    <t>A</t>
  </si>
  <si>
    <t>B</t>
  </si>
  <si>
    <t>C</t>
  </si>
  <si>
    <t>D</t>
  </si>
  <si>
    <t>F</t>
  </si>
  <si>
    <t>Grade Test</t>
  </si>
  <si>
    <t>Grade</t>
  </si>
  <si>
    <t>Count of Inadequacies</t>
  </si>
  <si>
    <t>T1</t>
  </si>
  <si>
    <t>T2</t>
  </si>
  <si>
    <t>T3</t>
  </si>
  <si>
    <t>T4</t>
  </si>
  <si>
    <t>Security Question</t>
  </si>
  <si>
    <t>CM-3.1 - CM-3.6</t>
  </si>
  <si>
    <t xml:space="preserve">Access Restrictions for Change  </t>
  </si>
  <si>
    <t>CM-6.1 - CM-6.3</t>
  </si>
  <si>
    <t xml:space="preserve">Configuration Settings  </t>
  </si>
  <si>
    <t>CM-8.1 - CM-8.2</t>
  </si>
  <si>
    <t xml:space="preserve">Information System Component Inventory  </t>
  </si>
  <si>
    <t>CM-9.1 - CM-9.4</t>
  </si>
  <si>
    <t xml:space="preserve">Software Usage Restrictions  </t>
  </si>
  <si>
    <t>MA-4.1 - MA-4.5</t>
  </si>
  <si>
    <t>Non-local Maintenance</t>
  </si>
  <si>
    <t>CA-2.1 - CA-2.3</t>
  </si>
  <si>
    <t>CA-7.1 - CA-7.4</t>
  </si>
  <si>
    <t>SC-15.1 - SC-15.3</t>
  </si>
  <si>
    <t>SI-2.1 - SI-2.3</t>
  </si>
  <si>
    <t>SI-3.1 - SI-3.4</t>
  </si>
  <si>
    <t>Malicious Code Protection</t>
  </si>
  <si>
    <t>Information Systems Monitoring</t>
  </si>
  <si>
    <t>Software, Firmware, and Information Integrity</t>
  </si>
  <si>
    <t>Client Tier</t>
  </si>
  <si>
    <t>Calc Tier</t>
  </si>
  <si>
    <t>Comment</t>
  </si>
  <si>
    <t>FindOverrideChanges</t>
  </si>
  <si>
    <t>FinalResponse</t>
  </si>
  <si>
    <t>OverrideTier</t>
  </si>
  <si>
    <t>CheckOverrideChanges</t>
  </si>
  <si>
    <t>Questions</t>
  </si>
  <si>
    <t>Disclosure Permitted?</t>
  </si>
  <si>
    <t>Comments</t>
  </si>
  <si>
    <t>Name of Information Security leader?</t>
  </si>
  <si>
    <t>Title</t>
  </si>
  <si>
    <t>Role</t>
  </si>
  <si>
    <t xml:space="preserve">  Number of full-time information security personnel?</t>
  </si>
  <si>
    <t>Does VENDOR maintain cyber liability insurance in addition to general liability insurance? If Yes, please explain how much in the comments section.</t>
  </si>
  <si>
    <t>Is there a current BAA in place?</t>
  </si>
  <si>
    <t>Vendor Scope Questions</t>
  </si>
  <si>
    <t>Environment 2</t>
  </si>
  <si>
    <t>Environment 3</t>
  </si>
  <si>
    <t xml:space="preserve">Comments </t>
  </si>
  <si>
    <t>Is the identified environment either of the following:</t>
  </si>
  <si>
    <t>Service</t>
  </si>
  <si>
    <t>Product</t>
  </si>
  <si>
    <t xml:space="preserve">Please indicate if the identified environment will: </t>
  </si>
  <si>
    <t>If "yes", please provide details in the comments section.</t>
  </si>
  <si>
    <t>Workstation</t>
  </si>
  <si>
    <t>Mobile Device</t>
  </si>
  <si>
    <t xml:space="preserve"> </t>
  </si>
  <si>
    <t>Medical Device</t>
  </si>
  <si>
    <r>
      <t xml:space="preserve">Other </t>
    </r>
    <r>
      <rPr>
        <sz val="12"/>
        <rFont val="Cambria"/>
        <family val="1"/>
      </rPr>
      <t>Method? P</t>
    </r>
    <r>
      <rPr>
        <sz val="12"/>
        <color rgb="FF000000"/>
        <rFont val="Cambria"/>
        <family val="1"/>
      </rPr>
      <t>lease explain in the comments section</t>
    </r>
  </si>
  <si>
    <t>Please indicate all locations where the data will be stored for the identified environment:</t>
  </si>
  <si>
    <t>3rd Party Data Center</t>
  </si>
  <si>
    <t>Other? Please explain in the comments section</t>
  </si>
  <si>
    <t xml:space="preserve">Does the identified environment maintain any of the following security assurances: </t>
  </si>
  <si>
    <t>SSAE 16 / SOC 1 Type 1</t>
  </si>
  <si>
    <t>SSAE 16 / SOC 1 Type 2</t>
  </si>
  <si>
    <t>SOC 2 Type 1</t>
  </si>
  <si>
    <t>SOC 2 Type 2</t>
  </si>
  <si>
    <t>SOC 3</t>
  </si>
  <si>
    <t>ISO 27001:2013</t>
  </si>
  <si>
    <t>"VPQ" - Vendor Profile Questionnaire - Vendor to Complete</t>
  </si>
  <si>
    <t>"Required Evidence" - Evidence and Assurances specific to CLIENT - Vendor to Provide</t>
  </si>
  <si>
    <t>HITRUST CSF</t>
  </si>
  <si>
    <t xml:space="preserve">01.a
01.i
04.a
</t>
  </si>
  <si>
    <t>01.b
01.c
01.e
02.i</t>
  </si>
  <si>
    <t xml:space="preserve">
01.s
01.v</t>
  </si>
  <si>
    <t>01.m
01.o</t>
  </si>
  <si>
    <t>01.c
01.s
01.v</t>
  </si>
  <si>
    <t>01.p</t>
  </si>
  <si>
    <t>01.p
05.j</t>
  </si>
  <si>
    <t>01.g
01.h
01.t</t>
  </si>
  <si>
    <t>01.t</t>
  </si>
  <si>
    <t>01.v</t>
  </si>
  <si>
    <t>01.i
01.j
01.n
01.x
01.y</t>
  </si>
  <si>
    <t>01.i
01.j
01.n
01.x</t>
  </si>
  <si>
    <t>01.k
01.n
01.x</t>
  </si>
  <si>
    <t>01.i
01.j
01.n
05.i</t>
  </si>
  <si>
    <t>01.c</t>
  </si>
  <si>
    <t xml:space="preserve">02.e
04.a
</t>
  </si>
  <si>
    <t>02.e
05.j</t>
  </si>
  <si>
    <t xml:space="preserve">02.e
</t>
  </si>
  <si>
    <t>02.a
04.a
04.b
05.a
05.b
05.c</t>
  </si>
  <si>
    <t xml:space="preserve">01.s
</t>
  </si>
  <si>
    <t>03.b
05.h
05.j
05.k</t>
  </si>
  <si>
    <t>01.j
05.i
05.j
05.k</t>
  </si>
  <si>
    <t>03.c</t>
  </si>
  <si>
    <t xml:space="preserve">05.d
</t>
  </si>
  <si>
    <t>05.h</t>
  </si>
  <si>
    <t xml:space="preserve">02.a
04.a
04.b
05.a
05.b
05.c </t>
  </si>
  <si>
    <t>01.x</t>
  </si>
  <si>
    <t>01.n
01.l</t>
  </si>
  <si>
    <t>05.c</t>
  </si>
  <si>
    <t>05.b
05.c</t>
  </si>
  <si>
    <t>02.e</t>
  </si>
  <si>
    <t>01.b
02.a
04.a
04.b
05.a
05.b
05.c</t>
  </si>
  <si>
    <t xml:space="preserve">01.q
01.p
</t>
  </si>
  <si>
    <t>01.k
01.j</t>
  </si>
  <si>
    <t>01.b
01.q</t>
  </si>
  <si>
    <t>01.b
01.d
01.f
01.q
01.r
01.p</t>
  </si>
  <si>
    <t>01.p
01.q</t>
  </si>
  <si>
    <t>01.j
01.q
01.p</t>
  </si>
  <si>
    <t>05.b
05.f</t>
  </si>
  <si>
    <t>05.f</t>
  </si>
  <si>
    <t>01.l</t>
  </si>
  <si>
    <t>01.a
01.h
02.a
04.a
04.b
05.a
05.b
05.c</t>
  </si>
  <si>
    <t>02.i</t>
  </si>
  <si>
    <t>01.g</t>
  </si>
  <si>
    <t>01.y</t>
  </si>
  <si>
    <t>04.b
05.a
02.a
04.a
05.b
05.c</t>
  </si>
  <si>
    <t>05.b</t>
  </si>
  <si>
    <t>02.c
02.d
05.j
05.e</t>
  </si>
  <si>
    <t>02.a
05.a
04.a
04.b
05.b
05.c</t>
  </si>
  <si>
    <t xml:space="preserve">02.a </t>
  </si>
  <si>
    <t>02.b</t>
  </si>
  <si>
    <t>02.g
02.h
02.i</t>
  </si>
  <si>
    <t>02.g
02.i</t>
  </si>
  <si>
    <t>02.c
05.e
05.k</t>
  </si>
  <si>
    <t xml:space="preserve">02.d
05.k
</t>
  </si>
  <si>
    <t>02.f</t>
  </si>
  <si>
    <t>03.a
02.a
04.a
04.b
05.a
05.b
05.c</t>
  </si>
  <si>
    <t>03.b</t>
  </si>
  <si>
    <t>05.i
05.j
05.k</t>
  </si>
  <si>
    <t>01.i
03.a
02.a
04.a
04.b
05.a
05.b
05.c</t>
  </si>
  <si>
    <t>01.m
01.s</t>
  </si>
  <si>
    <t>01.w</t>
  </si>
  <si>
    <t xml:space="preserve">01.m
01.n
01.o
01.l
01.w
05.i
</t>
  </si>
  <si>
    <t>05.g
05.f</t>
  </si>
  <si>
    <t>SA-12</t>
  </si>
  <si>
    <t>Supply Chain Protection</t>
  </si>
  <si>
    <t>164.308(a)(1)(ii)(A) 164.308(a)(4)(ii)
164.308(a)(7)(ii)(C)
164.308(a)(7)(ii)(E)
164.308(a)(8)
164.310(a)(2)(i)
164.314
164.316</t>
  </si>
  <si>
    <t>AC-3.2</t>
  </si>
  <si>
    <t>AC-3.3</t>
  </si>
  <si>
    <t xml:space="preserve">Does the information system support role-based account management and access controls (RBAC)? </t>
  </si>
  <si>
    <t>If RBAC is supported, can a customer administrator create/customize unique roles and permissions.</t>
  </si>
  <si>
    <t>Is an account automatically locked out after a set amount of attempts? If yes, please provide the number of failed attempts that trigger an account to be locked out, in the comments section.</t>
  </si>
  <si>
    <t>CM-12.1</t>
  </si>
  <si>
    <t>Patch Timeliness</t>
  </si>
  <si>
    <t>Are patches applied to the information system in a timely manner? If so, how quickly are patches applied?</t>
  </si>
  <si>
    <t>CM-12.2</t>
  </si>
  <si>
    <t>Patch Timeliness Policy</t>
  </si>
  <si>
    <t>Are there standards or policies which define the timing of patching the information system?</t>
  </si>
  <si>
    <t>CM-13.1</t>
  </si>
  <si>
    <t>Patch Management Environments</t>
  </si>
  <si>
    <t>Do you use Development, Test, QA, and Production environments during the patch management process? If so, describe the manner in which these environment are utilized?</t>
  </si>
  <si>
    <t>Are the servers and other equipment located within a certifed data center? If yes, please provide the name of the data center and the certifications maintained, in the comments section.</t>
  </si>
  <si>
    <t>Does the organization scan for vulnerabilities in the information system and hosted applications and when new vulnerabilities potentially affecting the system/applications are identified and reported? If yes, please provide the date of the most recent vulnerability scan and the tools utilized, in the comments section.</t>
  </si>
  <si>
    <t>Does the information system use cryptographic protections? If yes, detail the encryption algorithm and strength in the comment (AES 128, 3DES, etc.)</t>
  </si>
  <si>
    <t>Does the organization support the capability to use cryptographic mechanisms to protect information at rest?  If yes, please provide the encryption algorithm and strength in the comments section.</t>
  </si>
  <si>
    <t>Do you have an anti-virus running with current updated virus definition (DAT) files? If yes, please provide the name of the anti-virus solutiion utilize in the comments section.</t>
  </si>
  <si>
    <t>Are spam protection mechanisms in place and updated as needed?</t>
  </si>
  <si>
    <t>Does the operating system utilize separate address spaces for executing processes?  (Is hardware memory management utilized? Linux - example allow_execheap, allow_execmem, allow_execmod, allow_exectack.)</t>
  </si>
  <si>
    <t>Configuration Change Control procedures</t>
  </si>
  <si>
    <t>Provide documentation of the organizations security assessment plan</t>
  </si>
  <si>
    <t>Provide documentation that all identified vulnerabilities are remediated in a timely manner.</t>
  </si>
  <si>
    <t>Please provide Vendor Management Policy/ Procedures</t>
  </si>
  <si>
    <t xml:space="preserve">Provide report monitoring records related to most recent changes to the Configuration settings information system 
</t>
  </si>
  <si>
    <t>(See CM 2.1 - Most recent Baseline Configuration)</t>
  </si>
  <si>
    <t>Evidence Requested:</t>
  </si>
  <si>
    <t>Provided to CORL?</t>
  </si>
  <si>
    <t>Vendor Comments</t>
  </si>
  <si>
    <t>Provide documentation that demonstrates information system Component Inventory is maintained and kept up to date.</t>
  </si>
  <si>
    <t>Provide Software Development/Deployment Life Cycle (SDLC) documentation which includes secure coding procedures, where applicable.</t>
  </si>
  <si>
    <t>Provide Acceptable Use policy. Provide samples of software licensing documentation.</t>
  </si>
  <si>
    <t>Provide policy and procedures surrounding secure remote support of the information system.</t>
  </si>
  <si>
    <t xml:space="preserve">Provide documentation that spam protection mechanisms are employed at information system entry/exit points and are updated when new releases of such mechanisms are available. </t>
  </si>
  <si>
    <t>Provide evidence that information integrity tools are used. (e.g., tripwire)</t>
  </si>
  <si>
    <t>Provide evidence that intrusion detection and intrusion prevention solutions are implemented and monitored.</t>
  </si>
  <si>
    <t>Provide Communications Protection policy and Mobile Code Implementation policy</t>
  </si>
  <si>
    <t>Provide hardware configuration specifications that demonstrate remote activation of collaborative computing devices are prohibited</t>
  </si>
  <si>
    <t>Provide documentation to support a continuous monitoring strategy/program.</t>
  </si>
  <si>
    <t>Provide evidence that malware protection solutions are implemented on servers, workstations, and all other end points that process, transmit, or store client data.</t>
  </si>
  <si>
    <t xml:space="preserve">Provide the most recent Baseline Configuration document for the information system (e.g., hardening procedures for Window OS, baseline security settings for sever AND application builds.) </t>
  </si>
  <si>
    <t xml:space="preserve">Provide documentation that demonstrates unapproved software is prohibited from use on the information system. Provide evidence of any mechanisms that prevent unapproved software from being used. </t>
  </si>
  <si>
    <t>Provide Vulnerability Management procedures and copy of the most recent vulnerability scans of all systems which process, transmit, or store client data</t>
  </si>
  <si>
    <t>Does the organization protect against supply chain threats to the information system, system component, or information system service by employing a Vendor Risk Management fucntion as part of a comprehensive, defense-in-breadth information security strategy?</t>
  </si>
  <si>
    <t>SA-12.1</t>
  </si>
  <si>
    <t>Does information system force the End User to comply with the following password requirements regarding complexity, length and change?
- Passwords at least 8 characters in length.
- Passwords contain the following:
- Mixed case alpha characters
- at least one numeric digit
- at least one non-alphanumeric character
- Current password may not be reused
- Do current passwords expire every 90 days? 
- Are passwords stored in an encrypted format?</t>
  </si>
  <si>
    <t xml:space="preserve">Does the application/system utilize crytopgraphis protoco;s to protect the integrity of transmitted information? If yes, how is this achieved (e.g., SSL 2, SSL 3, TLS 1.0)? </t>
  </si>
  <si>
    <t>Is an account automatically locked out after a set amount of login attempts? If yes, please provide the number of failed attempts that trigger an account to be locked out, in the comments section.</t>
  </si>
  <si>
    <t>Does the information system use cryptographic protections for data-in-transit? If yes, detail the encryption algorithm and strength in the comment (AES, 3DES, etc.)</t>
  </si>
  <si>
    <t>Does the organization support the capability to use cryptographic mechanisms to protect information at rest? If yes, please provide the encryption algorithm and strength in the comments section.</t>
  </si>
  <si>
    <t>Objective:</t>
  </si>
  <si>
    <t>Summary/Explanation (if diagrams are not available):</t>
  </si>
  <si>
    <t>Evidence/Assurance</t>
  </si>
  <si>
    <t>Please provide any and all network architecture diagram(s) within this worksheet:</t>
  </si>
  <si>
    <t xml:space="preserve">Please attach network architecture diagram(s) or provide screenshots below: </t>
  </si>
  <si>
    <t>Summary/Explanation:</t>
  </si>
  <si>
    <t>If necessary please provide supporting documentation</t>
  </si>
  <si>
    <t>Comment is required</t>
  </si>
  <si>
    <t>Name of incident response officer?</t>
  </si>
  <si>
    <t>Email</t>
  </si>
  <si>
    <t>Phone</t>
  </si>
  <si>
    <t>MA-2</t>
  </si>
  <si>
    <t>MA-5</t>
  </si>
  <si>
    <t>PE-2</t>
  </si>
  <si>
    <t>PE-3</t>
  </si>
  <si>
    <t>PE-6</t>
  </si>
  <si>
    <t>PE-8</t>
  </si>
  <si>
    <t>System Security Plan</t>
  </si>
  <si>
    <t>PL-2</t>
  </si>
  <si>
    <t>SI-5</t>
  </si>
  <si>
    <t>Patch Classification</t>
  </si>
  <si>
    <t>CM-14.1</t>
  </si>
  <si>
    <t>CM-14.2</t>
  </si>
  <si>
    <t>Reviewer Comment</t>
  </si>
  <si>
    <t>Certifications</t>
  </si>
  <si>
    <t xml:space="preserve">Scope - Vendor to Complete </t>
  </si>
  <si>
    <t>Do you categorize patches based on severity? If yes, please provide the categories, their definitions, and the associated time frames for deploying patches to production environments.</t>
  </si>
  <si>
    <t>Do you implement patches categorized as "critical" within 72 hours of patch release?</t>
  </si>
  <si>
    <t>Environment Scope Summary</t>
  </si>
  <si>
    <t>Does the information system prevent unauthorized and unintended information transfer via shared system resources?</t>
  </si>
  <si>
    <t>Does the information system separate user functionality (including user interface services) from information system management functionality?</t>
  </si>
  <si>
    <t>Environment Access</t>
  </si>
  <si>
    <t>Client Data Accessible  via:</t>
  </si>
  <si>
    <t>Service or Product?</t>
  </si>
  <si>
    <t>Data Types:</t>
  </si>
  <si>
    <t xml:space="preserve">Does the application/system utilize crytopgraphic protocols to protect the integrity of transmitted information? If yes, how is this achieved (e.g., SSL 2, SSL 3, TLS 1.0)? </t>
  </si>
  <si>
    <t xml:space="preserve">Response
</t>
  </si>
  <si>
    <t>Please identity the environment (e.g., back office, data center, application's/software's name, service/solution name) in the "response" column and provide a brief description in the comments section:</t>
  </si>
  <si>
    <t>AC-2.1 - AC-2.5</t>
  </si>
  <si>
    <t>Provide Policy and procedures for managing accounts, including - creating, modifying, monitoring, and deleteing/disabling accounts.</t>
  </si>
  <si>
    <t>AC-17.1 - AC-17.3</t>
  </si>
  <si>
    <t>Provide policy and procedure for remote access</t>
  </si>
  <si>
    <t>Provide Wireless Access Policy and Procedures</t>
  </si>
  <si>
    <t>Provide Audit log policy and procedures</t>
  </si>
  <si>
    <t>IA-5.2 - IA-5.8</t>
  </si>
  <si>
    <t>Provide Password policy and procedures, including length and complexity requirements as well as process initial password distribution and changing of factory defaults.</t>
  </si>
  <si>
    <t>CA-3.2, CA-3.3, CA-9.2</t>
  </si>
  <si>
    <t>CA-3,</t>
  </si>
  <si>
    <t>Provide policy and procedures for system interconnections, including security requirements for interconnections, permissable inforamtion types, connection types, how data is transmitted, and how data is stored securely in interconnected/external systems.</t>
  </si>
  <si>
    <t>Provide Penetration Testing Policy and Procedures</t>
  </si>
  <si>
    <t>SC-8.1, SC-8.2, SC-28.1</t>
  </si>
  <si>
    <t>Encryption</t>
  </si>
  <si>
    <t>SC-8, SC-28</t>
  </si>
  <si>
    <t>Provide Encryption policy and procedures for information in transit and information at rest.</t>
  </si>
  <si>
    <t xml:space="preserve">Tips for a smooth and timely assessment: </t>
  </si>
  <si>
    <r>
      <rPr>
        <b/>
        <sz val="12"/>
        <color theme="5" tint="-0.499984740745262"/>
        <rFont val="Arial"/>
        <family val="2"/>
      </rPr>
      <t>1.</t>
    </r>
    <r>
      <rPr>
        <sz val="12"/>
        <color theme="5" tint="-0.499984740745262"/>
        <rFont val="Arial"/>
        <family val="2"/>
      </rPr>
      <t xml:space="preserve"> Respond to the questionnaire in the committed timeframe (usually 10-15 days). </t>
    </r>
    <r>
      <rPr>
        <u/>
        <sz val="12"/>
        <color theme="5" tint="-0.499984740745262"/>
        <rFont val="Arial"/>
        <family val="2"/>
      </rPr>
      <t>Your response time is part of the feedback provided to the client</t>
    </r>
    <r>
      <rPr>
        <sz val="12"/>
        <color theme="5" tint="-0.499984740745262"/>
        <rFont val="Arial"/>
        <family val="2"/>
      </rPr>
      <t xml:space="preserve">.    
</t>
    </r>
    <r>
      <rPr>
        <b/>
        <sz val="12"/>
        <color theme="5" tint="-0.499984740745262"/>
        <rFont val="Arial"/>
        <family val="2"/>
      </rPr>
      <t>2.</t>
    </r>
    <r>
      <rPr>
        <sz val="12"/>
        <color theme="5" tint="-0.499984740745262"/>
        <rFont val="Arial"/>
        <family val="2"/>
      </rPr>
      <t xml:space="preserve"> </t>
    </r>
    <r>
      <rPr>
        <u/>
        <sz val="12"/>
        <color theme="5" tint="-0.499984740745262"/>
        <rFont val="Arial"/>
        <family val="2"/>
      </rPr>
      <t>Provide information that is specific to the product/service being considered by/provided to the client</t>
    </r>
    <r>
      <rPr>
        <sz val="12"/>
        <color theme="5" tint="-0.499984740745262"/>
        <rFont val="Arial"/>
        <family val="2"/>
      </rPr>
      <t xml:space="preserve">. Although some of the questions are about your company’s infrastructure, it is important for CORL to assess the specific product(s)/service(s) being provided to the client.  
</t>
    </r>
    <r>
      <rPr>
        <b/>
        <sz val="12"/>
        <color theme="5" tint="-0.499984740745262"/>
        <rFont val="Arial"/>
        <family val="2"/>
      </rPr>
      <t>3.</t>
    </r>
    <r>
      <rPr>
        <sz val="12"/>
        <color theme="5" tint="-0.499984740745262"/>
        <rFont val="Arial"/>
        <family val="2"/>
      </rPr>
      <t xml:space="preserve"> Provide the requested artifacts with the questionnaire and fully complete the questionnaire to reduce follow up or additional document requests.
</t>
    </r>
    <r>
      <rPr>
        <b/>
        <sz val="12"/>
        <color theme="5" tint="-0.499984740745262"/>
        <rFont val="Arial"/>
        <family val="2"/>
      </rPr>
      <t>4.</t>
    </r>
    <r>
      <rPr>
        <sz val="12"/>
        <color theme="5" tint="-0.499984740745262"/>
        <rFont val="Arial"/>
        <family val="2"/>
      </rPr>
      <t xml:space="preserve"> Contact CORL if you have questions or need clarification on the control questions. </t>
    </r>
    <r>
      <rPr>
        <u/>
        <sz val="12"/>
        <color theme="5" tint="-0.499984740745262"/>
        <rFont val="Arial"/>
        <family val="2"/>
      </rPr>
      <t>We are here to help you</t>
    </r>
    <r>
      <rPr>
        <sz val="12"/>
        <color theme="5" tint="-0.499984740745262"/>
        <rFont val="Arial"/>
        <family val="2"/>
      </rPr>
      <t xml:space="preserve">.
</t>
    </r>
    <r>
      <rPr>
        <b/>
        <sz val="12"/>
        <color theme="5" tint="-0.499984740745262"/>
        <rFont val="Arial"/>
        <family val="2"/>
      </rPr>
      <t>5.</t>
    </r>
    <r>
      <rPr>
        <sz val="12"/>
        <color theme="5" tint="-0.499984740745262"/>
        <rFont val="Arial"/>
        <family val="2"/>
      </rPr>
      <t xml:space="preserve"> </t>
    </r>
    <r>
      <rPr>
        <u/>
        <sz val="12"/>
        <color theme="5" tint="-0.499984740745262"/>
        <rFont val="Arial"/>
        <family val="2"/>
      </rPr>
      <t>Contact CORL if there will be a delay in returning the questionnaire</t>
    </r>
    <r>
      <rPr>
        <sz val="12"/>
        <color theme="5" tint="-0.499984740745262"/>
        <rFont val="Arial"/>
        <family val="2"/>
      </rPr>
      <t xml:space="preserve">. We understand that delays can happen. Keeping us informed helps us keep your client up to date and helps reduce negative response time scores.
</t>
    </r>
    <r>
      <rPr>
        <b/>
        <sz val="12"/>
        <color theme="5" tint="-0.499984740745262"/>
        <rFont val="Arial"/>
        <family val="2"/>
      </rPr>
      <t>6.</t>
    </r>
    <r>
      <rPr>
        <sz val="12"/>
        <color theme="5" tint="-0.499984740745262"/>
        <rFont val="Arial"/>
        <family val="2"/>
      </rPr>
      <t xml:space="preserve"> Respond to requests for clarification or additional artifacts in a timely manner.</t>
    </r>
  </si>
  <si>
    <r>
      <rPr>
        <b/>
        <sz val="36"/>
        <color rgb="FFF46A02"/>
        <rFont val="Cambria"/>
        <family val="1"/>
      </rPr>
      <t xml:space="preserve">
Vendor Security Assessment Toolkit</t>
    </r>
    <r>
      <rPr>
        <b/>
        <sz val="36"/>
        <color theme="5" tint="-0.249977111117893"/>
        <rFont val="Cambria"/>
        <family val="1"/>
      </rPr>
      <t xml:space="preserve">
</t>
    </r>
    <r>
      <rPr>
        <b/>
        <sz val="36"/>
        <color rgb="FFF46A02"/>
        <rFont val="Cambria"/>
        <family val="1"/>
      </rPr>
      <t xml:space="preserve">
by CORL Technologies
</t>
    </r>
  </si>
  <si>
    <t>All vendors and 3rd party consultants are required to utilize SecureLink for all remote access requests. Is your organization able to use SecureLink for all remote access requests? If not, please explain why not. Additionally, please provide the name and supplemental documentation of the remote access solution currently used by your organization for review by Avera's Information Security department in lieu of SecureLink</t>
  </si>
  <si>
    <t>AVH-AC-17.4</t>
  </si>
  <si>
    <t xml:space="preserve">All vendors and 3rd party consultants are required to utilize SecureLink for all remote access requests. Is your organization able to use SecureLink for all remote access requests? If not, please explain why not. Additionally, please provide the name and supplemental documentation of the remote access solution currently used by your organization for review by Avera's Information Security department in lieu of SecureLink. </t>
  </si>
  <si>
    <t>Avera Health Business Owner completes the Inherent Risk Questionnaire ("IRQ") to facilitate better understanding of the scope of business between the Vendor and the organization for the vendor security risk management project.</t>
  </si>
  <si>
    <t>Please complete this questionnaire as it relates to the business relationship between your organization and Avera Health. In the "Disclosure Permitted?" column, please indicate if CORL Technologies may disclose the responses provided herein to other CORL Technologies clients who also utilize your organization as a vendor. Allowing such disclosure may expedite future assessments.</t>
  </si>
  <si>
    <t>Please identify all environments that will handle, process, transmit, or store Avera Health data. Please provided a response to all questions for each identified environment.</t>
  </si>
  <si>
    <t>Is any Avera Health data accessed, transmitted, or stored outside of the United States?</t>
  </si>
  <si>
    <t>Please describe how your organization obtains data from Avera Health. Include file type(s) and the medium(s) utilized to transmit the data (e.g., SFTP, Encrypted email).</t>
  </si>
  <si>
    <t xml:space="preserve">Instructions: Please identify all environments that will handle, process, transmit, or store Avera Health data. Please provided a response to all questions for each identified environment. </t>
  </si>
  <si>
    <t>What is the volume of Avera Health records that the identified environment will transmit, process, or store?</t>
  </si>
  <si>
    <t>Have access to infrastructure that stores or transmits Avera Health data:</t>
  </si>
  <si>
    <t>Have access to a database or application that stores or transmits Avera Health data:</t>
  </si>
  <si>
    <t>Receive transmitted data from Avera Health</t>
  </si>
  <si>
    <t>Not access  Avera Health's information</t>
  </si>
  <si>
    <t>What types of Avera Health information will the identified environment have access to:</t>
  </si>
  <si>
    <t>Avera Health Internal/Proprietary Information</t>
  </si>
  <si>
    <t>Please indicate if the identified environment will utilize the following device(s) to access and/or transmit Avera Health data:</t>
  </si>
  <si>
    <t>Avera Health Data Center</t>
  </si>
  <si>
    <t>Is any of the Avera Health data not covered by the scope of the above identified certifications?</t>
  </si>
  <si>
    <t>Is all Avera Health data encrypted at rest within the identified environment? If so, please provide the level of encryption utilized in the comments section</t>
  </si>
  <si>
    <t>Please provide a summary of how you will be connecting to the Avera Health Network (if applicable)</t>
  </si>
  <si>
    <t>have access into the Avera Health's network for remote Support</t>
  </si>
  <si>
    <t>have access into the Avera Health's  network to provide onsite support</t>
  </si>
  <si>
    <r>
      <t xml:space="preserve">Initial Vendor Profile Questionnaire - on behalf of </t>
    </r>
    <r>
      <rPr>
        <b/>
        <sz val="12"/>
        <color rgb="FFFF0000"/>
        <rFont val="Arial"/>
        <family val="2"/>
      </rPr>
      <t>Avera Health</t>
    </r>
  </si>
  <si>
    <t>Version 3.10</t>
  </si>
  <si>
    <t>Avera Health is obligated by regulations and internal risk management policies to gain reasonable assurance that its vendors are protecting Avera Health data.  To meet this obligation, Avera Health is requiring vendors to complete this Vendor Security Questionnaire (VSQ) within 10 business days of receiving it. All "N/A" and "Partial" responses MUST be accompanied by an explanation in the comments column.  Any questions should be directed to CORL Client Engagement clientengagement@corltech.com.</t>
  </si>
  <si>
    <t>Upon completion of this questionnaire, CORL and Avera Health will obtain evidence and assurances relating to the key controls as defined by the Avera Health team. Please indicate within the "Required Evidence" sheet whether you have provided the documentation requested by CORL and Avera Health.
Instructions surrounding Evidence and Assurances:  The Vendor Profile Questions (VPQ) &amp; Scope sections include questions that relate to information about your organization and the products and services provided to Avera Health.  The Vendor Security Questionnaire (worksheets 1-17) section relates to questions about overall security controls at the vendor level and product level.  All responses require references to documents that provide evidence of the control.  
If your organization has received a current security certification, please provide documentation in lieu of evidence.  Relevant security certifications include, SOC 2 Type 2 (must include Security TSP), HITRUST and/or ISO 27001.  
Please provide certification and/or evidence documents along with this completed questionnaire to CORL Technologies within 10 business days.</t>
  </si>
  <si>
    <t>Instructions: Please complete this questionnaire as it relates to the business relationship between your organization and Avera Health. In the "Disclosure Permitted?" column, please indicate if CORL Technologies may disclose the responses provided herein to other CORL Technologies clients who also utilize PeriGen. Allowing such disclosure may expedite future assessments.</t>
  </si>
  <si>
    <t>PeriGen:</t>
  </si>
  <si>
    <t>Does PeriGen have a designated leader responsible for information security?</t>
  </si>
  <si>
    <t xml:space="preserve">Does PeriGen employ an information security team? </t>
  </si>
  <si>
    <t xml:space="preserve">Does PeriGen employ an incident response officer? </t>
  </si>
  <si>
    <t>Does PeriGen outsource information security functions to a third party? If yes, please provide the name and scope of services provided in the comments section.</t>
  </si>
  <si>
    <t>Does PeriGen have any employees or physical office locations outside of the United States?</t>
  </si>
  <si>
    <t>What year was PeriGen founded?</t>
  </si>
  <si>
    <t>Approximately how many people does PeriGen employ?</t>
  </si>
  <si>
    <t>Has PeriGen ever experienced a data breach?  If so, please explain in the comments section.</t>
  </si>
  <si>
    <t>Does PeriGen utilize any subcontractors with access Avera Health data? If yes, please provide the name of the subcontractor(s) in the comments section.</t>
  </si>
  <si>
    <t>PeriGen Data Center</t>
  </si>
  <si>
    <t>Does PeriGen adhere to information system security engineering principles in the specification, design, development, implementation, and modification of the identified environment?</t>
  </si>
  <si>
    <t>For the identified environment, may CORL Technologies disclose the responses provided herein to other CORL Technologies clients who also utilize PeriGen? Allowing such disclosure may expedite future assessments.</t>
  </si>
  <si>
    <t>PeriWatch Tracings</t>
  </si>
  <si>
    <t>www.perigen.com</t>
  </si>
  <si>
    <t>Bruno Bendavid</t>
  </si>
  <si>
    <t>SVP Product Management</t>
  </si>
  <si>
    <t>bruno.bendavid@perigen.com</t>
  </si>
  <si>
    <t>514-978-0611</t>
  </si>
  <si>
    <t>Direct/Manage/Prioritize product content and schedules</t>
  </si>
  <si>
    <t>DSI Tech (https://dsitech.com/) which provide IT management and support</t>
  </si>
  <si>
    <t>&lt;100</t>
  </si>
  <si>
    <t>All connectivity is done via SecureLink. Not data is transmitted outside Avera's netwrok.</t>
  </si>
  <si>
    <t xml:space="preserve">Client -server application hosted at the data center </t>
  </si>
  <si>
    <t>Only L&amp;D records so a function of birth rate</t>
  </si>
  <si>
    <t>Remote support is only provided by SecureLink (Avera approved)</t>
  </si>
  <si>
    <t>Only on Avera's request</t>
  </si>
  <si>
    <t>Only via HL7</t>
  </si>
  <si>
    <t>Fetal monitors</t>
  </si>
  <si>
    <t>Client application is installed on applicable workstations where clinicians can see real-time vitals and chart applicable data to the patient record. Data is then trasmitted from the server to the EMR over HL7</t>
  </si>
  <si>
    <t>The system is fully hosted by Avera therefore our understanding is that the question in this section apply to Avera</t>
  </si>
  <si>
    <t>PeriWatch Tracings - Avera Enterprise instance</t>
  </si>
  <si>
    <t>Data is only stored on hospital hosted servers. An estimate of volume of data stored on hospital servers including long term archive files is ~10GB (steady state) + 5GB per year as continuous archive files per pregnancy</t>
  </si>
  <si>
    <t>Data at rest on the server is optional with SQL Enterprise TDE. 
 Archives file are archived as encrypted and compressed files.</t>
  </si>
  <si>
    <t>5,000,000$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</si>
</sst>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F800]dddd\,\ mmmm\ dd\,\ yyyy"/>
  </numFmts>
  <fonts count="45" x14ac:knownFonts="1">
    <font>
      <sz val="11"/>
      <color theme="1"/>
      <name val="Calibri"/>
      <family val="2"/>
      <scheme val="minor"/>
    </font>
    <font>
      <b/>
      <sz val="12"/>
      <color theme="0"/>
      <name val="Arial"/>
      <family val="34"/>
    </font>
    <font>
      <sz val="9"/>
      <color theme="1"/>
      <name val="Arial"/>
      <family val="2"/>
    </font>
    <font>
      <sz val="11"/>
      <color indexed="8"/>
      <name val="Calibri"/>
      <family val="2"/>
    </font>
    <font>
      <sz val="11"/>
      <color indexed="10"/>
      <name val="Calibri"/>
      <family val="2"/>
    </font>
    <font>
      <b/>
      <sz val="10"/>
      <color theme="0"/>
      <name val="Arial"/>
      <family val="2"/>
    </font>
    <font>
      <sz val="9"/>
      <name val="Arial"/>
      <family val="2"/>
    </font>
    <font>
      <sz val="11"/>
      <name val="Calibri"/>
      <family val="2"/>
    </font>
    <font>
      <sz val="10"/>
      <color theme="0"/>
      <name val="Times New Roman"/>
      <family val="1"/>
    </font>
    <font>
      <i/>
      <sz val="9"/>
      <name val="Arial"/>
      <family val="2"/>
    </font>
    <font>
      <b/>
      <sz val="9"/>
      <name val="Arial"/>
      <family val="2"/>
    </font>
    <font>
      <b/>
      <sz val="12"/>
      <color theme="0"/>
      <name val="Arial"/>
      <family val="2"/>
    </font>
    <font>
      <sz val="10"/>
      <color theme="1"/>
      <name val="Arial"/>
      <family val="2"/>
    </font>
    <font>
      <sz val="12"/>
      <color theme="1"/>
      <name val="Calibri"/>
      <family val="2"/>
      <scheme val="minor"/>
    </font>
    <font>
      <sz val="9"/>
      <color rgb="FFFF0000"/>
      <name val="Arial"/>
      <family val="2"/>
    </font>
    <font>
      <b/>
      <sz val="12"/>
      <color theme="4" tint="-0.249977111117893"/>
      <name val="Arial"/>
      <family val="2"/>
    </font>
    <font>
      <sz val="12"/>
      <color theme="4" tint="-0.249977111117893"/>
      <name val="Arial"/>
      <family val="2"/>
    </font>
    <font>
      <sz val="12"/>
      <color theme="1"/>
      <name val="Arial"/>
      <family val="2"/>
    </font>
    <font>
      <sz val="12"/>
      <name val="Arial"/>
      <family val="2"/>
    </font>
    <font>
      <b/>
      <sz val="12"/>
      <color rgb="FFFF0000"/>
      <name val="Arial"/>
      <family val="2"/>
    </font>
    <font>
      <sz val="9"/>
      <color rgb="FF0070C0"/>
      <name val="Arial"/>
      <family val="2"/>
    </font>
    <font>
      <b/>
      <sz val="9"/>
      <color indexed="81"/>
      <name val="Tahoma"/>
      <family val="2"/>
    </font>
    <font>
      <sz val="11"/>
      <color theme="1"/>
      <name val="Arial"/>
      <family val="2"/>
    </font>
    <font>
      <sz val="9"/>
      <color indexed="81"/>
      <name val="Tahoma"/>
      <family val="2"/>
    </font>
    <font>
      <b/>
      <sz val="11"/>
      <color theme="1"/>
      <name val="Calibri"/>
      <family val="2"/>
      <scheme val="minor"/>
    </font>
    <font>
      <sz val="11"/>
      <name val="Calibri"/>
      <family val="2"/>
      <scheme val="minor"/>
    </font>
    <font>
      <sz val="72"/>
      <color theme="1"/>
      <name val="Calibri"/>
      <family val="2"/>
      <scheme val="minor"/>
    </font>
    <font>
      <sz val="11"/>
      <color theme="1"/>
      <name val="Cambria"/>
      <family val="1"/>
    </font>
    <font>
      <b/>
      <sz val="14"/>
      <color rgb="FFF8F8F8"/>
      <name val="Cambria"/>
      <family val="1"/>
    </font>
    <font>
      <b/>
      <sz val="12"/>
      <color rgb="FF000000"/>
      <name val="Cambria"/>
      <family val="1"/>
    </font>
    <font>
      <sz val="12"/>
      <color rgb="FF000000"/>
      <name val="Cambria"/>
      <family val="1"/>
    </font>
    <font>
      <sz val="12"/>
      <color theme="1"/>
      <name val="Cambria"/>
      <family val="1"/>
    </font>
    <font>
      <b/>
      <sz val="14"/>
      <color theme="0"/>
      <name val="Cambria"/>
      <family val="1"/>
    </font>
    <font>
      <b/>
      <sz val="12"/>
      <color theme="1"/>
      <name val="Cambria"/>
      <family val="1"/>
    </font>
    <font>
      <b/>
      <sz val="14"/>
      <color theme="0"/>
      <name val="Calibri"/>
      <family val="2"/>
      <scheme val="minor"/>
    </font>
    <font>
      <b/>
      <sz val="12"/>
      <color theme="0"/>
      <name val="Calibri"/>
      <family val="2"/>
      <scheme val="minor"/>
    </font>
    <font>
      <b/>
      <i/>
      <sz val="12"/>
      <color rgb="FF000000"/>
      <name val="Cambria"/>
      <family val="1"/>
    </font>
    <font>
      <sz val="12"/>
      <name val="Cambria"/>
      <family val="1"/>
    </font>
    <font>
      <b/>
      <sz val="36"/>
      <color theme="5" tint="-0.249977111117893"/>
      <name val="Cambria"/>
      <family val="1"/>
    </font>
    <font>
      <b/>
      <sz val="36"/>
      <color rgb="FFF46A02"/>
      <name val="Cambria"/>
      <family val="1"/>
    </font>
    <font>
      <sz val="9"/>
      <color theme="0"/>
      <name val="Arial"/>
      <family val="2"/>
    </font>
    <font>
      <u/>
      <sz val="11"/>
      <color theme="10"/>
      <name val="Calibri"/>
      <family val="2"/>
      <scheme val="minor"/>
    </font>
    <font>
      <b/>
      <sz val="12"/>
      <color theme="5" tint="-0.499984740745262"/>
      <name val="Arial"/>
      <family val="2"/>
    </font>
    <font>
      <sz val="12"/>
      <color theme="5" tint="-0.499984740745262"/>
      <name val="Arial"/>
      <family val="2"/>
    </font>
    <font>
      <u/>
      <sz val="12"/>
      <color theme="5" tint="-0.499984740745262"/>
      <name val="Arial"/>
      <family val="2"/>
    </font>
  </fonts>
  <fills count="16">
    <fill>
      <patternFill patternType="none"/>
    </fill>
    <fill>
      <patternFill patternType="gray125"/>
    </fill>
    <fill>
      <patternFill patternType="solid">
        <fgColor theme="4"/>
        <bgColor indexed="64"/>
      </patternFill>
    </fill>
    <fill>
      <patternFill patternType="solid">
        <fgColor theme="0"/>
        <bgColor indexed="64"/>
      </patternFill>
    </fill>
    <fill>
      <patternFill patternType="solid">
        <fgColor theme="5"/>
        <bgColor indexed="64"/>
      </patternFill>
    </fill>
    <fill>
      <patternFill patternType="solid">
        <fgColor theme="5" tint="-0.249977111117893"/>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00B050"/>
        <bgColor indexed="64"/>
      </patternFill>
    </fill>
    <fill>
      <patternFill patternType="solid">
        <fgColor theme="4" tint="0.39997558519241921"/>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5" tint="0.39997558519241921"/>
        <bgColor indexed="64"/>
      </patternFill>
    </fill>
  </fills>
  <borders count="5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double">
        <color indexed="64"/>
      </right>
      <top style="double">
        <color indexed="64"/>
      </top>
      <bottom style="thin">
        <color indexed="64"/>
      </bottom>
      <diagonal/>
    </border>
    <border>
      <left/>
      <right style="double">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style="double">
        <color indexed="64"/>
      </top>
      <bottom style="thin">
        <color indexed="64"/>
      </bottom>
      <diagonal/>
    </border>
    <border>
      <left/>
      <right style="double">
        <color indexed="64"/>
      </right>
      <top style="double">
        <color indexed="64"/>
      </top>
      <bottom/>
      <diagonal/>
    </border>
    <border>
      <left style="thin">
        <color indexed="64"/>
      </left>
      <right style="double">
        <color indexed="64"/>
      </right>
      <top style="double">
        <color indexed="64"/>
      </top>
      <bottom style="thin">
        <color indexed="64"/>
      </bottom>
      <diagonal/>
    </border>
    <border>
      <left/>
      <right style="double">
        <color indexed="64"/>
      </right>
      <top/>
      <bottom/>
      <diagonal/>
    </border>
    <border>
      <left/>
      <right/>
      <top style="double">
        <color indexed="64"/>
      </top>
      <bottom/>
      <diagonal/>
    </border>
    <border>
      <left/>
      <right style="double">
        <color indexed="64"/>
      </right>
      <top/>
      <bottom style="double">
        <color indexed="64"/>
      </bottom>
      <diagonal/>
    </border>
    <border>
      <left style="double">
        <color indexed="64"/>
      </left>
      <right style="double">
        <color indexed="64"/>
      </right>
      <top style="double">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indexed="64"/>
      </right>
      <top style="thin">
        <color indexed="64"/>
      </top>
      <bottom style="thin">
        <color auto="1"/>
      </bottom>
      <diagonal/>
    </border>
    <border>
      <left style="thin">
        <color auto="1"/>
      </left>
      <right/>
      <top style="thin">
        <color auto="1"/>
      </top>
      <bottom/>
      <diagonal/>
    </border>
    <border>
      <left/>
      <right style="medium">
        <color indexed="64"/>
      </right>
      <top style="thin">
        <color indexed="64"/>
      </top>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thin">
        <color auto="1"/>
      </bottom>
      <diagonal/>
    </border>
    <border>
      <left style="thin">
        <color auto="1"/>
      </left>
      <right/>
      <top style="thin">
        <color auto="1"/>
      </top>
      <bottom style="medium">
        <color indexed="64"/>
      </bottom>
      <diagonal/>
    </border>
    <border>
      <left/>
      <right style="medium">
        <color indexed="64"/>
      </right>
      <top style="thin">
        <color auto="1"/>
      </top>
      <bottom style="medium">
        <color indexed="64"/>
      </bottom>
      <diagonal/>
    </border>
    <border>
      <left style="thin">
        <color auto="1"/>
      </left>
      <right/>
      <top/>
      <bottom style="medium">
        <color indexed="64"/>
      </bottom>
      <diagonal/>
    </border>
    <border>
      <left style="medium">
        <color indexed="64"/>
      </left>
      <right style="thin">
        <color auto="1"/>
      </right>
      <top/>
      <bottom style="medium">
        <color indexed="64"/>
      </bottom>
      <diagonal/>
    </border>
    <border>
      <left style="thin">
        <color auto="1"/>
      </left>
      <right style="medium">
        <color indexed="64"/>
      </right>
      <top/>
      <bottom style="medium">
        <color indexed="64"/>
      </bottom>
      <diagonal/>
    </border>
    <border>
      <left style="thin">
        <color auto="1"/>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double">
        <color indexed="64"/>
      </left>
      <right/>
      <top style="double">
        <color indexed="64"/>
      </top>
      <bottom/>
      <diagonal/>
    </border>
  </borders>
  <cellStyleXfs count="15">
    <xf numFmtId="0" fontId="0" fillId="0" borderId="0"/>
    <xf numFmtId="0" fontId="3" fillId="0" borderId="0">
      <alignment wrapText="1"/>
    </xf>
    <xf numFmtId="0" fontId="3" fillId="0" borderId="0">
      <alignment wrapText="1"/>
    </xf>
    <xf numFmtId="0" fontId="4" fillId="0" borderId="0">
      <alignment vertical="center"/>
    </xf>
    <xf numFmtId="0" fontId="3" fillId="0" borderId="0">
      <alignment wrapText="1"/>
    </xf>
    <xf numFmtId="0" fontId="3" fillId="0" borderId="0">
      <alignment wrapText="1"/>
    </xf>
    <xf numFmtId="0" fontId="3" fillId="0" borderId="0">
      <alignment wrapText="1"/>
    </xf>
    <xf numFmtId="0" fontId="3" fillId="0" borderId="0">
      <alignment wrapText="1"/>
    </xf>
    <xf numFmtId="0" fontId="3" fillId="0" borderId="0">
      <alignment wrapText="1"/>
    </xf>
    <xf numFmtId="0" fontId="3" fillId="0" borderId="0">
      <alignment wrapText="1"/>
    </xf>
    <xf numFmtId="0" fontId="3" fillId="0" borderId="0">
      <alignment wrapText="1"/>
    </xf>
    <xf numFmtId="0" fontId="3" fillId="0" borderId="0">
      <alignment wrapText="1"/>
    </xf>
    <xf numFmtId="0" fontId="3" fillId="0" borderId="0">
      <alignment wrapText="1"/>
    </xf>
    <xf numFmtId="0" fontId="3" fillId="0" borderId="0">
      <alignment wrapText="1"/>
    </xf>
    <xf numFmtId="0" fontId="41" fillId="0" borderId="0" applyNumberFormat="0" applyFill="0" applyBorder="0" applyAlignment="0" applyProtection="0"/>
  </cellStyleXfs>
  <cellXfs count="331">
    <xf numFmtId="0" fontId="0" fillId="0" borderId="0" xfId="0"/>
    <xf numFmtId="0" fontId="0" fillId="0" borderId="0" xfId="0"/>
    <xf numFmtId="0" fontId="2" fillId="0" borderId="1" xfId="0" applyFont="1" applyBorder="1" applyAlignment="1">
      <alignment horizontal="left" wrapText="1"/>
    </xf>
    <xf numFmtId="0" fontId="5" fillId="4" borderId="1" xfId="0" applyFont="1" applyFill="1" applyBorder="1" applyAlignment="1">
      <alignment horizontal="center" vertical="center" wrapText="1"/>
    </xf>
    <xf numFmtId="0" fontId="2" fillId="0" borderId="1" xfId="0" applyFont="1" applyBorder="1" applyAlignment="1">
      <alignment horizontal="center"/>
    </xf>
    <xf numFmtId="0" fontId="2" fillId="0" borderId="1" xfId="0" applyFont="1" applyBorder="1" applyAlignment="1">
      <alignment wrapText="1"/>
    </xf>
    <xf numFmtId="0" fontId="1" fillId="2" borderId="2" xfId="0" applyFont="1" applyFill="1" applyBorder="1" applyAlignment="1">
      <alignment horizontal="left" vertical="center" wrapText="1"/>
    </xf>
    <xf numFmtId="0" fontId="1" fillId="2" borderId="6" xfId="0" applyFont="1" applyFill="1" applyBorder="1" applyAlignment="1">
      <alignment horizontal="left" vertical="center"/>
    </xf>
    <xf numFmtId="0" fontId="5" fillId="4" borderId="5" xfId="0" applyFont="1" applyFill="1" applyBorder="1" applyAlignment="1">
      <alignment horizontal="center" vertical="center" wrapText="1"/>
    </xf>
    <xf numFmtId="0" fontId="5" fillId="4" borderId="9" xfId="0" applyFont="1" applyFill="1" applyBorder="1" applyAlignment="1">
      <alignment horizontal="center" vertical="center" wrapText="1"/>
    </xf>
    <xf numFmtId="0" fontId="1" fillId="2" borderId="4" xfId="0" applyFont="1" applyFill="1" applyBorder="1" applyAlignment="1">
      <alignment horizontal="left" vertical="center" wrapText="1"/>
    </xf>
    <xf numFmtId="164" fontId="2" fillId="0" borderId="1" xfId="0" applyNumberFormat="1" applyFont="1" applyBorder="1" applyAlignment="1">
      <alignment horizontal="center"/>
    </xf>
    <xf numFmtId="2" fontId="2" fillId="0" borderId="1" xfId="0" applyNumberFormat="1" applyFont="1" applyBorder="1" applyAlignment="1">
      <alignment horizontal="center"/>
    </xf>
    <xf numFmtId="0" fontId="2" fillId="0" borderId="1" xfId="0" applyFont="1" applyBorder="1" applyAlignment="1">
      <alignment horizontal="left" indent="11"/>
    </xf>
    <xf numFmtId="0" fontId="0" fillId="0" borderId="0" xfId="0"/>
    <xf numFmtId="0" fontId="12" fillId="0" borderId="0" xfId="0" applyFont="1"/>
    <xf numFmtId="0" fontId="13" fillId="0" borderId="0" xfId="0" applyFont="1"/>
    <xf numFmtId="0" fontId="2" fillId="0" borderId="0" xfId="0" applyFont="1"/>
    <xf numFmtId="0" fontId="2" fillId="0" borderId="1" xfId="0" applyFont="1" applyBorder="1" applyAlignment="1">
      <alignment horizontal="center" vertical="center"/>
    </xf>
    <xf numFmtId="0" fontId="2" fillId="0" borderId="0" xfId="0" applyFont="1" applyAlignment="1">
      <alignment vertical="center"/>
    </xf>
    <xf numFmtId="0" fontId="2" fillId="0" borderId="1" xfId="0" applyFont="1" applyBorder="1" applyAlignment="1">
      <alignment horizontal="left" vertical="center" wrapText="1"/>
    </xf>
    <xf numFmtId="0" fontId="2" fillId="7" borderId="0" xfId="0" applyFont="1" applyFill="1" applyAlignment="1">
      <alignment vertical="center" wrapText="1"/>
    </xf>
    <xf numFmtId="0" fontId="2" fillId="7" borderId="2" xfId="0" applyFont="1" applyFill="1" applyBorder="1" applyAlignment="1">
      <alignment vertical="center" wrapText="1"/>
    </xf>
    <xf numFmtId="0" fontId="17" fillId="3" borderId="0" xfId="0" applyFont="1" applyFill="1"/>
    <xf numFmtId="0" fontId="17" fillId="0" borderId="0" xfId="0" applyFont="1"/>
    <xf numFmtId="0" fontId="17" fillId="7" borderId="0" xfId="0" applyFont="1" applyFill="1"/>
    <xf numFmtId="0" fontId="18" fillId="7" borderId="0" xfId="0" applyFont="1" applyFill="1" applyBorder="1" applyAlignment="1">
      <alignment vertical="center" wrapText="1"/>
    </xf>
    <xf numFmtId="0" fontId="13" fillId="3" borderId="0" xfId="0" applyFont="1" applyFill="1"/>
    <xf numFmtId="0" fontId="20" fillId="3" borderId="8" xfId="0" applyFont="1" applyFill="1" applyBorder="1" applyAlignment="1">
      <alignment vertical="center" wrapText="1"/>
    </xf>
    <xf numFmtId="0" fontId="20" fillId="3" borderId="10" xfId="0" applyFont="1" applyFill="1" applyBorder="1" applyAlignment="1">
      <alignment vertical="center" wrapText="1"/>
    </xf>
    <xf numFmtId="0" fontId="20" fillId="3" borderId="12" xfId="0" applyFont="1" applyFill="1" applyBorder="1" applyAlignment="1">
      <alignment vertical="center" wrapText="1"/>
    </xf>
    <xf numFmtId="0" fontId="11" fillId="5" borderId="7" xfId="0" applyFont="1" applyFill="1" applyBorder="1" applyAlignment="1">
      <alignment vertical="center"/>
    </xf>
    <xf numFmtId="0" fontId="11" fillId="5" borderId="11" xfId="0" applyFont="1" applyFill="1" applyBorder="1" applyAlignment="1">
      <alignment vertical="center"/>
    </xf>
    <xf numFmtId="0" fontId="11" fillId="5" borderId="3" xfId="0" applyFont="1" applyFill="1" applyBorder="1" applyAlignment="1">
      <alignment vertical="center"/>
    </xf>
    <xf numFmtId="0" fontId="12" fillId="0" borderId="1" xfId="0" applyFont="1" applyBorder="1" applyAlignment="1">
      <alignment vertical="center" wrapText="1"/>
    </xf>
    <xf numFmtId="0" fontId="6" fillId="3" borderId="1" xfId="0" applyFont="1" applyFill="1" applyBorder="1" applyAlignment="1" applyProtection="1">
      <alignment horizontal="center" vertical="center" wrapText="1"/>
      <protection locked="0"/>
    </xf>
    <xf numFmtId="0" fontId="6" fillId="3" borderId="1" xfId="1" applyFont="1" applyFill="1" applyBorder="1" applyAlignment="1">
      <alignment horizontal="left" vertical="center" wrapText="1"/>
    </xf>
    <xf numFmtId="0" fontId="6" fillId="0" borderId="1" xfId="0" applyFont="1" applyFill="1" applyBorder="1" applyAlignment="1">
      <alignment horizontal="left" vertical="center" wrapText="1"/>
    </xf>
    <xf numFmtId="0" fontId="6" fillId="0" borderId="1" xfId="1" applyFont="1" applyFill="1" applyBorder="1" applyAlignment="1">
      <alignment horizontal="left" vertical="center" wrapText="1"/>
    </xf>
    <xf numFmtId="49" fontId="6" fillId="3" borderId="1" xfId="0" applyNumberFormat="1" applyFont="1" applyFill="1" applyBorder="1" applyAlignment="1">
      <alignment vertical="center" wrapText="1"/>
    </xf>
    <xf numFmtId="0" fontId="6" fillId="3" borderId="1" xfId="1" applyFont="1" applyFill="1" applyBorder="1" applyAlignment="1" applyProtection="1">
      <alignment horizontal="left" vertical="center" wrapText="1"/>
    </xf>
    <xf numFmtId="49" fontId="7" fillId="3" borderId="1" xfId="0" applyNumberFormat="1" applyFont="1" applyFill="1" applyBorder="1" applyAlignment="1">
      <alignment vertical="center" wrapText="1"/>
    </xf>
    <xf numFmtId="0" fontId="22" fillId="0" borderId="0" xfId="0" applyFont="1"/>
    <xf numFmtId="0" fontId="12" fillId="0" borderId="0" xfId="0" applyFont="1" applyAlignment="1">
      <alignment horizontal="left" vertical="center"/>
    </xf>
    <xf numFmtId="0" fontId="22" fillId="0" borderId="0" xfId="0" applyFont="1" applyAlignment="1">
      <alignment horizontal="center"/>
    </xf>
    <xf numFmtId="0" fontId="12" fillId="0" borderId="1" xfId="0" applyFont="1" applyBorder="1" applyAlignment="1">
      <alignment horizontal="left" vertical="center"/>
    </xf>
    <xf numFmtId="16" fontId="2" fillId="0" borderId="0" xfId="0" applyNumberFormat="1" applyFont="1"/>
    <xf numFmtId="0" fontId="1" fillId="2" borderId="1" xfId="0" applyFont="1" applyFill="1" applyBorder="1" applyAlignment="1">
      <alignment horizontal="left" vertical="center"/>
    </xf>
    <xf numFmtId="0" fontId="0" fillId="8" borderId="0" xfId="0" applyFill="1"/>
    <xf numFmtId="0" fontId="0" fillId="0" borderId="0" xfId="0" applyFill="1"/>
    <xf numFmtId="0" fontId="0" fillId="0" borderId="0" xfId="0" applyAlignment="1">
      <alignment horizontal="center"/>
    </xf>
    <xf numFmtId="0" fontId="6" fillId="3" borderId="1" xfId="0" applyFont="1" applyFill="1" applyBorder="1" applyAlignment="1">
      <alignment horizontal="center" vertical="center" wrapText="1"/>
    </xf>
    <xf numFmtId="0" fontId="6" fillId="3" borderId="1" xfId="0" applyFont="1" applyFill="1" applyBorder="1" applyAlignment="1">
      <alignment horizontal="left" vertical="center" wrapText="1"/>
    </xf>
    <xf numFmtId="0" fontId="2" fillId="9" borderId="0" xfId="0" applyFont="1" applyFill="1"/>
    <xf numFmtId="0" fontId="2" fillId="10" borderId="0" xfId="0" applyFont="1" applyFill="1"/>
    <xf numFmtId="0" fontId="2" fillId="5" borderId="0" xfId="0" applyFont="1" applyFill="1"/>
    <xf numFmtId="0" fontId="2" fillId="8" borderId="0" xfId="0" applyFont="1" applyFill="1" applyAlignment="1">
      <alignment wrapText="1"/>
    </xf>
    <xf numFmtId="0" fontId="2" fillId="0" borderId="0" xfId="0" applyFont="1" applyAlignment="1">
      <alignment wrapText="1"/>
    </xf>
    <xf numFmtId="0" fontId="6" fillId="0" borderId="0" xfId="0" applyFont="1" applyFill="1" applyBorder="1" applyAlignment="1">
      <alignment horizontal="center" vertical="center" wrapText="1"/>
    </xf>
    <xf numFmtId="0" fontId="24" fillId="4" borderId="0" xfId="0" applyFont="1" applyFill="1"/>
    <xf numFmtId="0" fontId="0" fillId="11" borderId="0" xfId="0" applyFill="1"/>
    <xf numFmtId="0" fontId="25" fillId="0" borderId="0" xfId="0" applyFont="1" applyFill="1"/>
    <xf numFmtId="0" fontId="6" fillId="0" borderId="0" xfId="0" applyFont="1" applyFill="1" applyBorder="1" applyAlignment="1">
      <alignment horizontal="center" vertical="center"/>
    </xf>
    <xf numFmtId="0" fontId="0" fillId="0" borderId="1" xfId="0" applyBorder="1"/>
    <xf numFmtId="0" fontId="0" fillId="0" borderId="5" xfId="0" applyBorder="1"/>
    <xf numFmtId="0" fontId="0" fillId="0" borderId="15" xfId="0" applyBorder="1"/>
    <xf numFmtId="0" fontId="0" fillId="0" borderId="18" xfId="0" applyBorder="1"/>
    <xf numFmtId="0" fontId="0" fillId="0" borderId="20" xfId="0" applyBorder="1"/>
    <xf numFmtId="0" fontId="0" fillId="0" borderId="21" xfId="0" applyBorder="1"/>
    <xf numFmtId="0" fontId="0" fillId="0" borderId="22" xfId="0" applyBorder="1"/>
    <xf numFmtId="0" fontId="0" fillId="0" borderId="0" xfId="0" applyBorder="1"/>
    <xf numFmtId="10" fontId="0" fillId="0" borderId="16" xfId="0" applyNumberFormat="1" applyBorder="1"/>
    <xf numFmtId="10" fontId="0" fillId="0" borderId="18" xfId="0" applyNumberFormat="1" applyBorder="1"/>
    <xf numFmtId="10" fontId="0" fillId="0" borderId="21" xfId="0" applyNumberFormat="1" applyBorder="1"/>
    <xf numFmtId="0" fontId="0" fillId="0" borderId="27" xfId="0" applyBorder="1"/>
    <xf numFmtId="10" fontId="0" fillId="0" borderId="24" xfId="0" applyNumberFormat="1" applyBorder="1"/>
    <xf numFmtId="10" fontId="0" fillId="0" borderId="26" xfId="0" applyNumberFormat="1" applyBorder="1"/>
    <xf numFmtId="0" fontId="0" fillId="0" borderId="17" xfId="0" applyBorder="1"/>
    <xf numFmtId="0" fontId="0" fillId="0" borderId="19" xfId="0" applyBorder="1"/>
    <xf numFmtId="0" fontId="24" fillId="4" borderId="28" xfId="0" applyFont="1" applyFill="1" applyBorder="1"/>
    <xf numFmtId="0" fontId="24" fillId="4" borderId="29" xfId="0" applyFont="1" applyFill="1" applyBorder="1"/>
    <xf numFmtId="0" fontId="24" fillId="4" borderId="0" xfId="0" applyFont="1" applyFill="1" applyAlignment="1">
      <alignment horizontal="left"/>
    </xf>
    <xf numFmtId="0" fontId="6" fillId="0" borderId="0" xfId="0" applyFont="1" applyFill="1" applyBorder="1" applyAlignment="1">
      <alignment horizontal="left" vertical="center"/>
    </xf>
    <xf numFmtId="0" fontId="0" fillId="0" borderId="0" xfId="0" applyAlignment="1">
      <alignment horizontal="left"/>
    </xf>
    <xf numFmtId="0" fontId="6" fillId="0" borderId="0" xfId="0" applyFont="1" applyFill="1" applyBorder="1" applyAlignment="1">
      <alignment vertical="center"/>
    </xf>
    <xf numFmtId="0" fontId="2" fillId="0" borderId="0" xfId="0" applyFont="1" applyFill="1" applyBorder="1"/>
    <xf numFmtId="0" fontId="10" fillId="0" borderId="0" xfId="0" applyFont="1" applyFill="1" applyBorder="1" applyAlignment="1">
      <alignment horizontal="left" vertical="center"/>
    </xf>
    <xf numFmtId="0" fontId="12" fillId="0" borderId="1" xfId="0" applyFont="1" applyFill="1" applyBorder="1" applyAlignment="1">
      <alignment horizontal="left" vertical="center"/>
    </xf>
    <xf numFmtId="0" fontId="12" fillId="0" borderId="1" xfId="0" applyFont="1" applyFill="1" applyBorder="1" applyAlignment="1">
      <alignment horizontal="left" vertical="center" wrapText="1"/>
    </xf>
    <xf numFmtId="0" fontId="12" fillId="0" borderId="1" xfId="0" applyFont="1" applyFill="1" applyBorder="1" applyAlignment="1">
      <alignment horizontal="center" vertical="center" wrapText="1"/>
    </xf>
    <xf numFmtId="0" fontId="12" fillId="0" borderId="1" xfId="0" applyFont="1" applyFill="1" applyBorder="1" applyAlignment="1">
      <alignment horizontal="left" vertical="top" wrapText="1"/>
    </xf>
    <xf numFmtId="0" fontId="12" fillId="0" borderId="1" xfId="0" applyFont="1" applyFill="1" applyBorder="1" applyAlignment="1">
      <alignment vertical="top" wrapText="1"/>
    </xf>
    <xf numFmtId="0" fontId="12" fillId="0" borderId="1" xfId="0" applyFont="1" applyFill="1" applyBorder="1" applyAlignment="1">
      <alignment horizontal="center" vertical="center"/>
    </xf>
    <xf numFmtId="0" fontId="22" fillId="0" borderId="1" xfId="0" applyFont="1" applyBorder="1" applyAlignment="1">
      <alignment horizontal="left" vertical="center"/>
    </xf>
    <xf numFmtId="0" fontId="12" fillId="0" borderId="1" xfId="0" applyFont="1" applyBorder="1" applyAlignment="1">
      <alignment horizontal="center"/>
    </xf>
    <xf numFmtId="0" fontId="24" fillId="10" borderId="0" xfId="0" applyFont="1" applyFill="1"/>
    <xf numFmtId="0" fontId="6" fillId="3" borderId="1" xfId="0" applyFont="1" applyFill="1" applyBorder="1" applyAlignment="1">
      <alignment horizontal="center" vertical="center" wrapText="1"/>
    </xf>
    <xf numFmtId="0" fontId="11" fillId="4" borderId="7" xfId="0" applyFont="1" applyFill="1" applyBorder="1" applyAlignment="1">
      <alignment vertical="center"/>
    </xf>
    <xf numFmtId="0" fontId="11" fillId="4" borderId="0" xfId="0" applyFont="1" applyFill="1" applyBorder="1" applyAlignment="1">
      <alignment vertical="center"/>
    </xf>
    <xf numFmtId="0" fontId="11" fillId="4" borderId="2" xfId="0" applyFont="1" applyFill="1" applyBorder="1" applyAlignment="1">
      <alignment vertical="center"/>
    </xf>
    <xf numFmtId="0" fontId="11" fillId="0" borderId="33" xfId="0" applyFont="1" applyFill="1" applyBorder="1" applyAlignment="1">
      <alignment vertical="center"/>
    </xf>
    <xf numFmtId="0" fontId="11" fillId="0" borderId="0" xfId="0" applyFont="1" applyFill="1" applyBorder="1" applyAlignment="1">
      <alignment vertical="center"/>
    </xf>
    <xf numFmtId="0" fontId="12" fillId="0" borderId="5" xfId="0" applyFont="1" applyBorder="1" applyAlignment="1">
      <alignment vertical="center" wrapText="1"/>
    </xf>
    <xf numFmtId="0" fontId="20" fillId="0" borderId="33" xfId="0" applyFont="1" applyBorder="1" applyAlignment="1">
      <alignment horizontal="left" vertical="center" wrapText="1"/>
    </xf>
    <xf numFmtId="0" fontId="20" fillId="0" borderId="0" xfId="0" applyFont="1" applyBorder="1" applyAlignment="1">
      <alignment horizontal="left" vertical="center" wrapText="1"/>
    </xf>
    <xf numFmtId="0" fontId="0" fillId="0" borderId="33" xfId="0" applyBorder="1"/>
    <xf numFmtId="0" fontId="28" fillId="4" borderId="1" xfId="0" applyFont="1" applyFill="1" applyBorder="1" applyAlignment="1">
      <alignment horizontal="center" vertical="top" wrapText="1"/>
    </xf>
    <xf numFmtId="0" fontId="29" fillId="12" borderId="1" xfId="0" applyFont="1" applyFill="1" applyBorder="1" applyAlignment="1">
      <alignment vertical="top" wrapText="1"/>
    </xf>
    <xf numFmtId="0" fontId="29" fillId="12" borderId="34" xfId="0" applyFont="1" applyFill="1" applyBorder="1" applyAlignment="1">
      <alignment vertical="top" wrapText="1"/>
    </xf>
    <xf numFmtId="0" fontId="30" fillId="13" borderId="1" xfId="0" applyFont="1" applyFill="1" applyBorder="1" applyAlignment="1">
      <alignment horizontal="left" vertical="top" wrapText="1"/>
    </xf>
    <xf numFmtId="0" fontId="30" fillId="0" borderId="1" xfId="0" applyFont="1" applyFill="1" applyBorder="1" applyAlignment="1" applyProtection="1">
      <alignment vertical="top" wrapText="1"/>
      <protection locked="0"/>
    </xf>
    <xf numFmtId="0" fontId="30" fillId="0" borderId="34" xfId="0" applyFont="1" applyFill="1" applyBorder="1" applyAlignment="1" applyProtection="1">
      <alignment vertical="top" wrapText="1"/>
      <protection locked="0"/>
    </xf>
    <xf numFmtId="0" fontId="30" fillId="13" borderId="1" xfId="0" applyFont="1" applyFill="1" applyBorder="1" applyAlignment="1">
      <alignment horizontal="left" vertical="top" wrapText="1" indent="4"/>
    </xf>
    <xf numFmtId="0" fontId="30" fillId="13" borderId="1" xfId="0" applyFont="1" applyFill="1" applyBorder="1" applyAlignment="1">
      <alignment horizontal="left" vertical="top" wrapText="1" indent="3"/>
    </xf>
    <xf numFmtId="0" fontId="31" fillId="13" borderId="1" xfId="0" applyFont="1" applyFill="1" applyBorder="1" applyAlignment="1">
      <alignment wrapText="1"/>
    </xf>
    <xf numFmtId="0" fontId="30" fillId="13" borderId="22" xfId="0" applyFont="1" applyFill="1" applyBorder="1" applyAlignment="1">
      <alignment horizontal="left" vertical="top" wrapText="1"/>
    </xf>
    <xf numFmtId="0" fontId="30" fillId="0" borderId="22" xfId="0" applyFont="1" applyFill="1" applyBorder="1" applyAlignment="1" applyProtection="1">
      <alignment vertical="top" wrapText="1"/>
      <protection locked="0"/>
    </xf>
    <xf numFmtId="0" fontId="33" fillId="4" borderId="44" xfId="0" applyFont="1" applyFill="1" applyBorder="1" applyAlignment="1">
      <alignment wrapText="1"/>
    </xf>
    <xf numFmtId="0" fontId="29" fillId="4" borderId="6" xfId="0" applyFont="1" applyFill="1" applyBorder="1" applyAlignment="1">
      <alignment vertical="top" wrapText="1"/>
    </xf>
    <xf numFmtId="0" fontId="30" fillId="13" borderId="34" xfId="0" applyFont="1" applyFill="1" applyBorder="1" applyAlignment="1">
      <alignment horizontal="left" vertical="top" wrapText="1"/>
    </xf>
    <xf numFmtId="0" fontId="30" fillId="0" borderId="23" xfId="0" applyFont="1" applyFill="1" applyBorder="1" applyAlignment="1" applyProtection="1">
      <alignment horizontal="center" vertical="center" wrapText="1"/>
      <protection locked="0"/>
    </xf>
    <xf numFmtId="0" fontId="30" fillId="0" borderId="24" xfId="0" applyFont="1" applyFill="1" applyBorder="1" applyAlignment="1" applyProtection="1">
      <alignment horizontal="center" vertical="center" wrapText="1"/>
      <protection locked="0"/>
    </xf>
    <xf numFmtId="0" fontId="30" fillId="13" borderId="44" xfId="0" applyFont="1" applyFill="1" applyBorder="1" applyAlignment="1">
      <alignment horizontal="left" vertical="top" wrapText="1"/>
    </xf>
    <xf numFmtId="0" fontId="30" fillId="0" borderId="19" xfId="0" applyFont="1" applyFill="1" applyBorder="1" applyAlignment="1" applyProtection="1">
      <alignment horizontal="center" vertical="center" wrapText="1"/>
      <protection locked="0"/>
    </xf>
    <xf numFmtId="0" fontId="30" fillId="0" borderId="21" xfId="0" applyFont="1" applyFill="1" applyBorder="1" applyAlignment="1" applyProtection="1">
      <alignment horizontal="center" vertical="center" wrapText="1"/>
      <protection locked="0"/>
    </xf>
    <xf numFmtId="0" fontId="29" fillId="4" borderId="46" xfId="0" applyFont="1" applyFill="1" applyBorder="1" applyAlignment="1">
      <alignment horizontal="left" vertical="top" wrapText="1"/>
    </xf>
    <xf numFmtId="0" fontId="30" fillId="0" borderId="47" xfId="0" applyFont="1" applyFill="1" applyBorder="1" applyAlignment="1" applyProtection="1">
      <alignment horizontal="center" vertical="center" wrapText="1"/>
      <protection locked="0"/>
    </xf>
    <xf numFmtId="0" fontId="30" fillId="0" borderId="48" xfId="0" applyFont="1" applyFill="1" applyBorder="1" applyAlignment="1" applyProtection="1">
      <alignment horizontal="center" vertical="center" wrapText="1"/>
      <protection locked="0"/>
    </xf>
    <xf numFmtId="0" fontId="30" fillId="0" borderId="17" xfId="0" applyFont="1" applyFill="1" applyBorder="1" applyAlignment="1" applyProtection="1">
      <alignment horizontal="center" vertical="center" wrapText="1"/>
      <protection locked="0"/>
    </xf>
    <xf numFmtId="0" fontId="30" fillId="0" borderId="18" xfId="0" applyFont="1" applyFill="1" applyBorder="1" applyAlignment="1" applyProtection="1">
      <alignment horizontal="center" vertical="center" wrapText="1"/>
      <protection locked="0"/>
    </xf>
    <xf numFmtId="0" fontId="30" fillId="0" borderId="23" xfId="0" applyFont="1" applyBorder="1" applyAlignment="1" applyProtection="1">
      <alignment horizontal="center" vertical="center" wrapText="1"/>
      <protection locked="0"/>
    </xf>
    <xf numFmtId="0" fontId="30" fillId="0" borderId="24" xfId="0" applyFont="1" applyBorder="1" applyAlignment="1" applyProtection="1">
      <alignment horizontal="center" vertical="center" wrapText="1"/>
      <protection locked="0"/>
    </xf>
    <xf numFmtId="0" fontId="30" fillId="0" borderId="18" xfId="0" applyFont="1" applyBorder="1" applyAlignment="1" applyProtection="1">
      <alignment horizontal="center" vertical="center" wrapText="1"/>
      <protection locked="0"/>
    </xf>
    <xf numFmtId="0" fontId="31" fillId="0" borderId="18" xfId="0" applyFont="1" applyFill="1" applyBorder="1" applyAlignment="1" applyProtection="1">
      <alignment horizontal="center" vertical="center" wrapText="1"/>
      <protection locked="0"/>
    </xf>
    <xf numFmtId="0" fontId="31" fillId="0" borderId="19" xfId="0" applyFont="1" applyFill="1" applyBorder="1" applyAlignment="1" applyProtection="1">
      <alignment horizontal="center" vertical="center" wrapText="1"/>
      <protection locked="0"/>
    </xf>
    <xf numFmtId="0" fontId="31" fillId="0" borderId="21" xfId="0" applyFont="1" applyFill="1" applyBorder="1" applyAlignment="1" applyProtection="1">
      <alignment horizontal="center" vertical="center" wrapText="1"/>
      <protection locked="0"/>
    </xf>
    <xf numFmtId="0" fontId="33" fillId="4" borderId="49" xfId="0" applyFont="1" applyFill="1" applyBorder="1" applyAlignment="1">
      <alignment wrapText="1"/>
    </xf>
    <xf numFmtId="0" fontId="30" fillId="0" borderId="39" xfId="0" applyFont="1" applyFill="1" applyBorder="1" applyAlignment="1" applyProtection="1">
      <alignment horizontal="center" vertical="center" wrapText="1"/>
      <protection locked="0"/>
    </xf>
    <xf numFmtId="0" fontId="33" fillId="4" borderId="46" xfId="0" applyFont="1" applyFill="1" applyBorder="1" applyAlignment="1">
      <alignment wrapText="1"/>
    </xf>
    <xf numFmtId="0" fontId="33" fillId="4" borderId="50" xfId="0" applyFont="1" applyFill="1" applyBorder="1" applyAlignment="1">
      <alignment wrapText="1"/>
    </xf>
    <xf numFmtId="0" fontId="17" fillId="7" borderId="0" xfId="0" applyFont="1" applyFill="1" applyAlignment="1">
      <alignment horizontal="left"/>
    </xf>
    <xf numFmtId="0" fontId="0" fillId="0" borderId="1" xfId="0" applyBorder="1" applyAlignment="1">
      <alignment horizontal="center" vertical="center"/>
    </xf>
    <xf numFmtId="0" fontId="0" fillId="0" borderId="1" xfId="0" applyBorder="1" applyAlignment="1">
      <alignment wrapText="1"/>
    </xf>
    <xf numFmtId="0" fontId="20" fillId="0" borderId="34" xfId="0" applyFont="1" applyBorder="1" applyAlignment="1" applyProtection="1">
      <alignment horizontal="left" vertical="center" wrapText="1"/>
      <protection locked="0"/>
    </xf>
    <xf numFmtId="0" fontId="0" fillId="0" borderId="1" xfId="0" applyBorder="1" applyProtection="1">
      <protection locked="0"/>
    </xf>
    <xf numFmtId="0" fontId="0" fillId="0" borderId="22" xfId="0" applyBorder="1" applyProtection="1">
      <protection locked="0"/>
    </xf>
    <xf numFmtId="0" fontId="20" fillId="0" borderId="1" xfId="0" applyFont="1" applyBorder="1" applyAlignment="1" applyProtection="1">
      <alignment vertical="center" wrapText="1"/>
      <protection locked="0"/>
    </xf>
    <xf numFmtId="0" fontId="2" fillId="0" borderId="1" xfId="0" applyFont="1" applyBorder="1" applyAlignment="1" applyProtection="1">
      <alignment vertical="center"/>
      <protection locked="0"/>
    </xf>
    <xf numFmtId="0" fontId="2" fillId="0" borderId="1" xfId="0" applyFont="1" applyBorder="1" applyAlignment="1" applyProtection="1">
      <alignment vertical="center" wrapText="1"/>
      <protection locked="0"/>
    </xf>
    <xf numFmtId="0" fontId="14" fillId="0" borderId="1" xfId="0" applyFont="1" applyBorder="1" applyAlignment="1" applyProtection="1">
      <alignment vertical="center"/>
      <protection locked="0"/>
    </xf>
    <xf numFmtId="0" fontId="33" fillId="0" borderId="19" xfId="0" applyFont="1" applyFill="1" applyBorder="1" applyAlignment="1" applyProtection="1">
      <alignment horizontal="center" vertical="center"/>
      <protection locked="0"/>
    </xf>
    <xf numFmtId="0" fontId="33" fillId="0" borderId="45" xfId="0" applyFont="1" applyFill="1" applyBorder="1" applyAlignment="1" applyProtection="1">
      <alignment horizontal="center" vertical="center" wrapText="1"/>
      <protection locked="0"/>
    </xf>
    <xf numFmtId="0" fontId="33" fillId="0" borderId="21" xfId="0" applyFont="1" applyFill="1" applyBorder="1" applyAlignment="1" applyProtection="1">
      <alignment horizontal="center" vertical="center" wrapText="1"/>
      <protection locked="0"/>
    </xf>
    <xf numFmtId="0" fontId="31" fillId="0" borderId="48" xfId="0" applyFont="1" applyBorder="1" applyAlignment="1" applyProtection="1">
      <alignment horizontal="center" vertical="center" wrapText="1"/>
      <protection locked="0"/>
    </xf>
    <xf numFmtId="0" fontId="31" fillId="0" borderId="41" xfId="0" applyFont="1" applyBorder="1" applyAlignment="1" applyProtection="1">
      <alignment horizontal="center" vertical="center" wrapText="1"/>
      <protection locked="0"/>
    </xf>
    <xf numFmtId="0" fontId="0" fillId="0" borderId="0" xfId="0" applyProtection="1">
      <protection locked="0"/>
    </xf>
    <xf numFmtId="0" fontId="5" fillId="4" borderId="13" xfId="0" applyFont="1" applyFill="1" applyBorder="1" applyAlignment="1">
      <alignment horizontal="left" vertical="center" wrapText="1"/>
    </xf>
    <xf numFmtId="0" fontId="5" fillId="4" borderId="13" xfId="0" applyFont="1" applyFill="1" applyBorder="1" applyAlignment="1">
      <alignment horizontal="left" vertical="center"/>
    </xf>
    <xf numFmtId="0" fontId="5" fillId="4" borderId="13" xfId="0" applyFont="1" applyFill="1" applyBorder="1" applyAlignment="1">
      <alignment horizontal="center" vertical="center"/>
    </xf>
    <xf numFmtId="0" fontId="5" fillId="4" borderId="1" xfId="0" applyFont="1" applyFill="1" applyBorder="1" applyAlignment="1">
      <alignment vertical="center"/>
    </xf>
    <xf numFmtId="0" fontId="0" fillId="0" borderId="0" xfId="0" applyAlignment="1">
      <alignment horizontal="center" vertical="top" wrapText="1"/>
    </xf>
    <xf numFmtId="0" fontId="6" fillId="3" borderId="1" xfId="0" applyFont="1" applyFill="1" applyBorder="1" applyAlignment="1">
      <alignment horizontal="center" vertical="center" wrapText="1"/>
    </xf>
    <xf numFmtId="0" fontId="6" fillId="3" borderId="1" xfId="0" applyFont="1" applyFill="1" applyBorder="1" applyAlignment="1">
      <alignment horizontal="left" vertical="center" wrapText="1"/>
    </xf>
    <xf numFmtId="0" fontId="0" fillId="0" borderId="0" xfId="0" applyFill="1" applyBorder="1"/>
    <xf numFmtId="0" fontId="24" fillId="0" borderId="0" xfId="0" applyFont="1" applyFill="1" applyBorder="1"/>
    <xf numFmtId="10" fontId="0" fillId="0" borderId="0" xfId="0" applyNumberFormat="1" applyFill="1" applyBorder="1"/>
    <xf numFmtId="0" fontId="17" fillId="0" borderId="0" xfId="0" applyFont="1" applyAlignment="1">
      <alignment vertical="center"/>
    </xf>
    <xf numFmtId="0" fontId="2" fillId="0" borderId="1" xfId="0" applyFont="1" applyBorder="1" applyAlignment="1">
      <alignment vertical="center" wrapText="1"/>
    </xf>
    <xf numFmtId="0" fontId="0" fillId="0" borderId="1" xfId="0" applyBorder="1" applyAlignment="1">
      <alignment horizontal="center"/>
    </xf>
    <xf numFmtId="0" fontId="24" fillId="4" borderId="0" xfId="0" applyFont="1" applyFill="1" applyAlignment="1">
      <alignment horizontal="left" wrapText="1"/>
    </xf>
    <xf numFmtId="0" fontId="6" fillId="0" borderId="0" xfId="0" applyFont="1" applyFill="1" applyBorder="1" applyAlignment="1">
      <alignment horizontal="left" vertical="center" wrapText="1"/>
    </xf>
    <xf numFmtId="0" fontId="6" fillId="0" borderId="0" xfId="0" applyFont="1" applyFill="1" applyBorder="1" applyAlignment="1">
      <alignment vertical="center" wrapText="1"/>
    </xf>
    <xf numFmtId="0" fontId="6" fillId="0" borderId="0" xfId="1" applyFont="1" applyFill="1" applyBorder="1" applyAlignment="1">
      <alignment vertical="center" wrapText="1"/>
    </xf>
    <xf numFmtId="0" fontId="2" fillId="0" borderId="0" xfId="0" applyFont="1" applyFill="1" applyBorder="1" applyAlignment="1">
      <alignment wrapText="1"/>
    </xf>
    <xf numFmtId="0" fontId="6" fillId="0" borderId="0" xfId="1" applyFont="1" applyFill="1" applyBorder="1" applyAlignment="1" applyProtection="1">
      <alignment vertical="center" wrapText="1"/>
    </xf>
    <xf numFmtId="0" fontId="2" fillId="0" borderId="0" xfId="0" applyFont="1" applyFill="1" applyBorder="1" applyAlignment="1">
      <alignment horizontal="left" wrapText="1"/>
    </xf>
    <xf numFmtId="0" fontId="6" fillId="0" borderId="0" xfId="1" applyFont="1" applyFill="1" applyBorder="1" applyAlignment="1">
      <alignment horizontal="left" vertical="center" wrapText="1"/>
    </xf>
    <xf numFmtId="0" fontId="6" fillId="0" borderId="0" xfId="1" applyFont="1" applyFill="1" applyBorder="1" applyAlignment="1" applyProtection="1">
      <alignment horizontal="left" vertical="center" wrapText="1"/>
    </xf>
    <xf numFmtId="0" fontId="0" fillId="0" borderId="0" xfId="0" applyAlignment="1">
      <alignment horizontal="left" wrapText="1"/>
    </xf>
    <xf numFmtId="0" fontId="12" fillId="0" borderId="1" xfId="0" applyFont="1" applyBorder="1" applyAlignment="1">
      <alignment wrapText="1"/>
    </xf>
    <xf numFmtId="0" fontId="5" fillId="4" borderId="55" xfId="0" applyFont="1" applyFill="1" applyBorder="1" applyAlignment="1">
      <alignment horizontal="left" vertical="center"/>
    </xf>
    <xf numFmtId="0" fontId="5" fillId="4" borderId="1" xfId="0" applyFont="1" applyFill="1" applyBorder="1" applyAlignment="1">
      <alignment horizontal="left" vertical="center"/>
    </xf>
    <xf numFmtId="0" fontId="12" fillId="0" borderId="1" xfId="0" applyFont="1" applyBorder="1"/>
    <xf numFmtId="0" fontId="6" fillId="3" borderId="1" xfId="0" applyFont="1" applyFill="1" applyBorder="1" applyAlignment="1">
      <alignment horizontal="center" vertical="center" wrapText="1"/>
    </xf>
    <xf numFmtId="0" fontId="0" fillId="0" borderId="0" xfId="0" applyAlignment="1">
      <alignment horizontal="center"/>
    </xf>
    <xf numFmtId="0" fontId="6" fillId="3" borderId="1" xfId="0" applyFont="1" applyFill="1" applyBorder="1" applyAlignment="1">
      <alignment horizontal="left" vertical="center" wrapText="1"/>
    </xf>
    <xf numFmtId="0" fontId="6" fillId="0" borderId="1" xfId="0" applyFont="1" applyFill="1" applyBorder="1" applyAlignment="1">
      <alignment horizontal="center" vertical="center" wrapText="1"/>
    </xf>
    <xf numFmtId="0" fontId="6" fillId="3" borderId="1" xfId="0" applyFont="1" applyFill="1" applyBorder="1" applyAlignment="1">
      <alignment vertical="center" wrapText="1"/>
    </xf>
    <xf numFmtId="0" fontId="6" fillId="3" borderId="1" xfId="0" applyFont="1" applyFill="1" applyBorder="1" applyAlignment="1">
      <alignment horizontal="center" vertical="center"/>
    </xf>
    <xf numFmtId="0" fontId="6" fillId="0" borderId="1" xfId="0" applyFont="1" applyFill="1" applyBorder="1" applyAlignment="1">
      <alignment horizontal="center" vertical="center" wrapText="1"/>
    </xf>
    <xf numFmtId="0" fontId="6" fillId="0" borderId="1" xfId="1" applyFont="1" applyFill="1" applyBorder="1" applyAlignment="1" applyProtection="1">
      <alignment horizontal="left" vertical="center" wrapText="1"/>
    </xf>
    <xf numFmtId="0" fontId="2" fillId="0" borderId="0" xfId="0" applyFont="1" applyFill="1" applyBorder="1" applyAlignment="1">
      <alignment horizontal="left" vertical="center" wrapText="1"/>
    </xf>
    <xf numFmtId="0" fontId="12" fillId="0" borderId="1" xfId="0" applyFont="1" applyBorder="1" applyAlignment="1" applyProtection="1">
      <alignment horizontal="left" vertical="center"/>
      <protection locked="0"/>
    </xf>
    <xf numFmtId="0" fontId="12" fillId="0" borderId="1" xfId="0" applyFont="1" applyBorder="1" applyAlignment="1" applyProtection="1">
      <alignment horizontal="left" vertical="center" wrapText="1"/>
      <protection locked="0"/>
    </xf>
    <xf numFmtId="0" fontId="22" fillId="0" borderId="1" xfId="0" applyFont="1" applyBorder="1" applyProtection="1">
      <protection locked="0"/>
    </xf>
    <xf numFmtId="0" fontId="22" fillId="0" borderId="1" xfId="0" applyFont="1" applyBorder="1" applyAlignment="1" applyProtection="1">
      <alignment wrapText="1"/>
      <protection locked="0"/>
    </xf>
    <xf numFmtId="0" fontId="31" fillId="13" borderId="20" xfId="0" applyFont="1" applyFill="1" applyBorder="1" applyAlignment="1">
      <alignment horizontal="left" vertical="center" wrapText="1"/>
    </xf>
    <xf numFmtId="0" fontId="0" fillId="0" borderId="44" xfId="0" applyBorder="1" applyProtection="1">
      <protection locked="0"/>
    </xf>
    <xf numFmtId="0" fontId="12" fillId="0" borderId="1" xfId="0" applyFont="1" applyBorder="1" applyAlignment="1">
      <alignment horizontal="left" vertical="center" wrapText="1"/>
    </xf>
    <xf numFmtId="0" fontId="30" fillId="0" borderId="34" xfId="0" applyFont="1" applyFill="1" applyBorder="1" applyAlignment="1" applyProtection="1">
      <alignment horizontal="left" vertical="center" wrapText="1"/>
      <protection locked="0"/>
    </xf>
    <xf numFmtId="0" fontId="30" fillId="0" borderId="36" xfId="0" applyFont="1" applyFill="1" applyBorder="1" applyAlignment="1" applyProtection="1">
      <alignment horizontal="left" vertical="center" wrapText="1"/>
      <protection locked="0"/>
    </xf>
    <xf numFmtId="0" fontId="40" fillId="3" borderId="1" xfId="0" applyFont="1" applyFill="1" applyBorder="1" applyAlignment="1" applyProtection="1">
      <alignment horizontal="center" vertical="center" wrapText="1"/>
      <protection locked="0"/>
    </xf>
    <xf numFmtId="0" fontId="6" fillId="3" borderId="22" xfId="0" applyFont="1" applyFill="1" applyBorder="1" applyAlignment="1">
      <alignment horizontal="center" vertical="center" wrapText="1"/>
    </xf>
    <xf numFmtId="0" fontId="40" fillId="3" borderId="1" xfId="0" applyFont="1" applyFill="1" applyBorder="1" applyAlignment="1" applyProtection="1">
      <alignment horizontal="left" vertical="center" wrapText="1"/>
      <protection locked="0"/>
    </xf>
    <xf numFmtId="0" fontId="0" fillId="14" borderId="1" xfId="0" applyFill="1" applyBorder="1" applyAlignment="1">
      <alignment horizontal="left"/>
    </xf>
    <xf numFmtId="0" fontId="0" fillId="14" borderId="1" xfId="0" applyFill="1" applyBorder="1" applyAlignment="1">
      <alignment horizontal="left" wrapText="1"/>
    </xf>
    <xf numFmtId="0" fontId="0" fillId="14" borderId="1" xfId="0" applyFill="1" applyBorder="1"/>
    <xf numFmtId="0" fontId="24" fillId="14" borderId="1" xfId="0" applyFont="1" applyFill="1" applyBorder="1" applyAlignment="1">
      <alignment horizontal="center" vertical="center"/>
    </xf>
    <xf numFmtId="0" fontId="24" fillId="14" borderId="1" xfId="0" applyFont="1" applyFill="1" applyBorder="1" applyAlignment="1">
      <alignment horizontal="center" vertical="center" wrapText="1"/>
    </xf>
    <xf numFmtId="0" fontId="24" fillId="0" borderId="0" xfId="0" applyFont="1" applyFill="1" applyAlignment="1"/>
    <xf numFmtId="0" fontId="24" fillId="14" borderId="5" xfId="0" applyFont="1" applyFill="1" applyBorder="1" applyAlignment="1">
      <alignment horizontal="center" vertical="center"/>
    </xf>
    <xf numFmtId="0" fontId="24" fillId="14" borderId="5" xfId="0" applyFont="1" applyFill="1" applyBorder="1" applyAlignment="1">
      <alignment horizontal="center" vertical="center" wrapText="1"/>
    </xf>
    <xf numFmtId="0" fontId="17" fillId="7" borderId="0" xfId="0" applyFont="1" applyFill="1" applyAlignment="1">
      <alignment horizontal="left" wrapText="1"/>
    </xf>
    <xf numFmtId="0" fontId="41" fillId="0" borderId="1" xfId="14" applyFill="1" applyBorder="1" applyAlignment="1" applyProtection="1">
      <alignment horizontal="center" vertical="center" wrapText="1"/>
      <protection locked="0"/>
    </xf>
    <xf numFmtId="0" fontId="6" fillId="0" borderId="1" xfId="0" applyFont="1" applyFill="1" applyBorder="1" applyAlignment="1" applyProtection="1">
      <alignment horizontal="center" vertical="center" wrapText="1"/>
      <protection locked="0"/>
    </xf>
    <xf numFmtId="0" fontId="41" fillId="3" borderId="1" xfId="14" applyFill="1" applyBorder="1" applyAlignment="1" applyProtection="1">
      <alignment horizontal="center" vertical="center" wrapText="1"/>
      <protection locked="0"/>
    </xf>
    <xf numFmtId="0" fontId="41" fillId="0" borderId="1" xfId="14" applyBorder="1" applyAlignment="1" applyProtection="1">
      <alignment horizontal="center" vertical="center"/>
      <protection locked="0"/>
    </xf>
    <xf numFmtId="0" fontId="35" fillId="4" borderId="25" xfId="0" applyFont="1" applyFill="1" applyBorder="1" applyAlignment="1">
      <alignment horizontal="center" wrapText="1"/>
    </xf>
    <xf numFmtId="0" fontId="35" fillId="4" borderId="26" xfId="0" applyFont="1" applyFill="1" applyBorder="1" applyAlignment="1">
      <alignment horizontal="center" vertical="center"/>
    </xf>
    <xf numFmtId="0" fontId="35" fillId="4" borderId="17" xfId="0" applyFont="1" applyFill="1" applyBorder="1" applyAlignment="1">
      <alignment horizontal="center" vertical="center" wrapText="1"/>
    </xf>
    <xf numFmtId="0" fontId="35" fillId="4" borderId="18" xfId="0" applyFont="1" applyFill="1" applyBorder="1" applyAlignment="1">
      <alignment horizontal="center" vertical="center"/>
    </xf>
    <xf numFmtId="0" fontId="0" fillId="14" borderId="1" xfId="0" applyFill="1" applyBorder="1" applyAlignment="1">
      <alignment wrapText="1"/>
    </xf>
    <xf numFmtId="0" fontId="0" fillId="14" borderId="1" xfId="0" applyFill="1" applyBorder="1" applyAlignment="1">
      <alignment vertical="top"/>
    </xf>
    <xf numFmtId="0" fontId="6" fillId="0" borderId="1" xfId="0" applyFont="1" applyFill="1" applyBorder="1" applyAlignment="1">
      <alignment horizontal="center" vertical="center" wrapText="1"/>
    </xf>
    <xf numFmtId="0" fontId="0" fillId="0" borderId="0" xfId="0" applyBorder="1" applyAlignment="1">
      <alignment horizontal="center" vertical="center"/>
    </xf>
    <xf numFmtId="0" fontId="0" fillId="0" borderId="0" xfId="0" applyFill="1" applyBorder="1" applyAlignment="1">
      <alignment horizontal="center" vertical="center"/>
    </xf>
    <xf numFmtId="0" fontId="1" fillId="2" borderId="1" xfId="0" applyFont="1" applyFill="1" applyBorder="1" applyAlignment="1">
      <alignment horizontal="left" vertical="center" wrapText="1"/>
    </xf>
    <xf numFmtId="0" fontId="43" fillId="14" borderId="0" xfId="0" applyFont="1" applyFill="1" applyAlignment="1">
      <alignment wrapText="1"/>
    </xf>
    <xf numFmtId="0" fontId="6" fillId="3" borderId="1"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6" fillId="3" borderId="1" xfId="0" applyFont="1" applyFill="1" applyBorder="1" applyAlignment="1">
      <alignment horizontal="left" vertical="center" wrapText="1"/>
    </xf>
    <xf numFmtId="0" fontId="41" fillId="0" borderId="34" xfId="14" applyBorder="1" applyAlignment="1" applyProtection="1">
      <alignment horizontal="left" vertical="center" wrapText="1"/>
      <protection locked="0"/>
    </xf>
    <xf numFmtId="0" fontId="0" fillId="0" borderId="20" xfId="0" applyBorder="1" applyAlignment="1" applyProtection="1">
      <alignment wrapText="1"/>
      <protection locked="0"/>
    </xf>
    <xf numFmtId="0" fontId="38" fillId="0" borderId="0" xfId="0" applyFont="1" applyAlignment="1">
      <alignment horizontal="center" vertical="top" wrapText="1"/>
    </xf>
    <xf numFmtId="0" fontId="42" fillId="15" borderId="0" xfId="0" applyFont="1" applyFill="1" applyAlignment="1">
      <alignment horizontal="left"/>
    </xf>
    <xf numFmtId="0" fontId="15" fillId="6" borderId="0" xfId="0" applyFont="1" applyFill="1" applyBorder="1" applyAlignment="1"/>
    <xf numFmtId="0" fontId="16" fillId="0" borderId="0" xfId="0" applyFont="1" applyBorder="1" applyAlignment="1"/>
    <xf numFmtId="0" fontId="15" fillId="6" borderId="0" xfId="0" applyFont="1" applyFill="1" applyAlignment="1">
      <alignment horizontal="left"/>
    </xf>
    <xf numFmtId="0" fontId="20" fillId="0" borderId="1" xfId="0" applyFont="1" applyBorder="1" applyAlignment="1">
      <alignment horizontal="left" vertical="center" wrapText="1"/>
    </xf>
    <xf numFmtId="0" fontId="20" fillId="0" borderId="1" xfId="0" applyFont="1" applyBorder="1" applyAlignment="1">
      <alignment horizontal="center" vertical="center" wrapText="1"/>
    </xf>
    <xf numFmtId="0" fontId="11" fillId="4" borderId="1" xfId="0" applyFont="1" applyFill="1" applyBorder="1" applyAlignment="1">
      <alignment horizontal="left"/>
    </xf>
    <xf numFmtId="0" fontId="20" fillId="0" borderId="1" xfId="0" applyFont="1" applyBorder="1" applyAlignment="1" applyProtection="1">
      <alignment horizontal="center" vertical="center" wrapText="1"/>
      <protection locked="0"/>
    </xf>
    <xf numFmtId="0" fontId="0" fillId="0" borderId="34" xfId="0" applyBorder="1" applyAlignment="1" applyProtection="1">
      <alignment horizontal="left" vertical="center" wrapText="1"/>
      <protection locked="0"/>
    </xf>
    <xf numFmtId="0" fontId="0" fillId="0" borderId="36" xfId="0" applyBorder="1" applyAlignment="1" applyProtection="1">
      <alignment horizontal="left" vertical="center" wrapText="1"/>
      <protection locked="0"/>
    </xf>
    <xf numFmtId="0" fontId="0" fillId="0" borderId="34" xfId="0" applyBorder="1" applyProtection="1">
      <protection locked="0"/>
    </xf>
    <xf numFmtId="0" fontId="0" fillId="0" borderId="36" xfId="0" applyBorder="1" applyProtection="1">
      <protection locked="0"/>
    </xf>
    <xf numFmtId="0" fontId="0" fillId="0" borderId="37" xfId="0" applyBorder="1" applyProtection="1">
      <protection locked="0"/>
    </xf>
    <xf numFmtId="0" fontId="0" fillId="0" borderId="38" xfId="0" applyBorder="1" applyProtection="1">
      <protection locked="0"/>
    </xf>
    <xf numFmtId="0" fontId="30" fillId="0" borderId="34" xfId="0" applyFont="1" applyFill="1" applyBorder="1" applyAlignment="1" applyProtection="1">
      <alignment horizontal="left" vertical="center" wrapText="1"/>
      <protection locked="0"/>
    </xf>
    <xf numFmtId="0" fontId="30" fillId="0" borderId="36" xfId="0" applyFont="1" applyFill="1" applyBorder="1" applyAlignment="1" applyProtection="1">
      <alignment horizontal="left" vertical="center" wrapText="1"/>
      <protection locked="0"/>
    </xf>
    <xf numFmtId="0" fontId="30" fillId="0" borderId="1" xfId="0" applyFont="1" applyFill="1" applyBorder="1" applyAlignment="1" applyProtection="1">
      <alignment horizontal="left" vertical="center" wrapText="1"/>
      <protection locked="0"/>
    </xf>
    <xf numFmtId="0" fontId="30" fillId="0" borderId="18" xfId="0" applyFont="1" applyFill="1" applyBorder="1" applyAlignment="1" applyProtection="1">
      <alignment horizontal="left" vertical="center" wrapText="1"/>
      <protection locked="0"/>
    </xf>
    <xf numFmtId="0" fontId="0" fillId="0" borderId="44" xfId="0" applyBorder="1" applyAlignment="1" applyProtection="1">
      <alignment horizontal="center"/>
      <protection locked="0"/>
    </xf>
    <xf numFmtId="0" fontId="0" fillId="0" borderId="45" xfId="0" applyBorder="1" applyAlignment="1" applyProtection="1">
      <alignment horizontal="center"/>
      <protection locked="0"/>
    </xf>
    <xf numFmtId="0" fontId="1" fillId="2" borderId="34" xfId="0" applyFont="1" applyFill="1" applyBorder="1" applyAlignment="1">
      <alignment horizontal="left" vertical="center"/>
    </xf>
    <xf numFmtId="0" fontId="1" fillId="2" borderId="35" xfId="0" applyFont="1" applyFill="1" applyBorder="1" applyAlignment="1">
      <alignment horizontal="left" vertical="center"/>
    </xf>
    <xf numFmtId="0" fontId="27" fillId="8" borderId="30" xfId="0" applyFont="1" applyFill="1" applyBorder="1" applyAlignment="1">
      <alignment horizontal="center" wrapText="1"/>
    </xf>
    <xf numFmtId="0" fontId="27" fillId="8" borderId="31" xfId="0" applyFont="1" applyFill="1" applyBorder="1" applyAlignment="1">
      <alignment horizontal="center" wrapText="1"/>
    </xf>
    <xf numFmtId="0" fontId="27" fillId="8" borderId="32" xfId="0" applyFont="1" applyFill="1" applyBorder="1" applyAlignment="1">
      <alignment horizontal="center" wrapText="1"/>
    </xf>
    <xf numFmtId="0" fontId="41" fillId="0" borderId="1" xfId="14" applyBorder="1" applyAlignment="1" applyProtection="1">
      <alignment horizontal="center" vertical="center" wrapText="1"/>
      <protection locked="0"/>
    </xf>
    <xf numFmtId="0" fontId="28" fillId="4" borderId="1" xfId="0" applyFont="1" applyFill="1" applyBorder="1" applyAlignment="1">
      <alignment horizontal="center" vertical="top" wrapText="1"/>
    </xf>
    <xf numFmtId="0" fontId="28" fillId="4" borderId="34" xfId="0" applyFont="1" applyFill="1" applyBorder="1" applyAlignment="1">
      <alignment horizontal="center" vertical="top" wrapText="1"/>
    </xf>
    <xf numFmtId="0" fontId="29" fillId="12" borderId="34" xfId="0" applyFont="1" applyFill="1" applyBorder="1" applyAlignment="1">
      <alignment horizontal="center" vertical="top" wrapText="1"/>
    </xf>
    <xf numFmtId="0" fontId="29" fillId="12" borderId="35" xfId="0" applyFont="1" applyFill="1" applyBorder="1" applyAlignment="1">
      <alignment horizontal="center" vertical="top" wrapText="1"/>
    </xf>
    <xf numFmtId="0" fontId="30" fillId="0" borderId="35" xfId="0" applyFont="1" applyFill="1" applyBorder="1" applyAlignment="1" applyProtection="1">
      <alignment horizontal="left" vertical="center" wrapText="1"/>
      <protection locked="0"/>
    </xf>
    <xf numFmtId="0" fontId="29" fillId="12" borderId="52" xfId="0" applyFont="1" applyFill="1" applyBorder="1" applyAlignment="1">
      <alignment horizontal="center" vertical="top" wrapText="1"/>
    </xf>
    <xf numFmtId="0" fontId="29" fillId="12" borderId="53" xfId="0" applyFont="1" applyFill="1" applyBorder="1" applyAlignment="1">
      <alignment horizontal="center" vertical="top" wrapText="1"/>
    </xf>
    <xf numFmtId="0" fontId="29" fillId="12" borderId="54" xfId="0" applyFont="1" applyFill="1" applyBorder="1" applyAlignment="1">
      <alignment horizontal="center" vertical="top" wrapText="1"/>
    </xf>
    <xf numFmtId="0" fontId="32" fillId="2" borderId="39" xfId="0" applyFont="1" applyFill="1" applyBorder="1" applyAlignment="1">
      <alignment wrapText="1"/>
    </xf>
    <xf numFmtId="0" fontId="32" fillId="2" borderId="40" xfId="0" applyFont="1" applyFill="1" applyBorder="1" applyAlignment="1">
      <alignment wrapText="1"/>
    </xf>
    <xf numFmtId="0" fontId="31" fillId="8" borderId="42" xfId="0" applyFont="1" applyFill="1" applyBorder="1" applyAlignment="1">
      <alignment horizontal="center" wrapText="1"/>
    </xf>
    <xf numFmtId="0" fontId="31" fillId="8" borderId="43" xfId="0" applyFont="1" applyFill="1" applyBorder="1" applyAlignment="1">
      <alignment horizontal="center" wrapText="1"/>
    </xf>
    <xf numFmtId="0" fontId="34" fillId="4" borderId="23" xfId="0" applyFont="1" applyFill="1" applyBorder="1" applyAlignment="1">
      <alignment horizontal="center"/>
    </xf>
    <xf numFmtId="0" fontId="34" fillId="4" borderId="24" xfId="0" applyFont="1" applyFill="1" applyBorder="1" applyAlignment="1">
      <alignment horizontal="center"/>
    </xf>
    <xf numFmtId="0" fontId="29" fillId="12" borderId="23" xfId="0" applyFont="1" applyFill="1" applyBorder="1" applyAlignment="1">
      <alignment vertical="top" wrapText="1"/>
    </xf>
    <xf numFmtId="0" fontId="29" fillId="12" borderId="5" xfId="0" applyFont="1" applyFill="1" applyBorder="1" applyAlignment="1">
      <alignment vertical="top" wrapText="1"/>
    </xf>
    <xf numFmtId="0" fontId="36" fillId="12" borderId="52" xfId="0" applyFont="1" applyFill="1" applyBorder="1" applyAlignment="1">
      <alignment horizontal="center" vertical="top" wrapText="1"/>
    </xf>
    <xf numFmtId="0" fontId="36" fillId="12" borderId="53" xfId="0" applyFont="1" applyFill="1" applyBorder="1" applyAlignment="1">
      <alignment horizontal="center" vertical="top" wrapText="1"/>
    </xf>
    <xf numFmtId="0" fontId="36" fillId="12" borderId="54" xfId="0" applyFont="1" applyFill="1" applyBorder="1" applyAlignment="1">
      <alignment horizontal="center" vertical="top" wrapText="1"/>
    </xf>
    <xf numFmtId="0" fontId="41" fillId="3" borderId="1" xfId="14" applyFill="1" applyBorder="1" applyAlignment="1" applyProtection="1">
      <alignment horizontal="center" vertical="center" wrapText="1"/>
      <protection locked="0"/>
    </xf>
    <xf numFmtId="0" fontId="6" fillId="3" borderId="1" xfId="0" applyFont="1" applyFill="1" applyBorder="1" applyAlignment="1">
      <alignment horizontal="left" vertical="center" wrapText="1"/>
    </xf>
    <xf numFmtId="0" fontId="6" fillId="3" borderId="1" xfId="0" applyFont="1" applyFill="1" applyBorder="1" applyAlignment="1">
      <alignment horizontal="center" vertical="center" wrapText="1"/>
    </xf>
    <xf numFmtId="0" fontId="6" fillId="3" borderId="22"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41" fillId="0" borderId="22" xfId="14" applyFill="1" applyBorder="1" applyAlignment="1" applyProtection="1">
      <alignment horizontal="center" vertical="center" wrapText="1"/>
      <protection locked="0"/>
    </xf>
    <xf numFmtId="0" fontId="41" fillId="0" borderId="51" xfId="14" applyFill="1" applyBorder="1" applyAlignment="1" applyProtection="1">
      <alignment horizontal="center" vertical="center" wrapText="1"/>
      <protection locked="0"/>
    </xf>
    <xf numFmtId="0" fontId="41" fillId="0" borderId="5" xfId="14" applyFill="1" applyBorder="1" applyAlignment="1" applyProtection="1">
      <alignment horizontal="center" vertical="center" wrapText="1"/>
      <protection locked="0"/>
    </xf>
    <xf numFmtId="0" fontId="6" fillId="3" borderId="22" xfId="0" applyFont="1" applyFill="1" applyBorder="1" applyAlignment="1">
      <alignment horizontal="left" vertical="center" wrapText="1"/>
    </xf>
    <xf numFmtId="0" fontId="6" fillId="3" borderId="51" xfId="0" applyFont="1" applyFill="1" applyBorder="1" applyAlignment="1">
      <alignment horizontal="left" vertical="center" wrapText="1"/>
    </xf>
    <xf numFmtId="0" fontId="6" fillId="3" borderId="5" xfId="0" applyFont="1" applyFill="1" applyBorder="1" applyAlignment="1">
      <alignment horizontal="left" vertical="center" wrapText="1"/>
    </xf>
    <xf numFmtId="0" fontId="6" fillId="3" borderId="51" xfId="0" applyFont="1" applyFill="1" applyBorder="1" applyAlignment="1">
      <alignment horizontal="center" vertical="center" wrapText="1"/>
    </xf>
    <xf numFmtId="0" fontId="11" fillId="2" borderId="1" xfId="0" applyFont="1" applyFill="1" applyBorder="1" applyAlignment="1">
      <alignment horizontal="left" vertical="center" wrapText="1"/>
    </xf>
    <xf numFmtId="0" fontId="8" fillId="2" borderId="1" xfId="0" applyFont="1" applyFill="1" applyBorder="1" applyAlignment="1">
      <alignment horizontal="left" vertical="center" wrapText="1"/>
    </xf>
    <xf numFmtId="0" fontId="41" fillId="0" borderId="1" xfId="14" applyFill="1" applyBorder="1" applyAlignment="1" applyProtection="1">
      <alignment horizontal="center" vertical="center" wrapText="1"/>
      <protection locked="0"/>
    </xf>
    <xf numFmtId="0" fontId="1" fillId="2" borderId="1" xfId="0" applyFont="1" applyFill="1" applyBorder="1" applyAlignment="1">
      <alignment horizontal="left" vertical="center" wrapText="1"/>
    </xf>
    <xf numFmtId="0" fontId="6" fillId="0" borderId="1" xfId="0" applyFont="1" applyFill="1" applyBorder="1" applyAlignment="1">
      <alignment horizontal="center" vertical="center" wrapText="1"/>
    </xf>
    <xf numFmtId="0" fontId="6" fillId="3" borderId="1" xfId="0" applyFont="1" applyFill="1" applyBorder="1" applyAlignment="1">
      <alignment vertical="center" wrapText="1"/>
    </xf>
    <xf numFmtId="0" fontId="0" fillId="0" borderId="22" xfId="0" applyBorder="1" applyAlignment="1">
      <alignment horizontal="center" vertical="center"/>
    </xf>
    <xf numFmtId="0" fontId="0" fillId="0" borderId="5" xfId="0" applyBorder="1" applyAlignment="1">
      <alignment horizontal="center" vertical="center"/>
    </xf>
    <xf numFmtId="0" fontId="41" fillId="3" borderId="1" xfId="14" applyFill="1" applyBorder="1" applyAlignment="1" applyProtection="1">
      <alignment horizontal="center" vertical="center"/>
      <protection locked="0"/>
    </xf>
    <xf numFmtId="0" fontId="6" fillId="3" borderId="1" xfId="0" applyFont="1" applyFill="1" applyBorder="1" applyAlignment="1">
      <alignment horizontal="left" vertical="center"/>
    </xf>
    <xf numFmtId="0" fontId="10" fillId="3" borderId="1" xfId="0" applyFont="1" applyFill="1" applyBorder="1" applyAlignment="1">
      <alignment horizontal="center" vertical="center"/>
    </xf>
    <xf numFmtId="0" fontId="6" fillId="3" borderId="22" xfId="0" applyFont="1" applyFill="1" applyBorder="1" applyAlignment="1">
      <alignment horizontal="center" vertical="center"/>
    </xf>
    <xf numFmtId="0" fontId="6" fillId="3" borderId="51" xfId="0" applyFont="1" applyFill="1" applyBorder="1" applyAlignment="1">
      <alignment horizontal="center" vertical="center"/>
    </xf>
    <xf numFmtId="0" fontId="6" fillId="3" borderId="5" xfId="0" applyFont="1" applyFill="1" applyBorder="1" applyAlignment="1">
      <alignment horizontal="center" vertical="center"/>
    </xf>
    <xf numFmtId="0" fontId="41" fillId="0" borderId="1" xfId="14" applyFill="1" applyBorder="1" applyAlignment="1" applyProtection="1">
      <alignment horizontal="center" vertical="center"/>
      <protection locked="0"/>
    </xf>
    <xf numFmtId="0" fontId="6" fillId="3" borderId="1" xfId="0" applyFont="1" applyFill="1" applyBorder="1" applyAlignment="1">
      <alignment horizontal="center" vertical="center"/>
    </xf>
    <xf numFmtId="0" fontId="10" fillId="3" borderId="22" xfId="0" applyFont="1" applyFill="1" applyBorder="1" applyAlignment="1">
      <alignment horizontal="center" vertical="center"/>
    </xf>
    <xf numFmtId="0" fontId="10" fillId="3" borderId="5" xfId="0" applyFont="1" applyFill="1" applyBorder="1" applyAlignment="1">
      <alignment horizontal="center" vertical="center"/>
    </xf>
    <xf numFmtId="0" fontId="10" fillId="3" borderId="51" xfId="0" applyFont="1" applyFill="1" applyBorder="1" applyAlignment="1">
      <alignment horizontal="center" vertical="center"/>
    </xf>
    <xf numFmtId="0" fontId="10" fillId="3" borderId="1" xfId="0" applyFont="1" applyFill="1" applyBorder="1" applyAlignment="1">
      <alignment horizontal="center" vertical="center" wrapText="1"/>
    </xf>
    <xf numFmtId="0" fontId="24" fillId="4" borderId="20" xfId="0" applyFont="1" applyFill="1" applyBorder="1" applyAlignment="1">
      <alignment horizontal="center"/>
    </xf>
    <xf numFmtId="0" fontId="24" fillId="4" borderId="22" xfId="0" applyFont="1" applyFill="1" applyBorder="1" applyAlignment="1">
      <alignment horizontal="center"/>
    </xf>
    <xf numFmtId="0" fontId="24" fillId="4" borderId="14" xfId="0" applyFont="1" applyFill="1" applyBorder="1" applyAlignment="1">
      <alignment horizontal="center" vertical="center" textRotation="90"/>
    </xf>
    <xf numFmtId="0" fontId="24" fillId="4" borderId="17" xfId="0" applyFont="1" applyFill="1" applyBorder="1" applyAlignment="1">
      <alignment horizontal="center" vertical="center" textRotation="90"/>
    </xf>
    <xf numFmtId="0" fontId="24" fillId="4" borderId="19" xfId="0" applyFont="1" applyFill="1" applyBorder="1" applyAlignment="1">
      <alignment horizontal="center" vertical="center" textRotation="90"/>
    </xf>
    <xf numFmtId="0" fontId="24" fillId="4" borderId="23" xfId="0" applyFont="1" applyFill="1" applyBorder="1" applyAlignment="1">
      <alignment horizontal="center" vertical="center" textRotation="90"/>
    </xf>
    <xf numFmtId="0" fontId="24" fillId="4" borderId="25" xfId="0" applyFont="1" applyFill="1" applyBorder="1" applyAlignment="1">
      <alignment horizontal="center" vertical="center" textRotation="90"/>
    </xf>
    <xf numFmtId="0" fontId="0" fillId="4" borderId="14" xfId="0" applyFill="1" applyBorder="1" applyAlignment="1">
      <alignment horizontal="center"/>
    </xf>
    <xf numFmtId="0" fontId="0" fillId="4" borderId="16" xfId="0" applyFill="1" applyBorder="1" applyAlignment="1">
      <alignment horizontal="center"/>
    </xf>
    <xf numFmtId="0" fontId="26" fillId="0" borderId="17" xfId="0" applyFont="1" applyBorder="1" applyAlignment="1">
      <alignment horizontal="center" vertical="center"/>
    </xf>
    <xf numFmtId="0" fontId="26" fillId="0" borderId="18" xfId="0" applyFont="1" applyBorder="1" applyAlignment="1">
      <alignment horizontal="center" vertical="center"/>
    </xf>
    <xf numFmtId="0" fontId="26" fillId="0" borderId="19" xfId="0" applyFont="1" applyBorder="1" applyAlignment="1">
      <alignment horizontal="center" vertical="center"/>
    </xf>
    <xf numFmtId="0" fontId="26" fillId="0" borderId="21" xfId="0" applyFont="1" applyBorder="1" applyAlignment="1">
      <alignment horizontal="center" vertical="center"/>
    </xf>
    <xf numFmtId="0" fontId="0" fillId="0" borderId="0" xfId="0" applyFill="1" applyBorder="1" applyAlignment="1">
      <alignment horizontal="center"/>
    </xf>
    <xf numFmtId="0" fontId="24" fillId="0" borderId="0" xfId="0" applyFont="1" applyFill="1" applyBorder="1" applyAlignment="1">
      <alignment horizontal="center" vertical="center" textRotation="90"/>
    </xf>
    <xf numFmtId="0" fontId="26" fillId="0" borderId="0" xfId="0" applyFont="1"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33" fillId="0" borderId="19" xfId="0" applyFont="1" applyFill="1" applyBorder="1" applyAlignment="1" applyProtection="1">
      <alignment horizontal="center" vertical="center" wrapText="1"/>
      <protection locked="0"/>
    </xf>
    <xf numFmtId="165" fontId="30" fillId="0" borderId="1" xfId="0" applyNumberFormat="1" applyFont="1" applyFill="1" applyBorder="1" applyAlignment="1" applyProtection="1">
      <alignment vertical="top" wrapText="1"/>
      <protection locked="0"/>
    </xf>
  </cellXfs>
  <cellStyles count="15">
    <cellStyle name="GridGroupingStyle" xfId="2" xr:uid="{00000000-0005-0000-0000-000000000000}"/>
    <cellStyle name="Hyperlink" xfId="14" builtinId="8"/>
    <cellStyle name="negativeColor" xfId="3" xr:uid="{00000000-0005-0000-0000-000002000000}"/>
    <cellStyle name="Normal" xfId="0" builtinId="0"/>
    <cellStyle name="Normal 2" xfId="1" xr:uid="{00000000-0005-0000-0000-000004000000}"/>
    <cellStyle name="ReportHeaderStyle" xfId="4" xr:uid="{00000000-0005-0000-0000-000005000000}"/>
    <cellStyle name="RowLevelNDataEvenStyle" xfId="5" xr:uid="{00000000-0005-0000-0000-000006000000}"/>
    <cellStyle name="RowLevelNDataOddStyle" xfId="6" xr:uid="{00000000-0005-0000-0000-000007000000}"/>
    <cellStyle name="RowLevelNHeaderStyle" xfId="7" xr:uid="{00000000-0005-0000-0000-000008000000}"/>
    <cellStyle name="RowLevelOneDataEvenStyle" xfId="8" xr:uid="{00000000-0005-0000-0000-000009000000}"/>
    <cellStyle name="RowLevelOneDataOddStyle" xfId="9" xr:uid="{00000000-0005-0000-0000-00000A000000}"/>
    <cellStyle name="RowLevelOneHeaderStyle" xfId="10" xr:uid="{00000000-0005-0000-0000-00000B000000}"/>
    <cellStyle name="RowLevelTwoDataEvenStyle" xfId="11" xr:uid="{00000000-0005-0000-0000-00000C000000}"/>
    <cellStyle name="RowLevelTwoDataOddStyle" xfId="12" xr:uid="{00000000-0005-0000-0000-00000D000000}"/>
    <cellStyle name="RowLevelTwoHeaderStyle" xfId="13" xr:uid="{00000000-0005-0000-0000-00000E000000}"/>
  </cellStyles>
  <dxfs count="158">
    <dxf>
      <fill>
        <patternFill>
          <bgColor theme="5" tint="0.39994506668294322"/>
        </patternFill>
      </fill>
    </dxf>
    <dxf>
      <fill>
        <patternFill>
          <bgColor theme="7" tint="0.39994506668294322"/>
        </patternFill>
      </fill>
    </dxf>
    <dxf>
      <fill>
        <patternFill>
          <bgColor theme="7" tint="0.39994506668294322"/>
        </patternFill>
      </fill>
    </dxf>
    <dxf>
      <fill>
        <patternFill>
          <bgColor theme="5" tint="0.39994506668294322"/>
        </patternFill>
      </fill>
    </dxf>
    <dxf>
      <fill>
        <patternFill>
          <bgColor theme="7" tint="0.39994506668294322"/>
        </patternFill>
      </fill>
    </dxf>
    <dxf>
      <fill>
        <patternFill>
          <bgColor theme="5" tint="0.39994506668294322"/>
        </patternFill>
      </fill>
    </dxf>
    <dxf>
      <fill>
        <patternFill>
          <bgColor theme="7" tint="0.39994506668294322"/>
        </patternFill>
      </fill>
    </dxf>
    <dxf>
      <fill>
        <patternFill>
          <bgColor theme="7" tint="0.39994506668294322"/>
        </patternFill>
      </fill>
    </dxf>
    <dxf>
      <fill>
        <patternFill>
          <bgColor theme="5" tint="0.39994506668294322"/>
        </patternFill>
      </fill>
    </dxf>
    <dxf>
      <fill>
        <patternFill>
          <bgColor theme="7" tint="0.39994506668294322"/>
        </patternFill>
      </fill>
    </dxf>
    <dxf>
      <fill>
        <patternFill>
          <bgColor theme="5" tint="0.39994506668294322"/>
        </patternFill>
      </fill>
    </dxf>
    <dxf>
      <fill>
        <patternFill>
          <bgColor theme="7" tint="0.39994506668294322"/>
        </patternFill>
      </fill>
    </dxf>
    <dxf>
      <fill>
        <patternFill>
          <bgColor theme="7" tint="0.39994506668294322"/>
        </patternFill>
      </fill>
    </dxf>
    <dxf>
      <fill>
        <patternFill>
          <bgColor theme="5" tint="0.39994506668294322"/>
        </patternFill>
      </fill>
    </dxf>
    <dxf>
      <fill>
        <patternFill>
          <bgColor theme="7" tint="0.39994506668294322"/>
        </patternFill>
      </fill>
    </dxf>
    <dxf>
      <fill>
        <patternFill>
          <bgColor theme="5" tint="0.39994506668294322"/>
        </patternFill>
      </fill>
    </dxf>
    <dxf>
      <fill>
        <patternFill>
          <bgColor theme="7" tint="0.39994506668294322"/>
        </patternFill>
      </fill>
    </dxf>
    <dxf>
      <fill>
        <patternFill>
          <bgColor theme="7" tint="0.39994506668294322"/>
        </patternFill>
      </fill>
    </dxf>
    <dxf>
      <fill>
        <patternFill>
          <bgColor theme="5" tint="0.39994506668294322"/>
        </patternFill>
      </fill>
    </dxf>
    <dxf>
      <fill>
        <patternFill>
          <bgColor theme="7" tint="0.39994506668294322"/>
        </patternFill>
      </fill>
    </dxf>
    <dxf>
      <fill>
        <patternFill>
          <bgColor theme="5" tint="0.39994506668294322"/>
        </patternFill>
      </fill>
    </dxf>
    <dxf>
      <fill>
        <patternFill>
          <bgColor theme="7" tint="0.39994506668294322"/>
        </patternFill>
      </fill>
    </dxf>
    <dxf>
      <fill>
        <patternFill>
          <bgColor theme="5" tint="0.39994506668294322"/>
        </patternFill>
      </fill>
    </dxf>
    <dxf>
      <fill>
        <patternFill>
          <bgColor theme="7" tint="0.39994506668294322"/>
        </patternFill>
      </fill>
    </dxf>
    <dxf>
      <fill>
        <patternFill>
          <bgColor theme="7" tint="0.39994506668294322"/>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strike/>
      </font>
      <fill>
        <patternFill>
          <bgColor theme="0" tint="-0.34998626667073579"/>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strike/>
      </font>
      <fill>
        <patternFill>
          <bgColor theme="0" tint="-0.34998626667073579"/>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strike/>
      </font>
      <fill>
        <patternFill>
          <bgColor theme="0" tint="-0.34998626667073579"/>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47"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of Responses by Control Family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multiLvlStrRef>
              <c:f>'Distribution Env1'!$A$1:$B$85</c:f>
              <c:multiLvlStrCache>
                <c:ptCount val="85"/>
                <c:lvl>
                  <c:pt idx="0">
                    <c:v>Yes</c:v>
                  </c:pt>
                  <c:pt idx="1">
                    <c:v>No</c:v>
                  </c:pt>
                  <c:pt idx="2">
                    <c:v>Partial</c:v>
                  </c:pt>
                  <c:pt idx="3">
                    <c:v>N/A</c:v>
                  </c:pt>
                  <c:pt idx="4">
                    <c:v>Blank</c:v>
                  </c:pt>
                  <c:pt idx="5">
                    <c:v>Yes</c:v>
                  </c:pt>
                  <c:pt idx="6">
                    <c:v>No</c:v>
                  </c:pt>
                  <c:pt idx="7">
                    <c:v>Partial</c:v>
                  </c:pt>
                  <c:pt idx="8">
                    <c:v>N/A</c:v>
                  </c:pt>
                  <c:pt idx="9">
                    <c:v>Blank</c:v>
                  </c:pt>
                  <c:pt idx="10">
                    <c:v>Yes</c:v>
                  </c:pt>
                  <c:pt idx="11">
                    <c:v>No</c:v>
                  </c:pt>
                  <c:pt idx="12">
                    <c:v>Partial</c:v>
                  </c:pt>
                  <c:pt idx="13">
                    <c:v>N/A</c:v>
                  </c:pt>
                  <c:pt idx="14">
                    <c:v>Blank</c:v>
                  </c:pt>
                  <c:pt idx="15">
                    <c:v>Yes</c:v>
                  </c:pt>
                  <c:pt idx="16">
                    <c:v>No</c:v>
                  </c:pt>
                  <c:pt idx="17">
                    <c:v>Partial</c:v>
                  </c:pt>
                  <c:pt idx="18">
                    <c:v>N/A</c:v>
                  </c:pt>
                  <c:pt idx="19">
                    <c:v>Blank</c:v>
                  </c:pt>
                  <c:pt idx="20">
                    <c:v>Yes</c:v>
                  </c:pt>
                  <c:pt idx="21">
                    <c:v>No</c:v>
                  </c:pt>
                  <c:pt idx="22">
                    <c:v>Partial</c:v>
                  </c:pt>
                  <c:pt idx="23">
                    <c:v>N/A</c:v>
                  </c:pt>
                  <c:pt idx="24">
                    <c:v>Blank</c:v>
                  </c:pt>
                  <c:pt idx="25">
                    <c:v>Yes</c:v>
                  </c:pt>
                  <c:pt idx="26">
                    <c:v>No</c:v>
                  </c:pt>
                  <c:pt idx="27">
                    <c:v>Partial</c:v>
                  </c:pt>
                  <c:pt idx="28">
                    <c:v>N/A</c:v>
                  </c:pt>
                  <c:pt idx="29">
                    <c:v>Blank</c:v>
                  </c:pt>
                  <c:pt idx="30">
                    <c:v>Yes</c:v>
                  </c:pt>
                  <c:pt idx="31">
                    <c:v>No</c:v>
                  </c:pt>
                  <c:pt idx="32">
                    <c:v>Partial</c:v>
                  </c:pt>
                  <c:pt idx="33">
                    <c:v>N/A</c:v>
                  </c:pt>
                  <c:pt idx="34">
                    <c:v>Blank</c:v>
                  </c:pt>
                  <c:pt idx="35">
                    <c:v>Yes</c:v>
                  </c:pt>
                  <c:pt idx="36">
                    <c:v>No</c:v>
                  </c:pt>
                  <c:pt idx="37">
                    <c:v>Partial</c:v>
                  </c:pt>
                  <c:pt idx="38">
                    <c:v>N/A</c:v>
                  </c:pt>
                  <c:pt idx="39">
                    <c:v>Blank</c:v>
                  </c:pt>
                  <c:pt idx="40">
                    <c:v>Yes</c:v>
                  </c:pt>
                  <c:pt idx="41">
                    <c:v>No</c:v>
                  </c:pt>
                  <c:pt idx="42">
                    <c:v>Partial</c:v>
                  </c:pt>
                  <c:pt idx="43">
                    <c:v>N/A</c:v>
                  </c:pt>
                  <c:pt idx="44">
                    <c:v>Blank</c:v>
                  </c:pt>
                  <c:pt idx="45">
                    <c:v>Yes</c:v>
                  </c:pt>
                  <c:pt idx="46">
                    <c:v>No</c:v>
                  </c:pt>
                  <c:pt idx="47">
                    <c:v>Partial</c:v>
                  </c:pt>
                  <c:pt idx="48">
                    <c:v>N/A</c:v>
                  </c:pt>
                  <c:pt idx="49">
                    <c:v>Blank</c:v>
                  </c:pt>
                  <c:pt idx="50">
                    <c:v>Yes</c:v>
                  </c:pt>
                  <c:pt idx="51">
                    <c:v>No</c:v>
                  </c:pt>
                  <c:pt idx="52">
                    <c:v>Partial</c:v>
                  </c:pt>
                  <c:pt idx="53">
                    <c:v>N/A</c:v>
                  </c:pt>
                  <c:pt idx="54">
                    <c:v>Blank</c:v>
                  </c:pt>
                  <c:pt idx="55">
                    <c:v>Yes</c:v>
                  </c:pt>
                  <c:pt idx="56">
                    <c:v>No</c:v>
                  </c:pt>
                  <c:pt idx="57">
                    <c:v>Partial</c:v>
                  </c:pt>
                  <c:pt idx="58">
                    <c:v>N/A</c:v>
                  </c:pt>
                  <c:pt idx="59">
                    <c:v>Blank</c:v>
                  </c:pt>
                  <c:pt idx="60">
                    <c:v>Yes</c:v>
                  </c:pt>
                  <c:pt idx="61">
                    <c:v>No</c:v>
                  </c:pt>
                  <c:pt idx="62">
                    <c:v>Partial</c:v>
                  </c:pt>
                  <c:pt idx="63">
                    <c:v>N/A</c:v>
                  </c:pt>
                  <c:pt idx="64">
                    <c:v>Blank</c:v>
                  </c:pt>
                  <c:pt idx="65">
                    <c:v>Yes</c:v>
                  </c:pt>
                  <c:pt idx="66">
                    <c:v>No</c:v>
                  </c:pt>
                  <c:pt idx="67">
                    <c:v>Partial</c:v>
                  </c:pt>
                  <c:pt idx="68">
                    <c:v>N/A</c:v>
                  </c:pt>
                  <c:pt idx="69">
                    <c:v>Blank</c:v>
                  </c:pt>
                  <c:pt idx="70">
                    <c:v>Yes</c:v>
                  </c:pt>
                  <c:pt idx="71">
                    <c:v>No</c:v>
                  </c:pt>
                  <c:pt idx="72">
                    <c:v>Partial</c:v>
                  </c:pt>
                  <c:pt idx="73">
                    <c:v>N/A</c:v>
                  </c:pt>
                  <c:pt idx="74">
                    <c:v>Blank</c:v>
                  </c:pt>
                  <c:pt idx="75">
                    <c:v>Yes</c:v>
                  </c:pt>
                  <c:pt idx="76">
                    <c:v>No</c:v>
                  </c:pt>
                  <c:pt idx="77">
                    <c:v>Partial</c:v>
                  </c:pt>
                  <c:pt idx="78">
                    <c:v>N/A</c:v>
                  </c:pt>
                  <c:pt idx="79">
                    <c:v>Blank</c:v>
                  </c:pt>
                  <c:pt idx="80">
                    <c:v>Yes</c:v>
                  </c:pt>
                  <c:pt idx="81">
                    <c:v>No</c:v>
                  </c:pt>
                  <c:pt idx="82">
                    <c:v>Partial</c:v>
                  </c:pt>
                  <c:pt idx="83">
                    <c:v>N/A</c:v>
                  </c:pt>
                  <c:pt idx="84">
                    <c:v>Blank</c:v>
                  </c:pt>
                </c:lvl>
                <c:lvl>
                  <c:pt idx="0">
                    <c:v>Access Controls</c:v>
                  </c:pt>
                  <c:pt idx="5">
                    <c:v>Awareness and Training</c:v>
                  </c:pt>
                  <c:pt idx="10">
                    <c:v>Audit and Accountability</c:v>
                  </c:pt>
                  <c:pt idx="15">
                    <c:v>Security Assessment</c:v>
                  </c:pt>
                  <c:pt idx="20">
                    <c:v>Configuration</c:v>
                  </c:pt>
                  <c:pt idx="25">
                    <c:v>Contingency Planning</c:v>
                  </c:pt>
                  <c:pt idx="30">
                    <c:v>Authentication &amp; Authorization</c:v>
                  </c:pt>
                  <c:pt idx="35">
                    <c:v>Incident Response</c:v>
                  </c:pt>
                  <c:pt idx="40">
                    <c:v>Maintenance</c:v>
                  </c:pt>
                  <c:pt idx="45">
                    <c:v>Media Protection</c:v>
                  </c:pt>
                  <c:pt idx="50">
                    <c:v>Physical Security</c:v>
                  </c:pt>
                  <c:pt idx="55">
                    <c:v>Planning</c:v>
                  </c:pt>
                  <c:pt idx="60">
                    <c:v>Personnel Security</c:v>
                  </c:pt>
                  <c:pt idx="65">
                    <c:v>Risk Assessments</c:v>
                  </c:pt>
                  <c:pt idx="70">
                    <c:v>System Acquisition</c:v>
                  </c:pt>
                  <c:pt idx="75">
                    <c:v>System Data Protection</c:v>
                  </c:pt>
                  <c:pt idx="80">
                    <c:v>System Data Integrity</c:v>
                  </c:pt>
                </c:lvl>
              </c:multiLvlStrCache>
            </c:multiLvlStrRef>
          </c:cat>
          <c:val>
            <c:numRef>
              <c:f>'Distribution Env1'!$C$1:$C$85</c:f>
              <c:numCache>
                <c:formatCode>General</c:formatCode>
                <c:ptCount val="85"/>
                <c:pt idx="0">
                  <c:v>0</c:v>
                </c:pt>
                <c:pt idx="1">
                  <c:v>0</c:v>
                </c:pt>
                <c:pt idx="2">
                  <c:v>0</c:v>
                </c:pt>
                <c:pt idx="3">
                  <c:v>0</c:v>
                </c:pt>
                <c:pt idx="4">
                  <c:v>33</c:v>
                </c:pt>
                <c:pt idx="5">
                  <c:v>0</c:v>
                </c:pt>
                <c:pt idx="6">
                  <c:v>0</c:v>
                </c:pt>
                <c:pt idx="7">
                  <c:v>0</c:v>
                </c:pt>
                <c:pt idx="8">
                  <c:v>0</c:v>
                </c:pt>
                <c:pt idx="9">
                  <c:v>5</c:v>
                </c:pt>
                <c:pt idx="10">
                  <c:v>0</c:v>
                </c:pt>
                <c:pt idx="11">
                  <c:v>0</c:v>
                </c:pt>
                <c:pt idx="12">
                  <c:v>0</c:v>
                </c:pt>
                <c:pt idx="13">
                  <c:v>0</c:v>
                </c:pt>
                <c:pt idx="14">
                  <c:v>13</c:v>
                </c:pt>
                <c:pt idx="15">
                  <c:v>0</c:v>
                </c:pt>
                <c:pt idx="16">
                  <c:v>0</c:v>
                </c:pt>
                <c:pt idx="17">
                  <c:v>0</c:v>
                </c:pt>
                <c:pt idx="18">
                  <c:v>0</c:v>
                </c:pt>
                <c:pt idx="19">
                  <c:v>17</c:v>
                </c:pt>
                <c:pt idx="20">
                  <c:v>0</c:v>
                </c:pt>
                <c:pt idx="21">
                  <c:v>0</c:v>
                </c:pt>
                <c:pt idx="22">
                  <c:v>0</c:v>
                </c:pt>
                <c:pt idx="23">
                  <c:v>0</c:v>
                </c:pt>
                <c:pt idx="24">
                  <c:v>0</c:v>
                </c:pt>
                <c:pt idx="25">
                  <c:v>0</c:v>
                </c:pt>
                <c:pt idx="26">
                  <c:v>0</c:v>
                </c:pt>
                <c:pt idx="27">
                  <c:v>0</c:v>
                </c:pt>
                <c:pt idx="28">
                  <c:v>0</c:v>
                </c:pt>
                <c:pt idx="29">
                  <c:v>13</c:v>
                </c:pt>
                <c:pt idx="30">
                  <c:v>0</c:v>
                </c:pt>
                <c:pt idx="31">
                  <c:v>0</c:v>
                </c:pt>
                <c:pt idx="32">
                  <c:v>0</c:v>
                </c:pt>
                <c:pt idx="33">
                  <c:v>0</c:v>
                </c:pt>
                <c:pt idx="34">
                  <c:v>19</c:v>
                </c:pt>
                <c:pt idx="35">
                  <c:v>0</c:v>
                </c:pt>
                <c:pt idx="36">
                  <c:v>0</c:v>
                </c:pt>
                <c:pt idx="37">
                  <c:v>0</c:v>
                </c:pt>
                <c:pt idx="38">
                  <c:v>0</c:v>
                </c:pt>
                <c:pt idx="39">
                  <c:v>12</c:v>
                </c:pt>
                <c:pt idx="40">
                  <c:v>0</c:v>
                </c:pt>
                <c:pt idx="41">
                  <c:v>0</c:v>
                </c:pt>
                <c:pt idx="42">
                  <c:v>0</c:v>
                </c:pt>
                <c:pt idx="43">
                  <c:v>0</c:v>
                </c:pt>
                <c:pt idx="44">
                  <c:v>16</c:v>
                </c:pt>
                <c:pt idx="45">
                  <c:v>0</c:v>
                </c:pt>
                <c:pt idx="46">
                  <c:v>0</c:v>
                </c:pt>
                <c:pt idx="47">
                  <c:v>0</c:v>
                </c:pt>
                <c:pt idx="48">
                  <c:v>0</c:v>
                </c:pt>
                <c:pt idx="49">
                  <c:v>10</c:v>
                </c:pt>
                <c:pt idx="50">
                  <c:v>0</c:v>
                </c:pt>
                <c:pt idx="51">
                  <c:v>0</c:v>
                </c:pt>
                <c:pt idx="52">
                  <c:v>0</c:v>
                </c:pt>
                <c:pt idx="53">
                  <c:v>0</c:v>
                </c:pt>
                <c:pt idx="54">
                  <c:v>27</c:v>
                </c:pt>
                <c:pt idx="55">
                  <c:v>0</c:v>
                </c:pt>
                <c:pt idx="56">
                  <c:v>0</c:v>
                </c:pt>
                <c:pt idx="57">
                  <c:v>0</c:v>
                </c:pt>
                <c:pt idx="58">
                  <c:v>0</c:v>
                </c:pt>
                <c:pt idx="59">
                  <c:v>13</c:v>
                </c:pt>
                <c:pt idx="60">
                  <c:v>0</c:v>
                </c:pt>
                <c:pt idx="61">
                  <c:v>0</c:v>
                </c:pt>
                <c:pt idx="62">
                  <c:v>0</c:v>
                </c:pt>
                <c:pt idx="63">
                  <c:v>0</c:v>
                </c:pt>
                <c:pt idx="64">
                  <c:v>11</c:v>
                </c:pt>
                <c:pt idx="65">
                  <c:v>0</c:v>
                </c:pt>
                <c:pt idx="66">
                  <c:v>0</c:v>
                </c:pt>
                <c:pt idx="67">
                  <c:v>0</c:v>
                </c:pt>
                <c:pt idx="68">
                  <c:v>0</c:v>
                </c:pt>
                <c:pt idx="69">
                  <c:v>4</c:v>
                </c:pt>
                <c:pt idx="70">
                  <c:v>0</c:v>
                </c:pt>
                <c:pt idx="71">
                  <c:v>0</c:v>
                </c:pt>
                <c:pt idx="72">
                  <c:v>0</c:v>
                </c:pt>
                <c:pt idx="73">
                  <c:v>0</c:v>
                </c:pt>
                <c:pt idx="74">
                  <c:v>0</c:v>
                </c:pt>
                <c:pt idx="75">
                  <c:v>0</c:v>
                </c:pt>
                <c:pt idx="76">
                  <c:v>0</c:v>
                </c:pt>
                <c:pt idx="77">
                  <c:v>0</c:v>
                </c:pt>
                <c:pt idx="78">
                  <c:v>0</c:v>
                </c:pt>
                <c:pt idx="79">
                  <c:v>27</c:v>
                </c:pt>
                <c:pt idx="80">
                  <c:v>0</c:v>
                </c:pt>
                <c:pt idx="81">
                  <c:v>0</c:v>
                </c:pt>
                <c:pt idx="82">
                  <c:v>0</c:v>
                </c:pt>
                <c:pt idx="83">
                  <c:v>0</c:v>
                </c:pt>
                <c:pt idx="84">
                  <c:v>14</c:v>
                </c:pt>
              </c:numCache>
            </c:numRef>
          </c:val>
          <c:extLst>
            <c:ext xmlns:c16="http://schemas.microsoft.com/office/drawing/2014/chart" uri="{C3380CC4-5D6E-409C-BE32-E72D297353CC}">
              <c16:uniqueId val="{00000000-909C-414D-8219-203EFA12BEE8}"/>
            </c:ext>
          </c:extLst>
        </c:ser>
        <c:dLbls>
          <c:showLegendKey val="0"/>
          <c:showVal val="0"/>
          <c:showCatName val="0"/>
          <c:showSerName val="0"/>
          <c:showPercent val="0"/>
          <c:showBubbleSize val="0"/>
        </c:dLbls>
        <c:gapWidth val="219"/>
        <c:overlap val="-27"/>
        <c:axId val="448604320"/>
        <c:axId val="434956632"/>
      </c:barChart>
      <c:catAx>
        <c:axId val="448604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956632"/>
        <c:crosses val="autoZero"/>
        <c:auto val="1"/>
        <c:lblAlgn val="ctr"/>
        <c:lblOffset val="100"/>
        <c:noMultiLvlLbl val="0"/>
      </c:catAx>
      <c:valAx>
        <c:axId val="434956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6043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of Responses by Control Family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multiLvlStrRef>
              <c:f>'Distribution Env2'!$A$1:$B$85</c:f>
              <c:multiLvlStrCache>
                <c:ptCount val="85"/>
                <c:lvl>
                  <c:pt idx="0">
                    <c:v>Yes</c:v>
                  </c:pt>
                  <c:pt idx="1">
                    <c:v>No</c:v>
                  </c:pt>
                  <c:pt idx="2">
                    <c:v>Partial</c:v>
                  </c:pt>
                  <c:pt idx="3">
                    <c:v>N/A</c:v>
                  </c:pt>
                  <c:pt idx="4">
                    <c:v>Blank</c:v>
                  </c:pt>
                  <c:pt idx="5">
                    <c:v>Yes</c:v>
                  </c:pt>
                  <c:pt idx="6">
                    <c:v>No</c:v>
                  </c:pt>
                  <c:pt idx="7">
                    <c:v>Partial</c:v>
                  </c:pt>
                  <c:pt idx="8">
                    <c:v>N/A</c:v>
                  </c:pt>
                  <c:pt idx="9">
                    <c:v>Blank</c:v>
                  </c:pt>
                  <c:pt idx="10">
                    <c:v>Yes</c:v>
                  </c:pt>
                  <c:pt idx="11">
                    <c:v>No</c:v>
                  </c:pt>
                  <c:pt idx="12">
                    <c:v>Partial</c:v>
                  </c:pt>
                  <c:pt idx="13">
                    <c:v>N/A</c:v>
                  </c:pt>
                  <c:pt idx="14">
                    <c:v>Blank</c:v>
                  </c:pt>
                  <c:pt idx="15">
                    <c:v>Yes</c:v>
                  </c:pt>
                  <c:pt idx="16">
                    <c:v>No</c:v>
                  </c:pt>
                  <c:pt idx="17">
                    <c:v>Partial</c:v>
                  </c:pt>
                  <c:pt idx="18">
                    <c:v>N/A</c:v>
                  </c:pt>
                  <c:pt idx="19">
                    <c:v>Blank</c:v>
                  </c:pt>
                  <c:pt idx="20">
                    <c:v>Yes</c:v>
                  </c:pt>
                  <c:pt idx="21">
                    <c:v>No</c:v>
                  </c:pt>
                  <c:pt idx="22">
                    <c:v>Partial</c:v>
                  </c:pt>
                  <c:pt idx="23">
                    <c:v>N/A</c:v>
                  </c:pt>
                  <c:pt idx="24">
                    <c:v>Blank</c:v>
                  </c:pt>
                  <c:pt idx="25">
                    <c:v>Yes</c:v>
                  </c:pt>
                  <c:pt idx="26">
                    <c:v>No</c:v>
                  </c:pt>
                  <c:pt idx="27">
                    <c:v>Partial</c:v>
                  </c:pt>
                  <c:pt idx="28">
                    <c:v>N/A</c:v>
                  </c:pt>
                  <c:pt idx="29">
                    <c:v>Blank</c:v>
                  </c:pt>
                  <c:pt idx="30">
                    <c:v>Yes</c:v>
                  </c:pt>
                  <c:pt idx="31">
                    <c:v>No</c:v>
                  </c:pt>
                  <c:pt idx="32">
                    <c:v>Partial</c:v>
                  </c:pt>
                  <c:pt idx="33">
                    <c:v>N/A</c:v>
                  </c:pt>
                  <c:pt idx="34">
                    <c:v>Blank</c:v>
                  </c:pt>
                  <c:pt idx="35">
                    <c:v>Yes</c:v>
                  </c:pt>
                  <c:pt idx="36">
                    <c:v>No</c:v>
                  </c:pt>
                  <c:pt idx="37">
                    <c:v>Partial</c:v>
                  </c:pt>
                  <c:pt idx="38">
                    <c:v>N/A</c:v>
                  </c:pt>
                  <c:pt idx="39">
                    <c:v>Blank</c:v>
                  </c:pt>
                  <c:pt idx="40">
                    <c:v>Yes</c:v>
                  </c:pt>
                  <c:pt idx="41">
                    <c:v>No</c:v>
                  </c:pt>
                  <c:pt idx="42">
                    <c:v>Partial</c:v>
                  </c:pt>
                  <c:pt idx="43">
                    <c:v>N/A</c:v>
                  </c:pt>
                  <c:pt idx="44">
                    <c:v>Blank</c:v>
                  </c:pt>
                  <c:pt idx="45">
                    <c:v>Yes</c:v>
                  </c:pt>
                  <c:pt idx="46">
                    <c:v>No</c:v>
                  </c:pt>
                  <c:pt idx="47">
                    <c:v>Partial</c:v>
                  </c:pt>
                  <c:pt idx="48">
                    <c:v>N/A</c:v>
                  </c:pt>
                  <c:pt idx="49">
                    <c:v>Blank</c:v>
                  </c:pt>
                  <c:pt idx="50">
                    <c:v>Yes</c:v>
                  </c:pt>
                  <c:pt idx="51">
                    <c:v>No</c:v>
                  </c:pt>
                  <c:pt idx="52">
                    <c:v>Partial</c:v>
                  </c:pt>
                  <c:pt idx="53">
                    <c:v>N/A</c:v>
                  </c:pt>
                  <c:pt idx="54">
                    <c:v>Blank</c:v>
                  </c:pt>
                  <c:pt idx="55">
                    <c:v>Yes</c:v>
                  </c:pt>
                  <c:pt idx="56">
                    <c:v>No</c:v>
                  </c:pt>
                  <c:pt idx="57">
                    <c:v>Partial</c:v>
                  </c:pt>
                  <c:pt idx="58">
                    <c:v>N/A</c:v>
                  </c:pt>
                  <c:pt idx="59">
                    <c:v>Blank</c:v>
                  </c:pt>
                  <c:pt idx="60">
                    <c:v>Yes</c:v>
                  </c:pt>
                  <c:pt idx="61">
                    <c:v>No</c:v>
                  </c:pt>
                  <c:pt idx="62">
                    <c:v>Partial</c:v>
                  </c:pt>
                  <c:pt idx="63">
                    <c:v>N/A</c:v>
                  </c:pt>
                  <c:pt idx="64">
                    <c:v>Blank</c:v>
                  </c:pt>
                  <c:pt idx="65">
                    <c:v>Yes</c:v>
                  </c:pt>
                  <c:pt idx="66">
                    <c:v>No</c:v>
                  </c:pt>
                  <c:pt idx="67">
                    <c:v>Partial</c:v>
                  </c:pt>
                  <c:pt idx="68">
                    <c:v>N/A</c:v>
                  </c:pt>
                  <c:pt idx="69">
                    <c:v>Blank</c:v>
                  </c:pt>
                  <c:pt idx="70">
                    <c:v>Yes</c:v>
                  </c:pt>
                  <c:pt idx="71">
                    <c:v>No</c:v>
                  </c:pt>
                  <c:pt idx="72">
                    <c:v>Partial</c:v>
                  </c:pt>
                  <c:pt idx="73">
                    <c:v>N/A</c:v>
                  </c:pt>
                  <c:pt idx="74">
                    <c:v>Blank</c:v>
                  </c:pt>
                  <c:pt idx="75">
                    <c:v>Yes</c:v>
                  </c:pt>
                  <c:pt idx="76">
                    <c:v>No</c:v>
                  </c:pt>
                  <c:pt idx="77">
                    <c:v>Partial</c:v>
                  </c:pt>
                  <c:pt idx="78">
                    <c:v>N/A</c:v>
                  </c:pt>
                  <c:pt idx="79">
                    <c:v>Blank</c:v>
                  </c:pt>
                  <c:pt idx="80">
                    <c:v>Yes</c:v>
                  </c:pt>
                  <c:pt idx="81">
                    <c:v>No</c:v>
                  </c:pt>
                  <c:pt idx="82">
                    <c:v>Partial</c:v>
                  </c:pt>
                  <c:pt idx="83">
                    <c:v>N/A</c:v>
                  </c:pt>
                  <c:pt idx="84">
                    <c:v>Blank</c:v>
                  </c:pt>
                </c:lvl>
                <c:lvl>
                  <c:pt idx="0">
                    <c:v>Access Controls</c:v>
                  </c:pt>
                  <c:pt idx="5">
                    <c:v>Awareness and Training</c:v>
                  </c:pt>
                  <c:pt idx="10">
                    <c:v>Audit and Accountability</c:v>
                  </c:pt>
                  <c:pt idx="15">
                    <c:v>Security Assessment</c:v>
                  </c:pt>
                  <c:pt idx="20">
                    <c:v>Configuration</c:v>
                  </c:pt>
                  <c:pt idx="25">
                    <c:v>Contingency Planning</c:v>
                  </c:pt>
                  <c:pt idx="30">
                    <c:v>Authentication &amp; Authorization</c:v>
                  </c:pt>
                  <c:pt idx="35">
                    <c:v>Incident Response</c:v>
                  </c:pt>
                  <c:pt idx="40">
                    <c:v>Maintenance</c:v>
                  </c:pt>
                  <c:pt idx="45">
                    <c:v>Media Protection</c:v>
                  </c:pt>
                  <c:pt idx="50">
                    <c:v>Physical Security</c:v>
                  </c:pt>
                  <c:pt idx="55">
                    <c:v>Planning</c:v>
                  </c:pt>
                  <c:pt idx="60">
                    <c:v>Personnel Security</c:v>
                  </c:pt>
                  <c:pt idx="65">
                    <c:v>Risk Assessments</c:v>
                  </c:pt>
                  <c:pt idx="70">
                    <c:v>System Acquisition</c:v>
                  </c:pt>
                  <c:pt idx="75">
                    <c:v>System Data Protection</c:v>
                  </c:pt>
                  <c:pt idx="80">
                    <c:v>System Data Integrity</c:v>
                  </c:pt>
                </c:lvl>
              </c:multiLvlStrCache>
            </c:multiLvlStrRef>
          </c:cat>
          <c:val>
            <c:numRef>
              <c:f>'Distribution Env2'!$C$1:$C$85</c:f>
              <c:numCache>
                <c:formatCode>General</c:formatCode>
                <c:ptCount val="85"/>
                <c:pt idx="0">
                  <c:v>0</c:v>
                </c:pt>
                <c:pt idx="1">
                  <c:v>0</c:v>
                </c:pt>
                <c:pt idx="2">
                  <c:v>0</c:v>
                </c:pt>
                <c:pt idx="3">
                  <c:v>0</c:v>
                </c:pt>
                <c:pt idx="4">
                  <c:v>33</c:v>
                </c:pt>
                <c:pt idx="5">
                  <c:v>0</c:v>
                </c:pt>
                <c:pt idx="6">
                  <c:v>0</c:v>
                </c:pt>
                <c:pt idx="7">
                  <c:v>0</c:v>
                </c:pt>
                <c:pt idx="8">
                  <c:v>0</c:v>
                </c:pt>
                <c:pt idx="9">
                  <c:v>5</c:v>
                </c:pt>
                <c:pt idx="10">
                  <c:v>0</c:v>
                </c:pt>
                <c:pt idx="11">
                  <c:v>0</c:v>
                </c:pt>
                <c:pt idx="12">
                  <c:v>0</c:v>
                </c:pt>
                <c:pt idx="13">
                  <c:v>0</c:v>
                </c:pt>
                <c:pt idx="14">
                  <c:v>13</c:v>
                </c:pt>
                <c:pt idx="15">
                  <c:v>0</c:v>
                </c:pt>
                <c:pt idx="16">
                  <c:v>0</c:v>
                </c:pt>
                <c:pt idx="17">
                  <c:v>0</c:v>
                </c:pt>
                <c:pt idx="18">
                  <c:v>0</c:v>
                </c:pt>
                <c:pt idx="19">
                  <c:v>17</c:v>
                </c:pt>
                <c:pt idx="20">
                  <c:v>0</c:v>
                </c:pt>
                <c:pt idx="21">
                  <c:v>0</c:v>
                </c:pt>
                <c:pt idx="22">
                  <c:v>0</c:v>
                </c:pt>
                <c:pt idx="23">
                  <c:v>0</c:v>
                </c:pt>
                <c:pt idx="24">
                  <c:v>0</c:v>
                </c:pt>
                <c:pt idx="25">
                  <c:v>0</c:v>
                </c:pt>
                <c:pt idx="26">
                  <c:v>0</c:v>
                </c:pt>
                <c:pt idx="27">
                  <c:v>0</c:v>
                </c:pt>
                <c:pt idx="28">
                  <c:v>0</c:v>
                </c:pt>
                <c:pt idx="29">
                  <c:v>13</c:v>
                </c:pt>
                <c:pt idx="30">
                  <c:v>0</c:v>
                </c:pt>
                <c:pt idx="31">
                  <c:v>0</c:v>
                </c:pt>
                <c:pt idx="32">
                  <c:v>0</c:v>
                </c:pt>
                <c:pt idx="33">
                  <c:v>0</c:v>
                </c:pt>
                <c:pt idx="34">
                  <c:v>19</c:v>
                </c:pt>
                <c:pt idx="35">
                  <c:v>0</c:v>
                </c:pt>
                <c:pt idx="36">
                  <c:v>0</c:v>
                </c:pt>
                <c:pt idx="37">
                  <c:v>0</c:v>
                </c:pt>
                <c:pt idx="38">
                  <c:v>0</c:v>
                </c:pt>
                <c:pt idx="39">
                  <c:v>12</c:v>
                </c:pt>
                <c:pt idx="40">
                  <c:v>0</c:v>
                </c:pt>
                <c:pt idx="41">
                  <c:v>0</c:v>
                </c:pt>
                <c:pt idx="42">
                  <c:v>0</c:v>
                </c:pt>
                <c:pt idx="43">
                  <c:v>0</c:v>
                </c:pt>
                <c:pt idx="44">
                  <c:v>16</c:v>
                </c:pt>
                <c:pt idx="45">
                  <c:v>0</c:v>
                </c:pt>
                <c:pt idx="46">
                  <c:v>0</c:v>
                </c:pt>
                <c:pt idx="47">
                  <c:v>0</c:v>
                </c:pt>
                <c:pt idx="48">
                  <c:v>0</c:v>
                </c:pt>
                <c:pt idx="49">
                  <c:v>10</c:v>
                </c:pt>
                <c:pt idx="50">
                  <c:v>0</c:v>
                </c:pt>
                <c:pt idx="51">
                  <c:v>0</c:v>
                </c:pt>
                <c:pt idx="52">
                  <c:v>0</c:v>
                </c:pt>
                <c:pt idx="53">
                  <c:v>0</c:v>
                </c:pt>
                <c:pt idx="54">
                  <c:v>27</c:v>
                </c:pt>
                <c:pt idx="55">
                  <c:v>0</c:v>
                </c:pt>
                <c:pt idx="56">
                  <c:v>0</c:v>
                </c:pt>
                <c:pt idx="57">
                  <c:v>0</c:v>
                </c:pt>
                <c:pt idx="58">
                  <c:v>0</c:v>
                </c:pt>
                <c:pt idx="59">
                  <c:v>13</c:v>
                </c:pt>
                <c:pt idx="60">
                  <c:v>0</c:v>
                </c:pt>
                <c:pt idx="61">
                  <c:v>0</c:v>
                </c:pt>
                <c:pt idx="62">
                  <c:v>0</c:v>
                </c:pt>
                <c:pt idx="63">
                  <c:v>0</c:v>
                </c:pt>
                <c:pt idx="64">
                  <c:v>11</c:v>
                </c:pt>
                <c:pt idx="65">
                  <c:v>0</c:v>
                </c:pt>
                <c:pt idx="66">
                  <c:v>0</c:v>
                </c:pt>
                <c:pt idx="67">
                  <c:v>0</c:v>
                </c:pt>
                <c:pt idx="68">
                  <c:v>0</c:v>
                </c:pt>
                <c:pt idx="69">
                  <c:v>4</c:v>
                </c:pt>
                <c:pt idx="70">
                  <c:v>0</c:v>
                </c:pt>
                <c:pt idx="71">
                  <c:v>0</c:v>
                </c:pt>
                <c:pt idx="72">
                  <c:v>0</c:v>
                </c:pt>
                <c:pt idx="73">
                  <c:v>0</c:v>
                </c:pt>
                <c:pt idx="74">
                  <c:v>0</c:v>
                </c:pt>
                <c:pt idx="75">
                  <c:v>0</c:v>
                </c:pt>
                <c:pt idx="76">
                  <c:v>0</c:v>
                </c:pt>
                <c:pt idx="77">
                  <c:v>0</c:v>
                </c:pt>
                <c:pt idx="78">
                  <c:v>0</c:v>
                </c:pt>
                <c:pt idx="79">
                  <c:v>27</c:v>
                </c:pt>
                <c:pt idx="80">
                  <c:v>0</c:v>
                </c:pt>
                <c:pt idx="81">
                  <c:v>0</c:v>
                </c:pt>
                <c:pt idx="82">
                  <c:v>0</c:v>
                </c:pt>
                <c:pt idx="83">
                  <c:v>0</c:v>
                </c:pt>
                <c:pt idx="84">
                  <c:v>14</c:v>
                </c:pt>
              </c:numCache>
            </c:numRef>
          </c:val>
          <c:extLst>
            <c:ext xmlns:c16="http://schemas.microsoft.com/office/drawing/2014/chart" uri="{C3380CC4-5D6E-409C-BE32-E72D297353CC}">
              <c16:uniqueId val="{00000000-DA25-4000-8EC9-6E0DB7896DFD}"/>
            </c:ext>
          </c:extLst>
        </c:ser>
        <c:dLbls>
          <c:showLegendKey val="0"/>
          <c:showVal val="0"/>
          <c:showCatName val="0"/>
          <c:showSerName val="0"/>
          <c:showPercent val="0"/>
          <c:showBubbleSize val="0"/>
        </c:dLbls>
        <c:gapWidth val="219"/>
        <c:overlap val="-27"/>
        <c:axId val="448604320"/>
        <c:axId val="434956632"/>
      </c:barChart>
      <c:catAx>
        <c:axId val="448604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956632"/>
        <c:crosses val="autoZero"/>
        <c:auto val="1"/>
        <c:lblAlgn val="ctr"/>
        <c:lblOffset val="100"/>
        <c:noMultiLvlLbl val="0"/>
      </c:catAx>
      <c:valAx>
        <c:axId val="434956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6043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of Responses by Control Family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multiLvlStrRef>
              <c:f>'Distribution Env3'!$A$1:$B$85</c:f>
              <c:multiLvlStrCache>
                <c:ptCount val="85"/>
                <c:lvl>
                  <c:pt idx="0">
                    <c:v>Yes</c:v>
                  </c:pt>
                  <c:pt idx="1">
                    <c:v>No</c:v>
                  </c:pt>
                  <c:pt idx="2">
                    <c:v>Partial</c:v>
                  </c:pt>
                  <c:pt idx="3">
                    <c:v>N/A</c:v>
                  </c:pt>
                  <c:pt idx="4">
                    <c:v>Blank</c:v>
                  </c:pt>
                  <c:pt idx="5">
                    <c:v>Yes</c:v>
                  </c:pt>
                  <c:pt idx="6">
                    <c:v>No</c:v>
                  </c:pt>
                  <c:pt idx="7">
                    <c:v>Partial</c:v>
                  </c:pt>
                  <c:pt idx="8">
                    <c:v>N/A</c:v>
                  </c:pt>
                  <c:pt idx="9">
                    <c:v>Blank</c:v>
                  </c:pt>
                  <c:pt idx="10">
                    <c:v>Yes</c:v>
                  </c:pt>
                  <c:pt idx="11">
                    <c:v>No</c:v>
                  </c:pt>
                  <c:pt idx="12">
                    <c:v>Partial</c:v>
                  </c:pt>
                  <c:pt idx="13">
                    <c:v>N/A</c:v>
                  </c:pt>
                  <c:pt idx="14">
                    <c:v>Blank</c:v>
                  </c:pt>
                  <c:pt idx="15">
                    <c:v>Yes</c:v>
                  </c:pt>
                  <c:pt idx="16">
                    <c:v>No</c:v>
                  </c:pt>
                  <c:pt idx="17">
                    <c:v>Partial</c:v>
                  </c:pt>
                  <c:pt idx="18">
                    <c:v>N/A</c:v>
                  </c:pt>
                  <c:pt idx="19">
                    <c:v>Blank</c:v>
                  </c:pt>
                  <c:pt idx="20">
                    <c:v>Yes</c:v>
                  </c:pt>
                  <c:pt idx="21">
                    <c:v>No</c:v>
                  </c:pt>
                  <c:pt idx="22">
                    <c:v>Partial</c:v>
                  </c:pt>
                  <c:pt idx="23">
                    <c:v>N/A</c:v>
                  </c:pt>
                  <c:pt idx="24">
                    <c:v>Blank</c:v>
                  </c:pt>
                  <c:pt idx="25">
                    <c:v>Yes</c:v>
                  </c:pt>
                  <c:pt idx="26">
                    <c:v>No</c:v>
                  </c:pt>
                  <c:pt idx="27">
                    <c:v>Partial</c:v>
                  </c:pt>
                  <c:pt idx="28">
                    <c:v>N/A</c:v>
                  </c:pt>
                  <c:pt idx="29">
                    <c:v>Blank</c:v>
                  </c:pt>
                  <c:pt idx="30">
                    <c:v>Yes</c:v>
                  </c:pt>
                  <c:pt idx="31">
                    <c:v>No</c:v>
                  </c:pt>
                  <c:pt idx="32">
                    <c:v>Partial</c:v>
                  </c:pt>
                  <c:pt idx="33">
                    <c:v>N/A</c:v>
                  </c:pt>
                  <c:pt idx="34">
                    <c:v>Blank</c:v>
                  </c:pt>
                  <c:pt idx="35">
                    <c:v>Yes</c:v>
                  </c:pt>
                  <c:pt idx="36">
                    <c:v>No</c:v>
                  </c:pt>
                  <c:pt idx="37">
                    <c:v>Partial</c:v>
                  </c:pt>
                  <c:pt idx="38">
                    <c:v>N/A</c:v>
                  </c:pt>
                  <c:pt idx="39">
                    <c:v>Blank</c:v>
                  </c:pt>
                  <c:pt idx="40">
                    <c:v>Yes</c:v>
                  </c:pt>
                  <c:pt idx="41">
                    <c:v>No</c:v>
                  </c:pt>
                  <c:pt idx="42">
                    <c:v>Partial</c:v>
                  </c:pt>
                  <c:pt idx="43">
                    <c:v>N/A</c:v>
                  </c:pt>
                  <c:pt idx="44">
                    <c:v>Blank</c:v>
                  </c:pt>
                  <c:pt idx="45">
                    <c:v>Yes</c:v>
                  </c:pt>
                  <c:pt idx="46">
                    <c:v>No</c:v>
                  </c:pt>
                  <c:pt idx="47">
                    <c:v>Partial</c:v>
                  </c:pt>
                  <c:pt idx="48">
                    <c:v>N/A</c:v>
                  </c:pt>
                  <c:pt idx="49">
                    <c:v>Blank</c:v>
                  </c:pt>
                  <c:pt idx="50">
                    <c:v>Yes</c:v>
                  </c:pt>
                  <c:pt idx="51">
                    <c:v>No</c:v>
                  </c:pt>
                  <c:pt idx="52">
                    <c:v>Partial</c:v>
                  </c:pt>
                  <c:pt idx="53">
                    <c:v>N/A</c:v>
                  </c:pt>
                  <c:pt idx="54">
                    <c:v>Blank</c:v>
                  </c:pt>
                  <c:pt idx="55">
                    <c:v>Yes</c:v>
                  </c:pt>
                  <c:pt idx="56">
                    <c:v>No</c:v>
                  </c:pt>
                  <c:pt idx="57">
                    <c:v>Partial</c:v>
                  </c:pt>
                  <c:pt idx="58">
                    <c:v>N/A</c:v>
                  </c:pt>
                  <c:pt idx="59">
                    <c:v>Blank</c:v>
                  </c:pt>
                  <c:pt idx="60">
                    <c:v>Yes</c:v>
                  </c:pt>
                  <c:pt idx="61">
                    <c:v>No</c:v>
                  </c:pt>
                  <c:pt idx="62">
                    <c:v>Partial</c:v>
                  </c:pt>
                  <c:pt idx="63">
                    <c:v>N/A</c:v>
                  </c:pt>
                  <c:pt idx="64">
                    <c:v>Blank</c:v>
                  </c:pt>
                  <c:pt idx="65">
                    <c:v>Yes</c:v>
                  </c:pt>
                  <c:pt idx="66">
                    <c:v>No</c:v>
                  </c:pt>
                  <c:pt idx="67">
                    <c:v>Partial</c:v>
                  </c:pt>
                  <c:pt idx="68">
                    <c:v>N/A</c:v>
                  </c:pt>
                  <c:pt idx="69">
                    <c:v>Blank</c:v>
                  </c:pt>
                  <c:pt idx="70">
                    <c:v>Yes</c:v>
                  </c:pt>
                  <c:pt idx="71">
                    <c:v>No</c:v>
                  </c:pt>
                  <c:pt idx="72">
                    <c:v>Partial</c:v>
                  </c:pt>
                  <c:pt idx="73">
                    <c:v>N/A</c:v>
                  </c:pt>
                  <c:pt idx="74">
                    <c:v>Blank</c:v>
                  </c:pt>
                  <c:pt idx="75">
                    <c:v>Yes</c:v>
                  </c:pt>
                  <c:pt idx="76">
                    <c:v>No</c:v>
                  </c:pt>
                  <c:pt idx="77">
                    <c:v>Partial</c:v>
                  </c:pt>
                  <c:pt idx="78">
                    <c:v>N/A</c:v>
                  </c:pt>
                  <c:pt idx="79">
                    <c:v>Blank</c:v>
                  </c:pt>
                  <c:pt idx="80">
                    <c:v>Yes</c:v>
                  </c:pt>
                  <c:pt idx="81">
                    <c:v>No</c:v>
                  </c:pt>
                  <c:pt idx="82">
                    <c:v>Partial</c:v>
                  </c:pt>
                  <c:pt idx="83">
                    <c:v>N/A</c:v>
                  </c:pt>
                  <c:pt idx="84">
                    <c:v>Blank</c:v>
                  </c:pt>
                </c:lvl>
                <c:lvl>
                  <c:pt idx="0">
                    <c:v>Access Controls</c:v>
                  </c:pt>
                  <c:pt idx="5">
                    <c:v>Awareness and Training</c:v>
                  </c:pt>
                  <c:pt idx="10">
                    <c:v>Audit and Accountability</c:v>
                  </c:pt>
                  <c:pt idx="15">
                    <c:v>Security Assessment</c:v>
                  </c:pt>
                  <c:pt idx="20">
                    <c:v>Configuration</c:v>
                  </c:pt>
                  <c:pt idx="25">
                    <c:v>Contingency Planning</c:v>
                  </c:pt>
                  <c:pt idx="30">
                    <c:v>Authentication &amp; Authorization</c:v>
                  </c:pt>
                  <c:pt idx="35">
                    <c:v>Incident Response</c:v>
                  </c:pt>
                  <c:pt idx="40">
                    <c:v>Maintenance</c:v>
                  </c:pt>
                  <c:pt idx="45">
                    <c:v>Media Protection</c:v>
                  </c:pt>
                  <c:pt idx="50">
                    <c:v>Physical Security</c:v>
                  </c:pt>
                  <c:pt idx="55">
                    <c:v>Planning</c:v>
                  </c:pt>
                  <c:pt idx="60">
                    <c:v>Personnel Security</c:v>
                  </c:pt>
                  <c:pt idx="65">
                    <c:v>Risk Assessments</c:v>
                  </c:pt>
                  <c:pt idx="70">
                    <c:v>System Acquisition</c:v>
                  </c:pt>
                  <c:pt idx="75">
                    <c:v>System Data Protection</c:v>
                  </c:pt>
                  <c:pt idx="80">
                    <c:v>System Data Integrity</c:v>
                  </c:pt>
                </c:lvl>
              </c:multiLvlStrCache>
            </c:multiLvlStrRef>
          </c:cat>
          <c:val>
            <c:numRef>
              <c:f>'Distribution Env3'!$C$1:$C$85</c:f>
              <c:numCache>
                <c:formatCode>General</c:formatCode>
                <c:ptCount val="85"/>
                <c:pt idx="0">
                  <c:v>0</c:v>
                </c:pt>
                <c:pt idx="1">
                  <c:v>0</c:v>
                </c:pt>
                <c:pt idx="2">
                  <c:v>0</c:v>
                </c:pt>
                <c:pt idx="3">
                  <c:v>0</c:v>
                </c:pt>
                <c:pt idx="4">
                  <c:v>33</c:v>
                </c:pt>
                <c:pt idx="5">
                  <c:v>0</c:v>
                </c:pt>
                <c:pt idx="6">
                  <c:v>0</c:v>
                </c:pt>
                <c:pt idx="7">
                  <c:v>0</c:v>
                </c:pt>
                <c:pt idx="8">
                  <c:v>0</c:v>
                </c:pt>
                <c:pt idx="9">
                  <c:v>5</c:v>
                </c:pt>
                <c:pt idx="10">
                  <c:v>0</c:v>
                </c:pt>
                <c:pt idx="11">
                  <c:v>0</c:v>
                </c:pt>
                <c:pt idx="12">
                  <c:v>0</c:v>
                </c:pt>
                <c:pt idx="13">
                  <c:v>0</c:v>
                </c:pt>
                <c:pt idx="14">
                  <c:v>13</c:v>
                </c:pt>
                <c:pt idx="15">
                  <c:v>0</c:v>
                </c:pt>
                <c:pt idx="16">
                  <c:v>0</c:v>
                </c:pt>
                <c:pt idx="17">
                  <c:v>0</c:v>
                </c:pt>
                <c:pt idx="18">
                  <c:v>0</c:v>
                </c:pt>
                <c:pt idx="19">
                  <c:v>17</c:v>
                </c:pt>
                <c:pt idx="20">
                  <c:v>0</c:v>
                </c:pt>
                <c:pt idx="21">
                  <c:v>0</c:v>
                </c:pt>
                <c:pt idx="22">
                  <c:v>0</c:v>
                </c:pt>
                <c:pt idx="23">
                  <c:v>0</c:v>
                </c:pt>
                <c:pt idx="24">
                  <c:v>0</c:v>
                </c:pt>
                <c:pt idx="25">
                  <c:v>0</c:v>
                </c:pt>
                <c:pt idx="26">
                  <c:v>0</c:v>
                </c:pt>
                <c:pt idx="27">
                  <c:v>0</c:v>
                </c:pt>
                <c:pt idx="28">
                  <c:v>0</c:v>
                </c:pt>
                <c:pt idx="29">
                  <c:v>13</c:v>
                </c:pt>
                <c:pt idx="30">
                  <c:v>0</c:v>
                </c:pt>
                <c:pt idx="31">
                  <c:v>0</c:v>
                </c:pt>
                <c:pt idx="32">
                  <c:v>0</c:v>
                </c:pt>
                <c:pt idx="33">
                  <c:v>0</c:v>
                </c:pt>
                <c:pt idx="34">
                  <c:v>19</c:v>
                </c:pt>
                <c:pt idx="35">
                  <c:v>0</c:v>
                </c:pt>
                <c:pt idx="36">
                  <c:v>0</c:v>
                </c:pt>
                <c:pt idx="37">
                  <c:v>0</c:v>
                </c:pt>
                <c:pt idx="38">
                  <c:v>0</c:v>
                </c:pt>
                <c:pt idx="39">
                  <c:v>12</c:v>
                </c:pt>
                <c:pt idx="40">
                  <c:v>0</c:v>
                </c:pt>
                <c:pt idx="41">
                  <c:v>0</c:v>
                </c:pt>
                <c:pt idx="42">
                  <c:v>0</c:v>
                </c:pt>
                <c:pt idx="43">
                  <c:v>0</c:v>
                </c:pt>
                <c:pt idx="44">
                  <c:v>16</c:v>
                </c:pt>
                <c:pt idx="45">
                  <c:v>0</c:v>
                </c:pt>
                <c:pt idx="46">
                  <c:v>0</c:v>
                </c:pt>
                <c:pt idx="47">
                  <c:v>0</c:v>
                </c:pt>
                <c:pt idx="48">
                  <c:v>0</c:v>
                </c:pt>
                <c:pt idx="49">
                  <c:v>10</c:v>
                </c:pt>
                <c:pt idx="50">
                  <c:v>0</c:v>
                </c:pt>
                <c:pt idx="51">
                  <c:v>0</c:v>
                </c:pt>
                <c:pt idx="52">
                  <c:v>0</c:v>
                </c:pt>
                <c:pt idx="53">
                  <c:v>0</c:v>
                </c:pt>
                <c:pt idx="54">
                  <c:v>27</c:v>
                </c:pt>
                <c:pt idx="55">
                  <c:v>0</c:v>
                </c:pt>
                <c:pt idx="56">
                  <c:v>0</c:v>
                </c:pt>
                <c:pt idx="57">
                  <c:v>0</c:v>
                </c:pt>
                <c:pt idx="58">
                  <c:v>0</c:v>
                </c:pt>
                <c:pt idx="59">
                  <c:v>13</c:v>
                </c:pt>
                <c:pt idx="60">
                  <c:v>0</c:v>
                </c:pt>
                <c:pt idx="61">
                  <c:v>0</c:v>
                </c:pt>
                <c:pt idx="62">
                  <c:v>0</c:v>
                </c:pt>
                <c:pt idx="63">
                  <c:v>0</c:v>
                </c:pt>
                <c:pt idx="64">
                  <c:v>11</c:v>
                </c:pt>
                <c:pt idx="65">
                  <c:v>0</c:v>
                </c:pt>
                <c:pt idx="66">
                  <c:v>0</c:v>
                </c:pt>
                <c:pt idx="67">
                  <c:v>0</c:v>
                </c:pt>
                <c:pt idx="68">
                  <c:v>0</c:v>
                </c:pt>
                <c:pt idx="69">
                  <c:v>4</c:v>
                </c:pt>
                <c:pt idx="70">
                  <c:v>0</c:v>
                </c:pt>
                <c:pt idx="71">
                  <c:v>0</c:v>
                </c:pt>
                <c:pt idx="72">
                  <c:v>0</c:v>
                </c:pt>
                <c:pt idx="73">
                  <c:v>0</c:v>
                </c:pt>
                <c:pt idx="74">
                  <c:v>0</c:v>
                </c:pt>
                <c:pt idx="75">
                  <c:v>0</c:v>
                </c:pt>
                <c:pt idx="76">
                  <c:v>0</c:v>
                </c:pt>
                <c:pt idx="77">
                  <c:v>0</c:v>
                </c:pt>
                <c:pt idx="78">
                  <c:v>0</c:v>
                </c:pt>
                <c:pt idx="79">
                  <c:v>27</c:v>
                </c:pt>
                <c:pt idx="80">
                  <c:v>0</c:v>
                </c:pt>
                <c:pt idx="81">
                  <c:v>0</c:v>
                </c:pt>
                <c:pt idx="82">
                  <c:v>0</c:v>
                </c:pt>
                <c:pt idx="83">
                  <c:v>0</c:v>
                </c:pt>
                <c:pt idx="84">
                  <c:v>14</c:v>
                </c:pt>
              </c:numCache>
            </c:numRef>
          </c:val>
          <c:extLst>
            <c:ext xmlns:c16="http://schemas.microsoft.com/office/drawing/2014/chart" uri="{C3380CC4-5D6E-409C-BE32-E72D297353CC}">
              <c16:uniqueId val="{00000000-4EDC-4B3E-A1AE-A7DF76F22B30}"/>
            </c:ext>
          </c:extLst>
        </c:ser>
        <c:dLbls>
          <c:showLegendKey val="0"/>
          <c:showVal val="0"/>
          <c:showCatName val="0"/>
          <c:showSerName val="0"/>
          <c:showPercent val="0"/>
          <c:showBubbleSize val="0"/>
        </c:dLbls>
        <c:gapWidth val="219"/>
        <c:overlap val="-27"/>
        <c:axId val="448604320"/>
        <c:axId val="434956632"/>
      </c:barChart>
      <c:catAx>
        <c:axId val="448604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956632"/>
        <c:crosses val="autoZero"/>
        <c:auto val="1"/>
        <c:lblAlgn val="ctr"/>
        <c:lblOffset val="100"/>
        <c:noMultiLvlLbl val="0"/>
      </c:catAx>
      <c:valAx>
        <c:axId val="434956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6043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'Inadequacy Distribution Env1'!$C$1</c:f>
              <c:strCache>
                <c:ptCount val="1"/>
                <c:pt idx="0">
                  <c:v>Tier</c:v>
                </c:pt>
              </c:strCache>
            </c:strRef>
          </c:tx>
          <c:spPr>
            <a:solidFill>
              <a:schemeClr val="accent1"/>
            </a:solidFill>
            <a:ln>
              <a:noFill/>
            </a:ln>
            <a:effectLst/>
          </c:spPr>
          <c:invertIfNegative val="0"/>
          <c:cat>
            <c:multiLvlStrRef>
              <c:f>'Inadequacy Distribution Env1'!$A$2:$B$69</c:f>
              <c:multiLvlStrCache>
                <c:ptCount val="68"/>
                <c:lvl>
                  <c:pt idx="0">
                    <c:v>T1</c:v>
                  </c:pt>
                  <c:pt idx="1">
                    <c:v>T2</c:v>
                  </c:pt>
                  <c:pt idx="2">
                    <c:v>T3</c:v>
                  </c:pt>
                  <c:pt idx="3">
                    <c:v>T4</c:v>
                  </c:pt>
                  <c:pt idx="4">
                    <c:v>T1</c:v>
                  </c:pt>
                  <c:pt idx="5">
                    <c:v>T2</c:v>
                  </c:pt>
                  <c:pt idx="6">
                    <c:v>T3</c:v>
                  </c:pt>
                  <c:pt idx="7">
                    <c:v>T4</c:v>
                  </c:pt>
                  <c:pt idx="8">
                    <c:v>T1</c:v>
                  </c:pt>
                  <c:pt idx="9">
                    <c:v>T2</c:v>
                  </c:pt>
                  <c:pt idx="10">
                    <c:v>T3</c:v>
                  </c:pt>
                  <c:pt idx="11">
                    <c:v>T4</c:v>
                  </c:pt>
                  <c:pt idx="12">
                    <c:v>T1</c:v>
                  </c:pt>
                  <c:pt idx="13">
                    <c:v>T2</c:v>
                  </c:pt>
                  <c:pt idx="14">
                    <c:v>T3</c:v>
                  </c:pt>
                  <c:pt idx="15">
                    <c:v>T4</c:v>
                  </c:pt>
                  <c:pt idx="16">
                    <c:v>T1</c:v>
                  </c:pt>
                  <c:pt idx="17">
                    <c:v>T2</c:v>
                  </c:pt>
                  <c:pt idx="18">
                    <c:v>T3</c:v>
                  </c:pt>
                  <c:pt idx="19">
                    <c:v>T4</c:v>
                  </c:pt>
                  <c:pt idx="20">
                    <c:v>T1</c:v>
                  </c:pt>
                  <c:pt idx="21">
                    <c:v>T2</c:v>
                  </c:pt>
                  <c:pt idx="22">
                    <c:v>T3</c:v>
                  </c:pt>
                  <c:pt idx="23">
                    <c:v>T4</c:v>
                  </c:pt>
                  <c:pt idx="24">
                    <c:v>T1</c:v>
                  </c:pt>
                  <c:pt idx="25">
                    <c:v>T2</c:v>
                  </c:pt>
                  <c:pt idx="26">
                    <c:v>T3</c:v>
                  </c:pt>
                  <c:pt idx="27">
                    <c:v>T4</c:v>
                  </c:pt>
                  <c:pt idx="28">
                    <c:v>T1</c:v>
                  </c:pt>
                  <c:pt idx="29">
                    <c:v>T2</c:v>
                  </c:pt>
                  <c:pt idx="30">
                    <c:v>T3</c:v>
                  </c:pt>
                  <c:pt idx="31">
                    <c:v>T4</c:v>
                  </c:pt>
                  <c:pt idx="32">
                    <c:v>T1</c:v>
                  </c:pt>
                  <c:pt idx="33">
                    <c:v>T2</c:v>
                  </c:pt>
                  <c:pt idx="34">
                    <c:v>T3</c:v>
                  </c:pt>
                  <c:pt idx="35">
                    <c:v>T4</c:v>
                  </c:pt>
                  <c:pt idx="36">
                    <c:v>T1</c:v>
                  </c:pt>
                  <c:pt idx="37">
                    <c:v>T2</c:v>
                  </c:pt>
                  <c:pt idx="38">
                    <c:v>T3</c:v>
                  </c:pt>
                  <c:pt idx="39">
                    <c:v>T4</c:v>
                  </c:pt>
                  <c:pt idx="40">
                    <c:v>T1</c:v>
                  </c:pt>
                  <c:pt idx="41">
                    <c:v>T2</c:v>
                  </c:pt>
                  <c:pt idx="42">
                    <c:v>T3</c:v>
                  </c:pt>
                  <c:pt idx="43">
                    <c:v>T4</c:v>
                  </c:pt>
                  <c:pt idx="44">
                    <c:v>T1</c:v>
                  </c:pt>
                  <c:pt idx="45">
                    <c:v>T2</c:v>
                  </c:pt>
                  <c:pt idx="46">
                    <c:v>T3</c:v>
                  </c:pt>
                  <c:pt idx="47">
                    <c:v>T4</c:v>
                  </c:pt>
                  <c:pt idx="48">
                    <c:v>T1</c:v>
                  </c:pt>
                  <c:pt idx="49">
                    <c:v>T2</c:v>
                  </c:pt>
                  <c:pt idx="50">
                    <c:v>T3</c:v>
                  </c:pt>
                  <c:pt idx="51">
                    <c:v>T4</c:v>
                  </c:pt>
                  <c:pt idx="52">
                    <c:v>T1</c:v>
                  </c:pt>
                  <c:pt idx="53">
                    <c:v>T2</c:v>
                  </c:pt>
                  <c:pt idx="54">
                    <c:v>T3</c:v>
                  </c:pt>
                  <c:pt idx="55">
                    <c:v>T4</c:v>
                  </c:pt>
                  <c:pt idx="56">
                    <c:v>T1</c:v>
                  </c:pt>
                  <c:pt idx="57">
                    <c:v>T2</c:v>
                  </c:pt>
                  <c:pt idx="58">
                    <c:v>T3</c:v>
                  </c:pt>
                  <c:pt idx="59">
                    <c:v>T4</c:v>
                  </c:pt>
                  <c:pt idx="60">
                    <c:v>T1</c:v>
                  </c:pt>
                  <c:pt idx="61">
                    <c:v>T2</c:v>
                  </c:pt>
                  <c:pt idx="62">
                    <c:v>T3</c:v>
                  </c:pt>
                  <c:pt idx="63">
                    <c:v>T4</c:v>
                  </c:pt>
                  <c:pt idx="64">
                    <c:v>T1</c:v>
                  </c:pt>
                  <c:pt idx="65">
                    <c:v>T2</c:v>
                  </c:pt>
                  <c:pt idx="66">
                    <c:v>T3</c:v>
                  </c:pt>
                  <c:pt idx="67">
                    <c:v>T4</c:v>
                  </c:pt>
                </c:lvl>
                <c:lvl>
                  <c:pt idx="0">
                    <c:v>Access Controls</c:v>
                  </c:pt>
                  <c:pt idx="4">
                    <c:v>Awareness and Training</c:v>
                  </c:pt>
                  <c:pt idx="8">
                    <c:v>Audit and Accountability</c:v>
                  </c:pt>
                  <c:pt idx="12">
                    <c:v>Security Assessment</c:v>
                  </c:pt>
                  <c:pt idx="16">
                    <c:v>Configuration</c:v>
                  </c:pt>
                  <c:pt idx="20">
                    <c:v>Contingency Planning</c:v>
                  </c:pt>
                  <c:pt idx="24">
                    <c:v>Authentication &amp; Authorization</c:v>
                  </c:pt>
                  <c:pt idx="28">
                    <c:v>Incident Response</c:v>
                  </c:pt>
                  <c:pt idx="32">
                    <c:v>Maintenance</c:v>
                  </c:pt>
                  <c:pt idx="36">
                    <c:v>Media Protection</c:v>
                  </c:pt>
                  <c:pt idx="40">
                    <c:v>Physical Security</c:v>
                  </c:pt>
                  <c:pt idx="44">
                    <c:v>Planning</c:v>
                  </c:pt>
                  <c:pt idx="48">
                    <c:v>Personnel Security</c:v>
                  </c:pt>
                  <c:pt idx="52">
                    <c:v>Risk Assessments</c:v>
                  </c:pt>
                  <c:pt idx="56">
                    <c:v>System Acquisition</c:v>
                  </c:pt>
                  <c:pt idx="60">
                    <c:v>System Data Protection</c:v>
                  </c:pt>
                  <c:pt idx="64">
                    <c:v>System Data Integrity</c:v>
                  </c:pt>
                </c:lvl>
              </c:multiLvlStrCache>
            </c:multiLvlStrRef>
          </c:cat>
          <c:val>
            <c:numRef>
              <c:f>'Inadequacy Distribution Env1'!$C$2:$C$69</c:f>
            </c:numRef>
          </c:val>
          <c:extLst>
            <c:ext xmlns:c16="http://schemas.microsoft.com/office/drawing/2014/chart" uri="{C3380CC4-5D6E-409C-BE32-E72D297353CC}">
              <c16:uniqueId val="{00000000-1BBC-4AAD-8813-98058E606F29}"/>
            </c:ext>
          </c:extLst>
        </c:ser>
        <c:ser>
          <c:idx val="1"/>
          <c:order val="1"/>
          <c:tx>
            <c:strRef>
              <c:f>'Inadequacy Distribution Env1'!$D$1</c:f>
              <c:strCache>
                <c:ptCount val="1"/>
                <c:pt idx="0">
                  <c:v>Count of Inadequacies</c:v>
                </c:pt>
              </c:strCache>
            </c:strRef>
          </c:tx>
          <c:spPr>
            <a:solidFill>
              <a:schemeClr val="accent2"/>
            </a:solidFill>
            <a:ln>
              <a:noFill/>
            </a:ln>
            <a:effectLst/>
          </c:spPr>
          <c:invertIfNegative val="0"/>
          <c:cat>
            <c:multiLvlStrRef>
              <c:f>'Inadequacy Distribution Env1'!$A$2:$B$69</c:f>
              <c:multiLvlStrCache>
                <c:ptCount val="68"/>
                <c:lvl>
                  <c:pt idx="0">
                    <c:v>T1</c:v>
                  </c:pt>
                  <c:pt idx="1">
                    <c:v>T2</c:v>
                  </c:pt>
                  <c:pt idx="2">
                    <c:v>T3</c:v>
                  </c:pt>
                  <c:pt idx="3">
                    <c:v>T4</c:v>
                  </c:pt>
                  <c:pt idx="4">
                    <c:v>T1</c:v>
                  </c:pt>
                  <c:pt idx="5">
                    <c:v>T2</c:v>
                  </c:pt>
                  <c:pt idx="6">
                    <c:v>T3</c:v>
                  </c:pt>
                  <c:pt idx="7">
                    <c:v>T4</c:v>
                  </c:pt>
                  <c:pt idx="8">
                    <c:v>T1</c:v>
                  </c:pt>
                  <c:pt idx="9">
                    <c:v>T2</c:v>
                  </c:pt>
                  <c:pt idx="10">
                    <c:v>T3</c:v>
                  </c:pt>
                  <c:pt idx="11">
                    <c:v>T4</c:v>
                  </c:pt>
                  <c:pt idx="12">
                    <c:v>T1</c:v>
                  </c:pt>
                  <c:pt idx="13">
                    <c:v>T2</c:v>
                  </c:pt>
                  <c:pt idx="14">
                    <c:v>T3</c:v>
                  </c:pt>
                  <c:pt idx="15">
                    <c:v>T4</c:v>
                  </c:pt>
                  <c:pt idx="16">
                    <c:v>T1</c:v>
                  </c:pt>
                  <c:pt idx="17">
                    <c:v>T2</c:v>
                  </c:pt>
                  <c:pt idx="18">
                    <c:v>T3</c:v>
                  </c:pt>
                  <c:pt idx="19">
                    <c:v>T4</c:v>
                  </c:pt>
                  <c:pt idx="20">
                    <c:v>T1</c:v>
                  </c:pt>
                  <c:pt idx="21">
                    <c:v>T2</c:v>
                  </c:pt>
                  <c:pt idx="22">
                    <c:v>T3</c:v>
                  </c:pt>
                  <c:pt idx="23">
                    <c:v>T4</c:v>
                  </c:pt>
                  <c:pt idx="24">
                    <c:v>T1</c:v>
                  </c:pt>
                  <c:pt idx="25">
                    <c:v>T2</c:v>
                  </c:pt>
                  <c:pt idx="26">
                    <c:v>T3</c:v>
                  </c:pt>
                  <c:pt idx="27">
                    <c:v>T4</c:v>
                  </c:pt>
                  <c:pt idx="28">
                    <c:v>T1</c:v>
                  </c:pt>
                  <c:pt idx="29">
                    <c:v>T2</c:v>
                  </c:pt>
                  <c:pt idx="30">
                    <c:v>T3</c:v>
                  </c:pt>
                  <c:pt idx="31">
                    <c:v>T4</c:v>
                  </c:pt>
                  <c:pt idx="32">
                    <c:v>T1</c:v>
                  </c:pt>
                  <c:pt idx="33">
                    <c:v>T2</c:v>
                  </c:pt>
                  <c:pt idx="34">
                    <c:v>T3</c:v>
                  </c:pt>
                  <c:pt idx="35">
                    <c:v>T4</c:v>
                  </c:pt>
                  <c:pt idx="36">
                    <c:v>T1</c:v>
                  </c:pt>
                  <c:pt idx="37">
                    <c:v>T2</c:v>
                  </c:pt>
                  <c:pt idx="38">
                    <c:v>T3</c:v>
                  </c:pt>
                  <c:pt idx="39">
                    <c:v>T4</c:v>
                  </c:pt>
                  <c:pt idx="40">
                    <c:v>T1</c:v>
                  </c:pt>
                  <c:pt idx="41">
                    <c:v>T2</c:v>
                  </c:pt>
                  <c:pt idx="42">
                    <c:v>T3</c:v>
                  </c:pt>
                  <c:pt idx="43">
                    <c:v>T4</c:v>
                  </c:pt>
                  <c:pt idx="44">
                    <c:v>T1</c:v>
                  </c:pt>
                  <c:pt idx="45">
                    <c:v>T2</c:v>
                  </c:pt>
                  <c:pt idx="46">
                    <c:v>T3</c:v>
                  </c:pt>
                  <c:pt idx="47">
                    <c:v>T4</c:v>
                  </c:pt>
                  <c:pt idx="48">
                    <c:v>T1</c:v>
                  </c:pt>
                  <c:pt idx="49">
                    <c:v>T2</c:v>
                  </c:pt>
                  <c:pt idx="50">
                    <c:v>T3</c:v>
                  </c:pt>
                  <c:pt idx="51">
                    <c:v>T4</c:v>
                  </c:pt>
                  <c:pt idx="52">
                    <c:v>T1</c:v>
                  </c:pt>
                  <c:pt idx="53">
                    <c:v>T2</c:v>
                  </c:pt>
                  <c:pt idx="54">
                    <c:v>T3</c:v>
                  </c:pt>
                  <c:pt idx="55">
                    <c:v>T4</c:v>
                  </c:pt>
                  <c:pt idx="56">
                    <c:v>T1</c:v>
                  </c:pt>
                  <c:pt idx="57">
                    <c:v>T2</c:v>
                  </c:pt>
                  <c:pt idx="58">
                    <c:v>T3</c:v>
                  </c:pt>
                  <c:pt idx="59">
                    <c:v>T4</c:v>
                  </c:pt>
                  <c:pt idx="60">
                    <c:v>T1</c:v>
                  </c:pt>
                  <c:pt idx="61">
                    <c:v>T2</c:v>
                  </c:pt>
                  <c:pt idx="62">
                    <c:v>T3</c:v>
                  </c:pt>
                  <c:pt idx="63">
                    <c:v>T4</c:v>
                  </c:pt>
                  <c:pt idx="64">
                    <c:v>T1</c:v>
                  </c:pt>
                  <c:pt idx="65">
                    <c:v>T2</c:v>
                  </c:pt>
                  <c:pt idx="66">
                    <c:v>T3</c:v>
                  </c:pt>
                  <c:pt idx="67">
                    <c:v>T4</c:v>
                  </c:pt>
                </c:lvl>
                <c:lvl>
                  <c:pt idx="0">
                    <c:v>Access Controls</c:v>
                  </c:pt>
                  <c:pt idx="4">
                    <c:v>Awareness and Training</c:v>
                  </c:pt>
                  <c:pt idx="8">
                    <c:v>Audit and Accountability</c:v>
                  </c:pt>
                  <c:pt idx="12">
                    <c:v>Security Assessment</c:v>
                  </c:pt>
                  <c:pt idx="16">
                    <c:v>Configuration</c:v>
                  </c:pt>
                  <c:pt idx="20">
                    <c:v>Contingency Planning</c:v>
                  </c:pt>
                  <c:pt idx="24">
                    <c:v>Authentication &amp; Authorization</c:v>
                  </c:pt>
                  <c:pt idx="28">
                    <c:v>Incident Response</c:v>
                  </c:pt>
                  <c:pt idx="32">
                    <c:v>Maintenance</c:v>
                  </c:pt>
                  <c:pt idx="36">
                    <c:v>Media Protection</c:v>
                  </c:pt>
                  <c:pt idx="40">
                    <c:v>Physical Security</c:v>
                  </c:pt>
                  <c:pt idx="44">
                    <c:v>Planning</c:v>
                  </c:pt>
                  <c:pt idx="48">
                    <c:v>Personnel Security</c:v>
                  </c:pt>
                  <c:pt idx="52">
                    <c:v>Risk Assessments</c:v>
                  </c:pt>
                  <c:pt idx="56">
                    <c:v>System Acquisition</c:v>
                  </c:pt>
                  <c:pt idx="60">
                    <c:v>System Data Protection</c:v>
                  </c:pt>
                  <c:pt idx="64">
                    <c:v>System Data Integrity</c:v>
                  </c:pt>
                </c:lvl>
              </c:multiLvlStrCache>
            </c:multiLvlStrRef>
          </c:cat>
          <c:val>
            <c:numRef>
              <c:f>'Inadequacy Distribution Env1'!$D$2:$D$69</c:f>
              <c:numCache>
                <c:formatCode>General</c:formatCode>
                <c:ptCount val="6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numCache>
            </c:numRef>
          </c:val>
          <c:extLst>
            <c:ext xmlns:c16="http://schemas.microsoft.com/office/drawing/2014/chart" uri="{C3380CC4-5D6E-409C-BE32-E72D297353CC}">
              <c16:uniqueId val="{00000001-1BBC-4AAD-8813-98058E606F29}"/>
            </c:ext>
          </c:extLst>
        </c:ser>
        <c:dLbls>
          <c:showLegendKey val="0"/>
          <c:showVal val="0"/>
          <c:showCatName val="0"/>
          <c:showSerName val="0"/>
          <c:showPercent val="0"/>
          <c:showBubbleSize val="0"/>
        </c:dLbls>
        <c:gapWidth val="219"/>
        <c:overlap val="-27"/>
        <c:axId val="389622672"/>
        <c:axId val="389627920"/>
      </c:barChart>
      <c:catAx>
        <c:axId val="389622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627920"/>
        <c:crosses val="autoZero"/>
        <c:auto val="1"/>
        <c:lblAlgn val="ctr"/>
        <c:lblOffset val="100"/>
        <c:noMultiLvlLbl val="0"/>
      </c:catAx>
      <c:valAx>
        <c:axId val="389627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6226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'Inadequacy Distribution Env1'!$C$1</c:f>
              <c:strCache>
                <c:ptCount val="1"/>
                <c:pt idx="0">
                  <c:v>Tier</c:v>
                </c:pt>
              </c:strCache>
            </c:strRef>
          </c:tx>
          <c:spPr>
            <a:solidFill>
              <a:schemeClr val="accent1"/>
            </a:solidFill>
            <a:ln>
              <a:noFill/>
            </a:ln>
            <a:effectLst/>
          </c:spPr>
          <c:invertIfNegative val="0"/>
          <c:cat>
            <c:multiLvlStrRef>
              <c:f>'Inadequacy Distribution Env1'!$A$2:$B$69</c:f>
              <c:multiLvlStrCache>
                <c:ptCount val="68"/>
                <c:lvl>
                  <c:pt idx="0">
                    <c:v>T1</c:v>
                  </c:pt>
                  <c:pt idx="1">
                    <c:v>T2</c:v>
                  </c:pt>
                  <c:pt idx="2">
                    <c:v>T3</c:v>
                  </c:pt>
                  <c:pt idx="3">
                    <c:v>T4</c:v>
                  </c:pt>
                  <c:pt idx="4">
                    <c:v>T1</c:v>
                  </c:pt>
                  <c:pt idx="5">
                    <c:v>T2</c:v>
                  </c:pt>
                  <c:pt idx="6">
                    <c:v>T3</c:v>
                  </c:pt>
                  <c:pt idx="7">
                    <c:v>T4</c:v>
                  </c:pt>
                  <c:pt idx="8">
                    <c:v>T1</c:v>
                  </c:pt>
                  <c:pt idx="9">
                    <c:v>T2</c:v>
                  </c:pt>
                  <c:pt idx="10">
                    <c:v>T3</c:v>
                  </c:pt>
                  <c:pt idx="11">
                    <c:v>T4</c:v>
                  </c:pt>
                  <c:pt idx="12">
                    <c:v>T1</c:v>
                  </c:pt>
                  <c:pt idx="13">
                    <c:v>T2</c:v>
                  </c:pt>
                  <c:pt idx="14">
                    <c:v>T3</c:v>
                  </c:pt>
                  <c:pt idx="15">
                    <c:v>T4</c:v>
                  </c:pt>
                  <c:pt idx="16">
                    <c:v>T1</c:v>
                  </c:pt>
                  <c:pt idx="17">
                    <c:v>T2</c:v>
                  </c:pt>
                  <c:pt idx="18">
                    <c:v>T3</c:v>
                  </c:pt>
                  <c:pt idx="19">
                    <c:v>T4</c:v>
                  </c:pt>
                  <c:pt idx="20">
                    <c:v>T1</c:v>
                  </c:pt>
                  <c:pt idx="21">
                    <c:v>T2</c:v>
                  </c:pt>
                  <c:pt idx="22">
                    <c:v>T3</c:v>
                  </c:pt>
                  <c:pt idx="23">
                    <c:v>T4</c:v>
                  </c:pt>
                  <c:pt idx="24">
                    <c:v>T1</c:v>
                  </c:pt>
                  <c:pt idx="25">
                    <c:v>T2</c:v>
                  </c:pt>
                  <c:pt idx="26">
                    <c:v>T3</c:v>
                  </c:pt>
                  <c:pt idx="27">
                    <c:v>T4</c:v>
                  </c:pt>
                  <c:pt idx="28">
                    <c:v>T1</c:v>
                  </c:pt>
                  <c:pt idx="29">
                    <c:v>T2</c:v>
                  </c:pt>
                  <c:pt idx="30">
                    <c:v>T3</c:v>
                  </c:pt>
                  <c:pt idx="31">
                    <c:v>T4</c:v>
                  </c:pt>
                  <c:pt idx="32">
                    <c:v>T1</c:v>
                  </c:pt>
                  <c:pt idx="33">
                    <c:v>T2</c:v>
                  </c:pt>
                  <c:pt idx="34">
                    <c:v>T3</c:v>
                  </c:pt>
                  <c:pt idx="35">
                    <c:v>T4</c:v>
                  </c:pt>
                  <c:pt idx="36">
                    <c:v>T1</c:v>
                  </c:pt>
                  <c:pt idx="37">
                    <c:v>T2</c:v>
                  </c:pt>
                  <c:pt idx="38">
                    <c:v>T3</c:v>
                  </c:pt>
                  <c:pt idx="39">
                    <c:v>T4</c:v>
                  </c:pt>
                  <c:pt idx="40">
                    <c:v>T1</c:v>
                  </c:pt>
                  <c:pt idx="41">
                    <c:v>T2</c:v>
                  </c:pt>
                  <c:pt idx="42">
                    <c:v>T3</c:v>
                  </c:pt>
                  <c:pt idx="43">
                    <c:v>T4</c:v>
                  </c:pt>
                  <c:pt idx="44">
                    <c:v>T1</c:v>
                  </c:pt>
                  <c:pt idx="45">
                    <c:v>T2</c:v>
                  </c:pt>
                  <c:pt idx="46">
                    <c:v>T3</c:v>
                  </c:pt>
                  <c:pt idx="47">
                    <c:v>T4</c:v>
                  </c:pt>
                  <c:pt idx="48">
                    <c:v>T1</c:v>
                  </c:pt>
                  <c:pt idx="49">
                    <c:v>T2</c:v>
                  </c:pt>
                  <c:pt idx="50">
                    <c:v>T3</c:v>
                  </c:pt>
                  <c:pt idx="51">
                    <c:v>T4</c:v>
                  </c:pt>
                  <c:pt idx="52">
                    <c:v>T1</c:v>
                  </c:pt>
                  <c:pt idx="53">
                    <c:v>T2</c:v>
                  </c:pt>
                  <c:pt idx="54">
                    <c:v>T3</c:v>
                  </c:pt>
                  <c:pt idx="55">
                    <c:v>T4</c:v>
                  </c:pt>
                  <c:pt idx="56">
                    <c:v>T1</c:v>
                  </c:pt>
                  <c:pt idx="57">
                    <c:v>T2</c:v>
                  </c:pt>
                  <c:pt idx="58">
                    <c:v>T3</c:v>
                  </c:pt>
                  <c:pt idx="59">
                    <c:v>T4</c:v>
                  </c:pt>
                  <c:pt idx="60">
                    <c:v>T1</c:v>
                  </c:pt>
                  <c:pt idx="61">
                    <c:v>T2</c:v>
                  </c:pt>
                  <c:pt idx="62">
                    <c:v>T3</c:v>
                  </c:pt>
                  <c:pt idx="63">
                    <c:v>T4</c:v>
                  </c:pt>
                  <c:pt idx="64">
                    <c:v>T1</c:v>
                  </c:pt>
                  <c:pt idx="65">
                    <c:v>T2</c:v>
                  </c:pt>
                  <c:pt idx="66">
                    <c:v>T3</c:v>
                  </c:pt>
                  <c:pt idx="67">
                    <c:v>T4</c:v>
                  </c:pt>
                </c:lvl>
                <c:lvl>
                  <c:pt idx="0">
                    <c:v>Access Controls</c:v>
                  </c:pt>
                  <c:pt idx="4">
                    <c:v>Awareness and Training</c:v>
                  </c:pt>
                  <c:pt idx="8">
                    <c:v>Audit and Accountability</c:v>
                  </c:pt>
                  <c:pt idx="12">
                    <c:v>Security Assessment</c:v>
                  </c:pt>
                  <c:pt idx="16">
                    <c:v>Configuration</c:v>
                  </c:pt>
                  <c:pt idx="20">
                    <c:v>Contingency Planning</c:v>
                  </c:pt>
                  <c:pt idx="24">
                    <c:v>Authentication &amp; Authorization</c:v>
                  </c:pt>
                  <c:pt idx="28">
                    <c:v>Incident Response</c:v>
                  </c:pt>
                  <c:pt idx="32">
                    <c:v>Maintenance</c:v>
                  </c:pt>
                  <c:pt idx="36">
                    <c:v>Media Protection</c:v>
                  </c:pt>
                  <c:pt idx="40">
                    <c:v>Physical Security</c:v>
                  </c:pt>
                  <c:pt idx="44">
                    <c:v>Planning</c:v>
                  </c:pt>
                  <c:pt idx="48">
                    <c:v>Personnel Security</c:v>
                  </c:pt>
                  <c:pt idx="52">
                    <c:v>Risk Assessments</c:v>
                  </c:pt>
                  <c:pt idx="56">
                    <c:v>System Acquisition</c:v>
                  </c:pt>
                  <c:pt idx="60">
                    <c:v>System Data Protection</c:v>
                  </c:pt>
                  <c:pt idx="64">
                    <c:v>System Data Integrity</c:v>
                  </c:pt>
                </c:lvl>
              </c:multiLvlStrCache>
            </c:multiLvlStrRef>
          </c:cat>
          <c:val>
            <c:numRef>
              <c:f>'Inadequacy Distribution Env1'!$C$2:$C$69</c:f>
            </c:numRef>
          </c:val>
          <c:extLst>
            <c:ext xmlns:c16="http://schemas.microsoft.com/office/drawing/2014/chart" uri="{C3380CC4-5D6E-409C-BE32-E72D297353CC}">
              <c16:uniqueId val="{00000000-221A-4F58-A13D-D4CF99880989}"/>
            </c:ext>
          </c:extLst>
        </c:ser>
        <c:ser>
          <c:idx val="1"/>
          <c:order val="1"/>
          <c:tx>
            <c:strRef>
              <c:f>'Inadequacy Distribution Env2'!$D$1</c:f>
              <c:strCache>
                <c:ptCount val="1"/>
                <c:pt idx="0">
                  <c:v>Count of Inadequacies</c:v>
                </c:pt>
              </c:strCache>
            </c:strRef>
          </c:tx>
          <c:spPr>
            <a:solidFill>
              <a:schemeClr val="accent2"/>
            </a:solidFill>
            <a:ln>
              <a:noFill/>
            </a:ln>
            <a:effectLst/>
          </c:spPr>
          <c:invertIfNegative val="0"/>
          <c:cat>
            <c:multiLvlStrRef>
              <c:f>'Inadequacy Distribution Env2'!$A$2:$B$69</c:f>
              <c:multiLvlStrCache>
                <c:ptCount val="68"/>
                <c:lvl>
                  <c:pt idx="0">
                    <c:v>T1</c:v>
                  </c:pt>
                  <c:pt idx="1">
                    <c:v>T2</c:v>
                  </c:pt>
                  <c:pt idx="2">
                    <c:v>T3</c:v>
                  </c:pt>
                  <c:pt idx="3">
                    <c:v>T4</c:v>
                  </c:pt>
                  <c:pt idx="4">
                    <c:v>T1</c:v>
                  </c:pt>
                  <c:pt idx="5">
                    <c:v>T2</c:v>
                  </c:pt>
                  <c:pt idx="6">
                    <c:v>T3</c:v>
                  </c:pt>
                  <c:pt idx="7">
                    <c:v>T4</c:v>
                  </c:pt>
                  <c:pt idx="8">
                    <c:v>T1</c:v>
                  </c:pt>
                  <c:pt idx="9">
                    <c:v>T2</c:v>
                  </c:pt>
                  <c:pt idx="10">
                    <c:v>T3</c:v>
                  </c:pt>
                  <c:pt idx="11">
                    <c:v>T4</c:v>
                  </c:pt>
                  <c:pt idx="12">
                    <c:v>T1</c:v>
                  </c:pt>
                  <c:pt idx="13">
                    <c:v>T2</c:v>
                  </c:pt>
                  <c:pt idx="14">
                    <c:v>T3</c:v>
                  </c:pt>
                  <c:pt idx="15">
                    <c:v>T4</c:v>
                  </c:pt>
                  <c:pt idx="16">
                    <c:v>T1</c:v>
                  </c:pt>
                  <c:pt idx="17">
                    <c:v>T2</c:v>
                  </c:pt>
                  <c:pt idx="18">
                    <c:v>T3</c:v>
                  </c:pt>
                  <c:pt idx="19">
                    <c:v>T4</c:v>
                  </c:pt>
                  <c:pt idx="20">
                    <c:v>T1</c:v>
                  </c:pt>
                  <c:pt idx="21">
                    <c:v>T2</c:v>
                  </c:pt>
                  <c:pt idx="22">
                    <c:v>T3</c:v>
                  </c:pt>
                  <c:pt idx="23">
                    <c:v>T4</c:v>
                  </c:pt>
                  <c:pt idx="24">
                    <c:v>T1</c:v>
                  </c:pt>
                  <c:pt idx="25">
                    <c:v>T2</c:v>
                  </c:pt>
                  <c:pt idx="26">
                    <c:v>T3</c:v>
                  </c:pt>
                  <c:pt idx="27">
                    <c:v>T4</c:v>
                  </c:pt>
                  <c:pt idx="28">
                    <c:v>T1</c:v>
                  </c:pt>
                  <c:pt idx="29">
                    <c:v>T2</c:v>
                  </c:pt>
                  <c:pt idx="30">
                    <c:v>T3</c:v>
                  </c:pt>
                  <c:pt idx="31">
                    <c:v>T4</c:v>
                  </c:pt>
                  <c:pt idx="32">
                    <c:v>T1</c:v>
                  </c:pt>
                  <c:pt idx="33">
                    <c:v>T2</c:v>
                  </c:pt>
                  <c:pt idx="34">
                    <c:v>T3</c:v>
                  </c:pt>
                  <c:pt idx="35">
                    <c:v>T4</c:v>
                  </c:pt>
                  <c:pt idx="36">
                    <c:v>T1</c:v>
                  </c:pt>
                  <c:pt idx="37">
                    <c:v>T2</c:v>
                  </c:pt>
                  <c:pt idx="38">
                    <c:v>T3</c:v>
                  </c:pt>
                  <c:pt idx="39">
                    <c:v>T4</c:v>
                  </c:pt>
                  <c:pt idx="40">
                    <c:v>T1</c:v>
                  </c:pt>
                  <c:pt idx="41">
                    <c:v>T2</c:v>
                  </c:pt>
                  <c:pt idx="42">
                    <c:v>T3</c:v>
                  </c:pt>
                  <c:pt idx="43">
                    <c:v>T4</c:v>
                  </c:pt>
                  <c:pt idx="44">
                    <c:v>T1</c:v>
                  </c:pt>
                  <c:pt idx="45">
                    <c:v>T2</c:v>
                  </c:pt>
                  <c:pt idx="46">
                    <c:v>T3</c:v>
                  </c:pt>
                  <c:pt idx="47">
                    <c:v>T4</c:v>
                  </c:pt>
                  <c:pt idx="48">
                    <c:v>T1</c:v>
                  </c:pt>
                  <c:pt idx="49">
                    <c:v>T2</c:v>
                  </c:pt>
                  <c:pt idx="50">
                    <c:v>T3</c:v>
                  </c:pt>
                  <c:pt idx="51">
                    <c:v>T4</c:v>
                  </c:pt>
                  <c:pt idx="52">
                    <c:v>T1</c:v>
                  </c:pt>
                  <c:pt idx="53">
                    <c:v>T2</c:v>
                  </c:pt>
                  <c:pt idx="54">
                    <c:v>T3</c:v>
                  </c:pt>
                  <c:pt idx="55">
                    <c:v>T4</c:v>
                  </c:pt>
                  <c:pt idx="56">
                    <c:v>T1</c:v>
                  </c:pt>
                  <c:pt idx="57">
                    <c:v>T2</c:v>
                  </c:pt>
                  <c:pt idx="58">
                    <c:v>T3</c:v>
                  </c:pt>
                  <c:pt idx="59">
                    <c:v>T4</c:v>
                  </c:pt>
                  <c:pt idx="60">
                    <c:v>T1</c:v>
                  </c:pt>
                  <c:pt idx="61">
                    <c:v>T2</c:v>
                  </c:pt>
                  <c:pt idx="62">
                    <c:v>T3</c:v>
                  </c:pt>
                  <c:pt idx="63">
                    <c:v>T4</c:v>
                  </c:pt>
                  <c:pt idx="64">
                    <c:v>T1</c:v>
                  </c:pt>
                  <c:pt idx="65">
                    <c:v>T2</c:v>
                  </c:pt>
                  <c:pt idx="66">
                    <c:v>T3</c:v>
                  </c:pt>
                  <c:pt idx="67">
                    <c:v>T4</c:v>
                  </c:pt>
                </c:lvl>
                <c:lvl>
                  <c:pt idx="0">
                    <c:v>Access Controls</c:v>
                  </c:pt>
                  <c:pt idx="4">
                    <c:v>Awareness and Training</c:v>
                  </c:pt>
                  <c:pt idx="8">
                    <c:v>Audit and Accountability</c:v>
                  </c:pt>
                  <c:pt idx="12">
                    <c:v>Security Assessment</c:v>
                  </c:pt>
                  <c:pt idx="16">
                    <c:v>Configuration</c:v>
                  </c:pt>
                  <c:pt idx="20">
                    <c:v>Contingency Planning</c:v>
                  </c:pt>
                  <c:pt idx="24">
                    <c:v>Authentication &amp; Authorization</c:v>
                  </c:pt>
                  <c:pt idx="28">
                    <c:v>Incident Response</c:v>
                  </c:pt>
                  <c:pt idx="32">
                    <c:v>Maintenance</c:v>
                  </c:pt>
                  <c:pt idx="36">
                    <c:v>Media Protection</c:v>
                  </c:pt>
                  <c:pt idx="40">
                    <c:v>Physical Security</c:v>
                  </c:pt>
                  <c:pt idx="44">
                    <c:v>Planning</c:v>
                  </c:pt>
                  <c:pt idx="48">
                    <c:v>Personnel Security</c:v>
                  </c:pt>
                  <c:pt idx="52">
                    <c:v>Risk Assessments</c:v>
                  </c:pt>
                  <c:pt idx="56">
                    <c:v>System Acquisition</c:v>
                  </c:pt>
                  <c:pt idx="60">
                    <c:v>System Data Protection</c:v>
                  </c:pt>
                  <c:pt idx="64">
                    <c:v>System Data Integrity</c:v>
                  </c:pt>
                </c:lvl>
              </c:multiLvlStrCache>
            </c:multiLvlStrRef>
          </c:cat>
          <c:val>
            <c:numRef>
              <c:f>'Inadequacy Distribution Env2'!$D$2:$D$69</c:f>
              <c:numCache>
                <c:formatCode>General</c:formatCode>
                <c:ptCount val="6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numCache>
            </c:numRef>
          </c:val>
          <c:extLst>
            <c:ext xmlns:c16="http://schemas.microsoft.com/office/drawing/2014/chart" uri="{C3380CC4-5D6E-409C-BE32-E72D297353CC}">
              <c16:uniqueId val="{00000001-221A-4F58-A13D-D4CF99880989}"/>
            </c:ext>
          </c:extLst>
        </c:ser>
        <c:dLbls>
          <c:showLegendKey val="0"/>
          <c:showVal val="0"/>
          <c:showCatName val="0"/>
          <c:showSerName val="0"/>
          <c:showPercent val="0"/>
          <c:showBubbleSize val="0"/>
        </c:dLbls>
        <c:gapWidth val="219"/>
        <c:overlap val="-27"/>
        <c:axId val="389622672"/>
        <c:axId val="389627920"/>
      </c:barChart>
      <c:catAx>
        <c:axId val="389622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627920"/>
        <c:crosses val="autoZero"/>
        <c:auto val="1"/>
        <c:lblAlgn val="ctr"/>
        <c:lblOffset val="100"/>
        <c:noMultiLvlLbl val="0"/>
      </c:catAx>
      <c:valAx>
        <c:axId val="389627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6226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'Inadequacy Distribution Env1'!$C$1</c:f>
              <c:strCache>
                <c:ptCount val="1"/>
                <c:pt idx="0">
                  <c:v>Tier</c:v>
                </c:pt>
              </c:strCache>
            </c:strRef>
          </c:tx>
          <c:spPr>
            <a:solidFill>
              <a:schemeClr val="accent1"/>
            </a:solidFill>
            <a:ln>
              <a:noFill/>
            </a:ln>
            <a:effectLst/>
          </c:spPr>
          <c:invertIfNegative val="0"/>
          <c:cat>
            <c:multiLvlStrRef>
              <c:f>'Inadequacy Distribution Env1'!$A$2:$B$69</c:f>
              <c:multiLvlStrCache>
                <c:ptCount val="68"/>
                <c:lvl>
                  <c:pt idx="0">
                    <c:v>T1</c:v>
                  </c:pt>
                  <c:pt idx="1">
                    <c:v>T2</c:v>
                  </c:pt>
                  <c:pt idx="2">
                    <c:v>T3</c:v>
                  </c:pt>
                  <c:pt idx="3">
                    <c:v>T4</c:v>
                  </c:pt>
                  <c:pt idx="4">
                    <c:v>T1</c:v>
                  </c:pt>
                  <c:pt idx="5">
                    <c:v>T2</c:v>
                  </c:pt>
                  <c:pt idx="6">
                    <c:v>T3</c:v>
                  </c:pt>
                  <c:pt idx="7">
                    <c:v>T4</c:v>
                  </c:pt>
                  <c:pt idx="8">
                    <c:v>T1</c:v>
                  </c:pt>
                  <c:pt idx="9">
                    <c:v>T2</c:v>
                  </c:pt>
                  <c:pt idx="10">
                    <c:v>T3</c:v>
                  </c:pt>
                  <c:pt idx="11">
                    <c:v>T4</c:v>
                  </c:pt>
                  <c:pt idx="12">
                    <c:v>T1</c:v>
                  </c:pt>
                  <c:pt idx="13">
                    <c:v>T2</c:v>
                  </c:pt>
                  <c:pt idx="14">
                    <c:v>T3</c:v>
                  </c:pt>
                  <c:pt idx="15">
                    <c:v>T4</c:v>
                  </c:pt>
                  <c:pt idx="16">
                    <c:v>T1</c:v>
                  </c:pt>
                  <c:pt idx="17">
                    <c:v>T2</c:v>
                  </c:pt>
                  <c:pt idx="18">
                    <c:v>T3</c:v>
                  </c:pt>
                  <c:pt idx="19">
                    <c:v>T4</c:v>
                  </c:pt>
                  <c:pt idx="20">
                    <c:v>T1</c:v>
                  </c:pt>
                  <c:pt idx="21">
                    <c:v>T2</c:v>
                  </c:pt>
                  <c:pt idx="22">
                    <c:v>T3</c:v>
                  </c:pt>
                  <c:pt idx="23">
                    <c:v>T4</c:v>
                  </c:pt>
                  <c:pt idx="24">
                    <c:v>T1</c:v>
                  </c:pt>
                  <c:pt idx="25">
                    <c:v>T2</c:v>
                  </c:pt>
                  <c:pt idx="26">
                    <c:v>T3</c:v>
                  </c:pt>
                  <c:pt idx="27">
                    <c:v>T4</c:v>
                  </c:pt>
                  <c:pt idx="28">
                    <c:v>T1</c:v>
                  </c:pt>
                  <c:pt idx="29">
                    <c:v>T2</c:v>
                  </c:pt>
                  <c:pt idx="30">
                    <c:v>T3</c:v>
                  </c:pt>
                  <c:pt idx="31">
                    <c:v>T4</c:v>
                  </c:pt>
                  <c:pt idx="32">
                    <c:v>T1</c:v>
                  </c:pt>
                  <c:pt idx="33">
                    <c:v>T2</c:v>
                  </c:pt>
                  <c:pt idx="34">
                    <c:v>T3</c:v>
                  </c:pt>
                  <c:pt idx="35">
                    <c:v>T4</c:v>
                  </c:pt>
                  <c:pt idx="36">
                    <c:v>T1</c:v>
                  </c:pt>
                  <c:pt idx="37">
                    <c:v>T2</c:v>
                  </c:pt>
                  <c:pt idx="38">
                    <c:v>T3</c:v>
                  </c:pt>
                  <c:pt idx="39">
                    <c:v>T4</c:v>
                  </c:pt>
                  <c:pt idx="40">
                    <c:v>T1</c:v>
                  </c:pt>
                  <c:pt idx="41">
                    <c:v>T2</c:v>
                  </c:pt>
                  <c:pt idx="42">
                    <c:v>T3</c:v>
                  </c:pt>
                  <c:pt idx="43">
                    <c:v>T4</c:v>
                  </c:pt>
                  <c:pt idx="44">
                    <c:v>T1</c:v>
                  </c:pt>
                  <c:pt idx="45">
                    <c:v>T2</c:v>
                  </c:pt>
                  <c:pt idx="46">
                    <c:v>T3</c:v>
                  </c:pt>
                  <c:pt idx="47">
                    <c:v>T4</c:v>
                  </c:pt>
                  <c:pt idx="48">
                    <c:v>T1</c:v>
                  </c:pt>
                  <c:pt idx="49">
                    <c:v>T2</c:v>
                  </c:pt>
                  <c:pt idx="50">
                    <c:v>T3</c:v>
                  </c:pt>
                  <c:pt idx="51">
                    <c:v>T4</c:v>
                  </c:pt>
                  <c:pt idx="52">
                    <c:v>T1</c:v>
                  </c:pt>
                  <c:pt idx="53">
                    <c:v>T2</c:v>
                  </c:pt>
                  <c:pt idx="54">
                    <c:v>T3</c:v>
                  </c:pt>
                  <c:pt idx="55">
                    <c:v>T4</c:v>
                  </c:pt>
                  <c:pt idx="56">
                    <c:v>T1</c:v>
                  </c:pt>
                  <c:pt idx="57">
                    <c:v>T2</c:v>
                  </c:pt>
                  <c:pt idx="58">
                    <c:v>T3</c:v>
                  </c:pt>
                  <c:pt idx="59">
                    <c:v>T4</c:v>
                  </c:pt>
                  <c:pt idx="60">
                    <c:v>T1</c:v>
                  </c:pt>
                  <c:pt idx="61">
                    <c:v>T2</c:v>
                  </c:pt>
                  <c:pt idx="62">
                    <c:v>T3</c:v>
                  </c:pt>
                  <c:pt idx="63">
                    <c:v>T4</c:v>
                  </c:pt>
                  <c:pt idx="64">
                    <c:v>T1</c:v>
                  </c:pt>
                  <c:pt idx="65">
                    <c:v>T2</c:v>
                  </c:pt>
                  <c:pt idx="66">
                    <c:v>T3</c:v>
                  </c:pt>
                  <c:pt idx="67">
                    <c:v>T4</c:v>
                  </c:pt>
                </c:lvl>
                <c:lvl>
                  <c:pt idx="0">
                    <c:v>Access Controls</c:v>
                  </c:pt>
                  <c:pt idx="4">
                    <c:v>Awareness and Training</c:v>
                  </c:pt>
                  <c:pt idx="8">
                    <c:v>Audit and Accountability</c:v>
                  </c:pt>
                  <c:pt idx="12">
                    <c:v>Security Assessment</c:v>
                  </c:pt>
                  <c:pt idx="16">
                    <c:v>Configuration</c:v>
                  </c:pt>
                  <c:pt idx="20">
                    <c:v>Contingency Planning</c:v>
                  </c:pt>
                  <c:pt idx="24">
                    <c:v>Authentication &amp; Authorization</c:v>
                  </c:pt>
                  <c:pt idx="28">
                    <c:v>Incident Response</c:v>
                  </c:pt>
                  <c:pt idx="32">
                    <c:v>Maintenance</c:v>
                  </c:pt>
                  <c:pt idx="36">
                    <c:v>Media Protection</c:v>
                  </c:pt>
                  <c:pt idx="40">
                    <c:v>Physical Security</c:v>
                  </c:pt>
                  <c:pt idx="44">
                    <c:v>Planning</c:v>
                  </c:pt>
                  <c:pt idx="48">
                    <c:v>Personnel Security</c:v>
                  </c:pt>
                  <c:pt idx="52">
                    <c:v>Risk Assessments</c:v>
                  </c:pt>
                  <c:pt idx="56">
                    <c:v>System Acquisition</c:v>
                  </c:pt>
                  <c:pt idx="60">
                    <c:v>System Data Protection</c:v>
                  </c:pt>
                  <c:pt idx="64">
                    <c:v>System Data Integrity</c:v>
                  </c:pt>
                </c:lvl>
              </c:multiLvlStrCache>
            </c:multiLvlStrRef>
          </c:cat>
          <c:val>
            <c:numRef>
              <c:f>'Inadequacy Distribution Env1'!$C$2:$C$69</c:f>
            </c:numRef>
          </c:val>
          <c:extLst>
            <c:ext xmlns:c16="http://schemas.microsoft.com/office/drawing/2014/chart" uri="{C3380CC4-5D6E-409C-BE32-E72D297353CC}">
              <c16:uniqueId val="{00000000-A815-4DB1-AAF3-64604BD87103}"/>
            </c:ext>
          </c:extLst>
        </c:ser>
        <c:ser>
          <c:idx val="1"/>
          <c:order val="1"/>
          <c:tx>
            <c:strRef>
              <c:f>'Inadequacy Distribution Env3'!$D$1</c:f>
              <c:strCache>
                <c:ptCount val="1"/>
                <c:pt idx="0">
                  <c:v>Count of Inadequacies</c:v>
                </c:pt>
              </c:strCache>
            </c:strRef>
          </c:tx>
          <c:spPr>
            <a:solidFill>
              <a:schemeClr val="accent2"/>
            </a:solidFill>
            <a:ln>
              <a:noFill/>
            </a:ln>
            <a:effectLst/>
          </c:spPr>
          <c:invertIfNegative val="0"/>
          <c:cat>
            <c:multiLvlStrRef>
              <c:f>'Inadequacy Distribution Env3'!$A$2:$B$69</c:f>
              <c:multiLvlStrCache>
                <c:ptCount val="68"/>
                <c:lvl>
                  <c:pt idx="0">
                    <c:v>T1</c:v>
                  </c:pt>
                  <c:pt idx="1">
                    <c:v>T2</c:v>
                  </c:pt>
                  <c:pt idx="2">
                    <c:v>T3</c:v>
                  </c:pt>
                  <c:pt idx="3">
                    <c:v>T4</c:v>
                  </c:pt>
                  <c:pt idx="4">
                    <c:v>T1</c:v>
                  </c:pt>
                  <c:pt idx="5">
                    <c:v>T2</c:v>
                  </c:pt>
                  <c:pt idx="6">
                    <c:v>T3</c:v>
                  </c:pt>
                  <c:pt idx="7">
                    <c:v>T4</c:v>
                  </c:pt>
                  <c:pt idx="8">
                    <c:v>T1</c:v>
                  </c:pt>
                  <c:pt idx="9">
                    <c:v>T2</c:v>
                  </c:pt>
                  <c:pt idx="10">
                    <c:v>T3</c:v>
                  </c:pt>
                  <c:pt idx="11">
                    <c:v>T4</c:v>
                  </c:pt>
                  <c:pt idx="12">
                    <c:v>T1</c:v>
                  </c:pt>
                  <c:pt idx="13">
                    <c:v>T2</c:v>
                  </c:pt>
                  <c:pt idx="14">
                    <c:v>T3</c:v>
                  </c:pt>
                  <c:pt idx="15">
                    <c:v>T4</c:v>
                  </c:pt>
                  <c:pt idx="16">
                    <c:v>T1</c:v>
                  </c:pt>
                  <c:pt idx="17">
                    <c:v>T2</c:v>
                  </c:pt>
                  <c:pt idx="18">
                    <c:v>T3</c:v>
                  </c:pt>
                  <c:pt idx="19">
                    <c:v>T4</c:v>
                  </c:pt>
                  <c:pt idx="20">
                    <c:v>T1</c:v>
                  </c:pt>
                  <c:pt idx="21">
                    <c:v>T2</c:v>
                  </c:pt>
                  <c:pt idx="22">
                    <c:v>T3</c:v>
                  </c:pt>
                  <c:pt idx="23">
                    <c:v>T4</c:v>
                  </c:pt>
                  <c:pt idx="24">
                    <c:v>T1</c:v>
                  </c:pt>
                  <c:pt idx="25">
                    <c:v>T2</c:v>
                  </c:pt>
                  <c:pt idx="26">
                    <c:v>T3</c:v>
                  </c:pt>
                  <c:pt idx="27">
                    <c:v>T4</c:v>
                  </c:pt>
                  <c:pt idx="28">
                    <c:v>T1</c:v>
                  </c:pt>
                  <c:pt idx="29">
                    <c:v>T2</c:v>
                  </c:pt>
                  <c:pt idx="30">
                    <c:v>T3</c:v>
                  </c:pt>
                  <c:pt idx="31">
                    <c:v>T4</c:v>
                  </c:pt>
                  <c:pt idx="32">
                    <c:v>T1</c:v>
                  </c:pt>
                  <c:pt idx="33">
                    <c:v>T2</c:v>
                  </c:pt>
                  <c:pt idx="34">
                    <c:v>T3</c:v>
                  </c:pt>
                  <c:pt idx="35">
                    <c:v>T4</c:v>
                  </c:pt>
                  <c:pt idx="36">
                    <c:v>T1</c:v>
                  </c:pt>
                  <c:pt idx="37">
                    <c:v>T2</c:v>
                  </c:pt>
                  <c:pt idx="38">
                    <c:v>T3</c:v>
                  </c:pt>
                  <c:pt idx="39">
                    <c:v>T4</c:v>
                  </c:pt>
                  <c:pt idx="40">
                    <c:v>T1</c:v>
                  </c:pt>
                  <c:pt idx="41">
                    <c:v>T2</c:v>
                  </c:pt>
                  <c:pt idx="42">
                    <c:v>T3</c:v>
                  </c:pt>
                  <c:pt idx="43">
                    <c:v>T4</c:v>
                  </c:pt>
                  <c:pt idx="44">
                    <c:v>T1</c:v>
                  </c:pt>
                  <c:pt idx="45">
                    <c:v>T2</c:v>
                  </c:pt>
                  <c:pt idx="46">
                    <c:v>T3</c:v>
                  </c:pt>
                  <c:pt idx="47">
                    <c:v>T4</c:v>
                  </c:pt>
                  <c:pt idx="48">
                    <c:v>T1</c:v>
                  </c:pt>
                  <c:pt idx="49">
                    <c:v>T2</c:v>
                  </c:pt>
                  <c:pt idx="50">
                    <c:v>T3</c:v>
                  </c:pt>
                  <c:pt idx="51">
                    <c:v>T4</c:v>
                  </c:pt>
                  <c:pt idx="52">
                    <c:v>T1</c:v>
                  </c:pt>
                  <c:pt idx="53">
                    <c:v>T2</c:v>
                  </c:pt>
                  <c:pt idx="54">
                    <c:v>T3</c:v>
                  </c:pt>
                  <c:pt idx="55">
                    <c:v>T4</c:v>
                  </c:pt>
                  <c:pt idx="56">
                    <c:v>T1</c:v>
                  </c:pt>
                  <c:pt idx="57">
                    <c:v>T2</c:v>
                  </c:pt>
                  <c:pt idx="58">
                    <c:v>T3</c:v>
                  </c:pt>
                  <c:pt idx="59">
                    <c:v>T4</c:v>
                  </c:pt>
                  <c:pt idx="60">
                    <c:v>T1</c:v>
                  </c:pt>
                  <c:pt idx="61">
                    <c:v>T2</c:v>
                  </c:pt>
                  <c:pt idx="62">
                    <c:v>T3</c:v>
                  </c:pt>
                  <c:pt idx="63">
                    <c:v>T4</c:v>
                  </c:pt>
                  <c:pt idx="64">
                    <c:v>T1</c:v>
                  </c:pt>
                  <c:pt idx="65">
                    <c:v>T2</c:v>
                  </c:pt>
                  <c:pt idx="66">
                    <c:v>T3</c:v>
                  </c:pt>
                  <c:pt idx="67">
                    <c:v>T4</c:v>
                  </c:pt>
                </c:lvl>
                <c:lvl>
                  <c:pt idx="0">
                    <c:v>Access Controls</c:v>
                  </c:pt>
                  <c:pt idx="4">
                    <c:v>Awareness and Training</c:v>
                  </c:pt>
                  <c:pt idx="8">
                    <c:v>Audit and Accountability</c:v>
                  </c:pt>
                  <c:pt idx="12">
                    <c:v>Security Assessment</c:v>
                  </c:pt>
                  <c:pt idx="16">
                    <c:v>Configuration</c:v>
                  </c:pt>
                  <c:pt idx="20">
                    <c:v>Contingency Planning</c:v>
                  </c:pt>
                  <c:pt idx="24">
                    <c:v>Authentication &amp; Authorization</c:v>
                  </c:pt>
                  <c:pt idx="28">
                    <c:v>Incident Response</c:v>
                  </c:pt>
                  <c:pt idx="32">
                    <c:v>Maintenance</c:v>
                  </c:pt>
                  <c:pt idx="36">
                    <c:v>Media Protection</c:v>
                  </c:pt>
                  <c:pt idx="40">
                    <c:v>Physical Security</c:v>
                  </c:pt>
                  <c:pt idx="44">
                    <c:v>Planning</c:v>
                  </c:pt>
                  <c:pt idx="48">
                    <c:v>Personnel Security</c:v>
                  </c:pt>
                  <c:pt idx="52">
                    <c:v>Risk Assessments</c:v>
                  </c:pt>
                  <c:pt idx="56">
                    <c:v>System Acquisition</c:v>
                  </c:pt>
                  <c:pt idx="60">
                    <c:v>System Data Protection</c:v>
                  </c:pt>
                  <c:pt idx="64">
                    <c:v>System Data Integrity</c:v>
                  </c:pt>
                </c:lvl>
              </c:multiLvlStrCache>
            </c:multiLvlStrRef>
          </c:cat>
          <c:val>
            <c:numRef>
              <c:f>'Inadequacy Distribution Env3'!$D$2:$D$69</c:f>
              <c:numCache>
                <c:formatCode>General</c:formatCode>
                <c:ptCount val="6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numCache>
            </c:numRef>
          </c:val>
          <c:extLst>
            <c:ext xmlns:c16="http://schemas.microsoft.com/office/drawing/2014/chart" uri="{C3380CC4-5D6E-409C-BE32-E72D297353CC}">
              <c16:uniqueId val="{00000001-A815-4DB1-AAF3-64604BD87103}"/>
            </c:ext>
          </c:extLst>
        </c:ser>
        <c:dLbls>
          <c:showLegendKey val="0"/>
          <c:showVal val="0"/>
          <c:showCatName val="0"/>
          <c:showSerName val="0"/>
          <c:showPercent val="0"/>
          <c:showBubbleSize val="0"/>
        </c:dLbls>
        <c:gapWidth val="219"/>
        <c:overlap val="-27"/>
        <c:axId val="389622672"/>
        <c:axId val="389627920"/>
      </c:barChart>
      <c:catAx>
        <c:axId val="389622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627920"/>
        <c:crosses val="autoZero"/>
        <c:auto val="1"/>
        <c:lblAlgn val="ctr"/>
        <c:lblOffset val="100"/>
        <c:noMultiLvlLbl val="0"/>
      </c:catAx>
      <c:valAx>
        <c:axId val="389627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6226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of Adequacy by Control</a:t>
            </a:r>
            <a:r>
              <a:rPr lang="en-US" baseline="0"/>
              <a:t> Family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multiLvlStrRef>
              <c:f>'Adequacy Distribution Env1'!$A$1:$B$68</c:f>
              <c:multiLvlStrCache>
                <c:ptCount val="68"/>
                <c:lvl>
                  <c:pt idx="0">
                    <c:v>Adequate</c:v>
                  </c:pt>
                  <c:pt idx="1">
                    <c:v>Inadequate</c:v>
                  </c:pt>
                  <c:pt idx="2">
                    <c:v>N/A</c:v>
                  </c:pt>
                  <c:pt idx="3">
                    <c:v>Blank</c:v>
                  </c:pt>
                  <c:pt idx="4">
                    <c:v>Adequate</c:v>
                  </c:pt>
                  <c:pt idx="5">
                    <c:v>Inadequate</c:v>
                  </c:pt>
                  <c:pt idx="6">
                    <c:v>N/A</c:v>
                  </c:pt>
                  <c:pt idx="7">
                    <c:v>Blank</c:v>
                  </c:pt>
                  <c:pt idx="8">
                    <c:v>Adequate</c:v>
                  </c:pt>
                  <c:pt idx="9">
                    <c:v>Inadequate</c:v>
                  </c:pt>
                  <c:pt idx="10">
                    <c:v>N/A</c:v>
                  </c:pt>
                  <c:pt idx="11">
                    <c:v>Blank</c:v>
                  </c:pt>
                  <c:pt idx="12">
                    <c:v>Adequate</c:v>
                  </c:pt>
                  <c:pt idx="13">
                    <c:v>Inadequate</c:v>
                  </c:pt>
                  <c:pt idx="14">
                    <c:v>N/A</c:v>
                  </c:pt>
                  <c:pt idx="15">
                    <c:v>Blank</c:v>
                  </c:pt>
                  <c:pt idx="16">
                    <c:v>Adequate</c:v>
                  </c:pt>
                  <c:pt idx="17">
                    <c:v>Inadequate</c:v>
                  </c:pt>
                  <c:pt idx="18">
                    <c:v>N/A</c:v>
                  </c:pt>
                  <c:pt idx="19">
                    <c:v>Blank</c:v>
                  </c:pt>
                  <c:pt idx="20">
                    <c:v>Adequate</c:v>
                  </c:pt>
                  <c:pt idx="21">
                    <c:v>Inadequate</c:v>
                  </c:pt>
                  <c:pt idx="22">
                    <c:v>N/A</c:v>
                  </c:pt>
                  <c:pt idx="23">
                    <c:v>Blank</c:v>
                  </c:pt>
                  <c:pt idx="24">
                    <c:v>Adequate</c:v>
                  </c:pt>
                  <c:pt idx="25">
                    <c:v>Inadequate</c:v>
                  </c:pt>
                  <c:pt idx="26">
                    <c:v>N/A</c:v>
                  </c:pt>
                  <c:pt idx="27">
                    <c:v>Blank</c:v>
                  </c:pt>
                  <c:pt idx="28">
                    <c:v>Adequate</c:v>
                  </c:pt>
                  <c:pt idx="29">
                    <c:v>Inadequate</c:v>
                  </c:pt>
                  <c:pt idx="30">
                    <c:v>N/A</c:v>
                  </c:pt>
                  <c:pt idx="31">
                    <c:v>Blank</c:v>
                  </c:pt>
                  <c:pt idx="32">
                    <c:v>Adequate</c:v>
                  </c:pt>
                  <c:pt idx="33">
                    <c:v>Inadequate</c:v>
                  </c:pt>
                  <c:pt idx="34">
                    <c:v>N/A</c:v>
                  </c:pt>
                  <c:pt idx="35">
                    <c:v>Blank</c:v>
                  </c:pt>
                  <c:pt idx="36">
                    <c:v>Adequate</c:v>
                  </c:pt>
                  <c:pt idx="37">
                    <c:v>Inadequate</c:v>
                  </c:pt>
                  <c:pt idx="38">
                    <c:v>N/A</c:v>
                  </c:pt>
                  <c:pt idx="39">
                    <c:v>Blank</c:v>
                  </c:pt>
                  <c:pt idx="40">
                    <c:v>Adequate</c:v>
                  </c:pt>
                  <c:pt idx="41">
                    <c:v>Inadequate</c:v>
                  </c:pt>
                  <c:pt idx="42">
                    <c:v>N/A</c:v>
                  </c:pt>
                  <c:pt idx="43">
                    <c:v>Blank</c:v>
                  </c:pt>
                  <c:pt idx="44">
                    <c:v>Adequate</c:v>
                  </c:pt>
                  <c:pt idx="45">
                    <c:v>Inadequate</c:v>
                  </c:pt>
                  <c:pt idx="46">
                    <c:v>N/A</c:v>
                  </c:pt>
                  <c:pt idx="47">
                    <c:v>Blank</c:v>
                  </c:pt>
                  <c:pt idx="48">
                    <c:v>Adequate</c:v>
                  </c:pt>
                  <c:pt idx="49">
                    <c:v>Inadequate</c:v>
                  </c:pt>
                  <c:pt idx="50">
                    <c:v>N/A</c:v>
                  </c:pt>
                  <c:pt idx="51">
                    <c:v>Blank</c:v>
                  </c:pt>
                  <c:pt idx="52">
                    <c:v>Adequate</c:v>
                  </c:pt>
                  <c:pt idx="53">
                    <c:v>Inadequate</c:v>
                  </c:pt>
                  <c:pt idx="54">
                    <c:v>N/A</c:v>
                  </c:pt>
                  <c:pt idx="55">
                    <c:v>Blank</c:v>
                  </c:pt>
                  <c:pt idx="56">
                    <c:v>Adequate</c:v>
                  </c:pt>
                  <c:pt idx="57">
                    <c:v>Inadequate</c:v>
                  </c:pt>
                  <c:pt idx="58">
                    <c:v>N/A</c:v>
                  </c:pt>
                  <c:pt idx="59">
                    <c:v>Blank</c:v>
                  </c:pt>
                  <c:pt idx="60">
                    <c:v>Adequate</c:v>
                  </c:pt>
                  <c:pt idx="61">
                    <c:v>Inadequate</c:v>
                  </c:pt>
                  <c:pt idx="62">
                    <c:v>N/A</c:v>
                  </c:pt>
                  <c:pt idx="63">
                    <c:v>Blank</c:v>
                  </c:pt>
                  <c:pt idx="64">
                    <c:v>Adequate</c:v>
                  </c:pt>
                  <c:pt idx="65">
                    <c:v>Inadequate</c:v>
                  </c:pt>
                  <c:pt idx="66">
                    <c:v>N/A</c:v>
                  </c:pt>
                  <c:pt idx="67">
                    <c:v>Blank</c:v>
                  </c:pt>
                </c:lvl>
                <c:lvl>
                  <c:pt idx="0">
                    <c:v>Access Controls</c:v>
                  </c:pt>
                  <c:pt idx="4">
                    <c:v>Awareness and Training</c:v>
                  </c:pt>
                  <c:pt idx="8">
                    <c:v>Audit and Accountability</c:v>
                  </c:pt>
                  <c:pt idx="12">
                    <c:v>Security Assessment</c:v>
                  </c:pt>
                  <c:pt idx="16">
                    <c:v>Configuration</c:v>
                  </c:pt>
                  <c:pt idx="20">
                    <c:v>Contingency Planning</c:v>
                  </c:pt>
                  <c:pt idx="24">
                    <c:v>Authentication &amp; Authorization</c:v>
                  </c:pt>
                  <c:pt idx="28">
                    <c:v>Incident Response</c:v>
                  </c:pt>
                  <c:pt idx="32">
                    <c:v>Maintenance</c:v>
                  </c:pt>
                  <c:pt idx="36">
                    <c:v>Media Protection</c:v>
                  </c:pt>
                  <c:pt idx="40">
                    <c:v>Physical Security</c:v>
                  </c:pt>
                  <c:pt idx="44">
                    <c:v>Planning</c:v>
                  </c:pt>
                  <c:pt idx="48">
                    <c:v>Personnel Security</c:v>
                  </c:pt>
                  <c:pt idx="52">
                    <c:v>Risk Assessments</c:v>
                  </c:pt>
                  <c:pt idx="56">
                    <c:v>System Acquisition</c:v>
                  </c:pt>
                  <c:pt idx="60">
                    <c:v>System Data Protection</c:v>
                  </c:pt>
                  <c:pt idx="64">
                    <c:v>System Data Integrity</c:v>
                  </c:pt>
                </c:lvl>
              </c:multiLvlStrCache>
            </c:multiLvlStrRef>
          </c:cat>
          <c:val>
            <c:numRef>
              <c:f>'Adequacy Distribution Env1'!$C$1:$C$68</c:f>
              <c:numCache>
                <c:formatCode>General</c:formatCode>
                <c:ptCount val="68"/>
                <c:pt idx="0">
                  <c:v>0</c:v>
                </c:pt>
                <c:pt idx="1">
                  <c:v>0</c:v>
                </c:pt>
                <c:pt idx="2">
                  <c:v>0</c:v>
                </c:pt>
                <c:pt idx="3">
                  <c:v>33</c:v>
                </c:pt>
                <c:pt idx="4">
                  <c:v>0</c:v>
                </c:pt>
                <c:pt idx="5">
                  <c:v>0</c:v>
                </c:pt>
                <c:pt idx="6">
                  <c:v>0</c:v>
                </c:pt>
                <c:pt idx="7">
                  <c:v>5</c:v>
                </c:pt>
                <c:pt idx="8">
                  <c:v>0</c:v>
                </c:pt>
                <c:pt idx="9">
                  <c:v>0</c:v>
                </c:pt>
                <c:pt idx="10">
                  <c:v>0</c:v>
                </c:pt>
                <c:pt idx="11">
                  <c:v>13</c:v>
                </c:pt>
                <c:pt idx="12">
                  <c:v>0</c:v>
                </c:pt>
                <c:pt idx="13">
                  <c:v>0</c:v>
                </c:pt>
                <c:pt idx="14">
                  <c:v>0</c:v>
                </c:pt>
                <c:pt idx="15">
                  <c:v>17</c:v>
                </c:pt>
                <c:pt idx="16">
                  <c:v>0</c:v>
                </c:pt>
                <c:pt idx="17">
                  <c:v>0</c:v>
                </c:pt>
                <c:pt idx="18">
                  <c:v>0</c:v>
                </c:pt>
                <c:pt idx="19">
                  <c:v>25</c:v>
                </c:pt>
                <c:pt idx="20">
                  <c:v>0</c:v>
                </c:pt>
                <c:pt idx="21">
                  <c:v>0</c:v>
                </c:pt>
                <c:pt idx="22">
                  <c:v>0</c:v>
                </c:pt>
                <c:pt idx="23">
                  <c:v>13</c:v>
                </c:pt>
                <c:pt idx="24">
                  <c:v>0</c:v>
                </c:pt>
                <c:pt idx="25">
                  <c:v>0</c:v>
                </c:pt>
                <c:pt idx="26">
                  <c:v>0</c:v>
                </c:pt>
                <c:pt idx="27">
                  <c:v>19</c:v>
                </c:pt>
                <c:pt idx="28">
                  <c:v>0</c:v>
                </c:pt>
                <c:pt idx="29">
                  <c:v>0</c:v>
                </c:pt>
                <c:pt idx="30">
                  <c:v>0</c:v>
                </c:pt>
                <c:pt idx="31">
                  <c:v>12</c:v>
                </c:pt>
                <c:pt idx="32">
                  <c:v>0</c:v>
                </c:pt>
                <c:pt idx="33">
                  <c:v>0</c:v>
                </c:pt>
                <c:pt idx="34">
                  <c:v>0</c:v>
                </c:pt>
                <c:pt idx="35">
                  <c:v>16</c:v>
                </c:pt>
                <c:pt idx="36">
                  <c:v>0</c:v>
                </c:pt>
                <c:pt idx="37">
                  <c:v>0</c:v>
                </c:pt>
                <c:pt idx="38">
                  <c:v>0</c:v>
                </c:pt>
                <c:pt idx="39">
                  <c:v>10</c:v>
                </c:pt>
                <c:pt idx="40">
                  <c:v>0</c:v>
                </c:pt>
                <c:pt idx="41">
                  <c:v>0</c:v>
                </c:pt>
                <c:pt idx="42">
                  <c:v>0</c:v>
                </c:pt>
                <c:pt idx="43">
                  <c:v>27</c:v>
                </c:pt>
                <c:pt idx="44">
                  <c:v>0</c:v>
                </c:pt>
                <c:pt idx="45">
                  <c:v>0</c:v>
                </c:pt>
                <c:pt idx="46">
                  <c:v>0</c:v>
                </c:pt>
                <c:pt idx="47">
                  <c:v>13</c:v>
                </c:pt>
                <c:pt idx="48">
                  <c:v>0</c:v>
                </c:pt>
                <c:pt idx="49">
                  <c:v>0</c:v>
                </c:pt>
                <c:pt idx="50">
                  <c:v>0</c:v>
                </c:pt>
                <c:pt idx="51">
                  <c:v>11</c:v>
                </c:pt>
                <c:pt idx="52">
                  <c:v>0</c:v>
                </c:pt>
                <c:pt idx="53">
                  <c:v>0</c:v>
                </c:pt>
                <c:pt idx="54">
                  <c:v>0</c:v>
                </c:pt>
                <c:pt idx="55">
                  <c:v>4</c:v>
                </c:pt>
                <c:pt idx="56">
                  <c:v>0</c:v>
                </c:pt>
                <c:pt idx="57">
                  <c:v>0</c:v>
                </c:pt>
                <c:pt idx="58">
                  <c:v>0</c:v>
                </c:pt>
                <c:pt idx="59">
                  <c:v>13</c:v>
                </c:pt>
                <c:pt idx="60">
                  <c:v>0</c:v>
                </c:pt>
                <c:pt idx="61">
                  <c:v>0</c:v>
                </c:pt>
                <c:pt idx="62">
                  <c:v>0</c:v>
                </c:pt>
                <c:pt idx="63">
                  <c:v>27</c:v>
                </c:pt>
                <c:pt idx="64">
                  <c:v>0</c:v>
                </c:pt>
                <c:pt idx="65">
                  <c:v>0</c:v>
                </c:pt>
                <c:pt idx="66">
                  <c:v>0</c:v>
                </c:pt>
                <c:pt idx="67">
                  <c:v>14</c:v>
                </c:pt>
              </c:numCache>
            </c:numRef>
          </c:val>
          <c:extLst>
            <c:ext xmlns:c16="http://schemas.microsoft.com/office/drawing/2014/chart" uri="{C3380CC4-5D6E-409C-BE32-E72D297353CC}">
              <c16:uniqueId val="{00000000-C8B4-4F45-AE13-3BD642905973}"/>
            </c:ext>
          </c:extLst>
        </c:ser>
        <c:dLbls>
          <c:showLegendKey val="0"/>
          <c:showVal val="0"/>
          <c:showCatName val="0"/>
          <c:showSerName val="0"/>
          <c:showPercent val="0"/>
          <c:showBubbleSize val="0"/>
        </c:dLbls>
        <c:gapWidth val="219"/>
        <c:overlap val="-27"/>
        <c:axId val="466239760"/>
        <c:axId val="466239104"/>
      </c:barChart>
      <c:catAx>
        <c:axId val="46623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239104"/>
        <c:crosses val="autoZero"/>
        <c:auto val="1"/>
        <c:lblAlgn val="ctr"/>
        <c:lblOffset val="100"/>
        <c:noMultiLvlLbl val="0"/>
      </c:catAx>
      <c:valAx>
        <c:axId val="466239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2397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of Adequacy by Control</a:t>
            </a:r>
            <a:r>
              <a:rPr lang="en-US" baseline="0"/>
              <a:t> Family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multiLvlStrRef>
              <c:f>'Adequacy Distribution Env2'!$A$1:$B$68</c:f>
              <c:multiLvlStrCache>
                <c:ptCount val="68"/>
                <c:lvl>
                  <c:pt idx="0">
                    <c:v>Adequate</c:v>
                  </c:pt>
                  <c:pt idx="1">
                    <c:v>Inadequate</c:v>
                  </c:pt>
                  <c:pt idx="2">
                    <c:v>N/A</c:v>
                  </c:pt>
                  <c:pt idx="3">
                    <c:v>Blank</c:v>
                  </c:pt>
                  <c:pt idx="4">
                    <c:v>Adequate</c:v>
                  </c:pt>
                  <c:pt idx="5">
                    <c:v>Inadequate</c:v>
                  </c:pt>
                  <c:pt idx="6">
                    <c:v>N/A</c:v>
                  </c:pt>
                  <c:pt idx="7">
                    <c:v>Blank</c:v>
                  </c:pt>
                  <c:pt idx="8">
                    <c:v>Adequate</c:v>
                  </c:pt>
                  <c:pt idx="9">
                    <c:v>Inadequate</c:v>
                  </c:pt>
                  <c:pt idx="10">
                    <c:v>N/A</c:v>
                  </c:pt>
                  <c:pt idx="11">
                    <c:v>Blank</c:v>
                  </c:pt>
                  <c:pt idx="12">
                    <c:v>Adequate</c:v>
                  </c:pt>
                  <c:pt idx="13">
                    <c:v>Inadequate</c:v>
                  </c:pt>
                  <c:pt idx="14">
                    <c:v>N/A</c:v>
                  </c:pt>
                  <c:pt idx="15">
                    <c:v>Blank</c:v>
                  </c:pt>
                  <c:pt idx="16">
                    <c:v>Adequate</c:v>
                  </c:pt>
                  <c:pt idx="17">
                    <c:v>Inadequate</c:v>
                  </c:pt>
                  <c:pt idx="18">
                    <c:v>N/A</c:v>
                  </c:pt>
                  <c:pt idx="19">
                    <c:v>Blank</c:v>
                  </c:pt>
                  <c:pt idx="20">
                    <c:v>Adequate</c:v>
                  </c:pt>
                  <c:pt idx="21">
                    <c:v>Inadequate</c:v>
                  </c:pt>
                  <c:pt idx="22">
                    <c:v>N/A</c:v>
                  </c:pt>
                  <c:pt idx="23">
                    <c:v>Blank</c:v>
                  </c:pt>
                  <c:pt idx="24">
                    <c:v>Adequate</c:v>
                  </c:pt>
                  <c:pt idx="25">
                    <c:v>Inadequate</c:v>
                  </c:pt>
                  <c:pt idx="26">
                    <c:v>N/A</c:v>
                  </c:pt>
                  <c:pt idx="27">
                    <c:v>Blank</c:v>
                  </c:pt>
                  <c:pt idx="28">
                    <c:v>Adequate</c:v>
                  </c:pt>
                  <c:pt idx="29">
                    <c:v>Inadequate</c:v>
                  </c:pt>
                  <c:pt idx="30">
                    <c:v>N/A</c:v>
                  </c:pt>
                  <c:pt idx="31">
                    <c:v>Blank</c:v>
                  </c:pt>
                  <c:pt idx="32">
                    <c:v>Adequate</c:v>
                  </c:pt>
                  <c:pt idx="33">
                    <c:v>Inadequate</c:v>
                  </c:pt>
                  <c:pt idx="34">
                    <c:v>N/A</c:v>
                  </c:pt>
                  <c:pt idx="35">
                    <c:v>Blank</c:v>
                  </c:pt>
                  <c:pt idx="36">
                    <c:v>Adequate</c:v>
                  </c:pt>
                  <c:pt idx="37">
                    <c:v>Inadequate</c:v>
                  </c:pt>
                  <c:pt idx="38">
                    <c:v>N/A</c:v>
                  </c:pt>
                  <c:pt idx="39">
                    <c:v>Blank</c:v>
                  </c:pt>
                  <c:pt idx="40">
                    <c:v>Adequate</c:v>
                  </c:pt>
                  <c:pt idx="41">
                    <c:v>Inadequate</c:v>
                  </c:pt>
                  <c:pt idx="42">
                    <c:v>N/A</c:v>
                  </c:pt>
                  <c:pt idx="43">
                    <c:v>Blank</c:v>
                  </c:pt>
                  <c:pt idx="44">
                    <c:v>Adequate</c:v>
                  </c:pt>
                  <c:pt idx="45">
                    <c:v>Inadequate</c:v>
                  </c:pt>
                  <c:pt idx="46">
                    <c:v>N/A</c:v>
                  </c:pt>
                  <c:pt idx="47">
                    <c:v>Blank</c:v>
                  </c:pt>
                  <c:pt idx="48">
                    <c:v>Adequate</c:v>
                  </c:pt>
                  <c:pt idx="49">
                    <c:v>Inadequate</c:v>
                  </c:pt>
                  <c:pt idx="50">
                    <c:v>N/A</c:v>
                  </c:pt>
                  <c:pt idx="51">
                    <c:v>Blank</c:v>
                  </c:pt>
                  <c:pt idx="52">
                    <c:v>Adequate</c:v>
                  </c:pt>
                  <c:pt idx="53">
                    <c:v>Inadequate</c:v>
                  </c:pt>
                  <c:pt idx="54">
                    <c:v>N/A</c:v>
                  </c:pt>
                  <c:pt idx="55">
                    <c:v>Blank</c:v>
                  </c:pt>
                  <c:pt idx="56">
                    <c:v>Adequate</c:v>
                  </c:pt>
                  <c:pt idx="57">
                    <c:v>Inadequate</c:v>
                  </c:pt>
                  <c:pt idx="58">
                    <c:v>N/A</c:v>
                  </c:pt>
                  <c:pt idx="59">
                    <c:v>Blank</c:v>
                  </c:pt>
                  <c:pt idx="60">
                    <c:v>Adequate</c:v>
                  </c:pt>
                  <c:pt idx="61">
                    <c:v>Inadequate</c:v>
                  </c:pt>
                  <c:pt idx="62">
                    <c:v>N/A</c:v>
                  </c:pt>
                  <c:pt idx="63">
                    <c:v>Blank</c:v>
                  </c:pt>
                  <c:pt idx="64">
                    <c:v>Adequate</c:v>
                  </c:pt>
                  <c:pt idx="65">
                    <c:v>Inadequate</c:v>
                  </c:pt>
                  <c:pt idx="66">
                    <c:v>N/A</c:v>
                  </c:pt>
                  <c:pt idx="67">
                    <c:v>Blank</c:v>
                  </c:pt>
                </c:lvl>
                <c:lvl>
                  <c:pt idx="0">
                    <c:v>Access Controls</c:v>
                  </c:pt>
                  <c:pt idx="4">
                    <c:v>Awareness and Training</c:v>
                  </c:pt>
                  <c:pt idx="8">
                    <c:v>Audit and Accountability</c:v>
                  </c:pt>
                  <c:pt idx="12">
                    <c:v>Security Assessment</c:v>
                  </c:pt>
                  <c:pt idx="16">
                    <c:v>Configuration</c:v>
                  </c:pt>
                  <c:pt idx="20">
                    <c:v>Contingency Planning</c:v>
                  </c:pt>
                  <c:pt idx="24">
                    <c:v>Authentication &amp; Authorization</c:v>
                  </c:pt>
                  <c:pt idx="28">
                    <c:v>Incident Response</c:v>
                  </c:pt>
                  <c:pt idx="32">
                    <c:v>Maintenance</c:v>
                  </c:pt>
                  <c:pt idx="36">
                    <c:v>Media Protection</c:v>
                  </c:pt>
                  <c:pt idx="40">
                    <c:v>Physical Security</c:v>
                  </c:pt>
                  <c:pt idx="44">
                    <c:v>Planning</c:v>
                  </c:pt>
                  <c:pt idx="48">
                    <c:v>Personnel Security</c:v>
                  </c:pt>
                  <c:pt idx="52">
                    <c:v>Risk Assessments</c:v>
                  </c:pt>
                  <c:pt idx="56">
                    <c:v>System Acquisition</c:v>
                  </c:pt>
                  <c:pt idx="60">
                    <c:v>System Data Protection</c:v>
                  </c:pt>
                  <c:pt idx="64">
                    <c:v>System Data Integrity</c:v>
                  </c:pt>
                </c:lvl>
              </c:multiLvlStrCache>
            </c:multiLvlStrRef>
          </c:cat>
          <c:val>
            <c:numRef>
              <c:f>'Adequacy Distribution Env2'!$C$1:$C$68</c:f>
              <c:numCache>
                <c:formatCode>General</c:formatCode>
                <c:ptCount val="68"/>
                <c:pt idx="0">
                  <c:v>0</c:v>
                </c:pt>
                <c:pt idx="1">
                  <c:v>0</c:v>
                </c:pt>
                <c:pt idx="2">
                  <c:v>0</c:v>
                </c:pt>
                <c:pt idx="3">
                  <c:v>33</c:v>
                </c:pt>
                <c:pt idx="4">
                  <c:v>0</c:v>
                </c:pt>
                <c:pt idx="5">
                  <c:v>0</c:v>
                </c:pt>
                <c:pt idx="6">
                  <c:v>0</c:v>
                </c:pt>
                <c:pt idx="7">
                  <c:v>5</c:v>
                </c:pt>
                <c:pt idx="8">
                  <c:v>0</c:v>
                </c:pt>
                <c:pt idx="9">
                  <c:v>0</c:v>
                </c:pt>
                <c:pt idx="10">
                  <c:v>0</c:v>
                </c:pt>
                <c:pt idx="11">
                  <c:v>13</c:v>
                </c:pt>
                <c:pt idx="12">
                  <c:v>0</c:v>
                </c:pt>
                <c:pt idx="13">
                  <c:v>0</c:v>
                </c:pt>
                <c:pt idx="14">
                  <c:v>0</c:v>
                </c:pt>
                <c:pt idx="15">
                  <c:v>17</c:v>
                </c:pt>
                <c:pt idx="16">
                  <c:v>0</c:v>
                </c:pt>
                <c:pt idx="17">
                  <c:v>0</c:v>
                </c:pt>
                <c:pt idx="18">
                  <c:v>0</c:v>
                </c:pt>
                <c:pt idx="19">
                  <c:v>25</c:v>
                </c:pt>
                <c:pt idx="20">
                  <c:v>0</c:v>
                </c:pt>
                <c:pt idx="21">
                  <c:v>0</c:v>
                </c:pt>
                <c:pt idx="22">
                  <c:v>0</c:v>
                </c:pt>
                <c:pt idx="23">
                  <c:v>13</c:v>
                </c:pt>
                <c:pt idx="24">
                  <c:v>0</c:v>
                </c:pt>
                <c:pt idx="25">
                  <c:v>0</c:v>
                </c:pt>
                <c:pt idx="26">
                  <c:v>0</c:v>
                </c:pt>
                <c:pt idx="27">
                  <c:v>19</c:v>
                </c:pt>
                <c:pt idx="28">
                  <c:v>0</c:v>
                </c:pt>
                <c:pt idx="29">
                  <c:v>0</c:v>
                </c:pt>
                <c:pt idx="30">
                  <c:v>0</c:v>
                </c:pt>
                <c:pt idx="31">
                  <c:v>12</c:v>
                </c:pt>
                <c:pt idx="32">
                  <c:v>0</c:v>
                </c:pt>
                <c:pt idx="33">
                  <c:v>0</c:v>
                </c:pt>
                <c:pt idx="34">
                  <c:v>0</c:v>
                </c:pt>
                <c:pt idx="35">
                  <c:v>16</c:v>
                </c:pt>
                <c:pt idx="36">
                  <c:v>0</c:v>
                </c:pt>
                <c:pt idx="37">
                  <c:v>0</c:v>
                </c:pt>
                <c:pt idx="38">
                  <c:v>0</c:v>
                </c:pt>
                <c:pt idx="39">
                  <c:v>10</c:v>
                </c:pt>
                <c:pt idx="40">
                  <c:v>0</c:v>
                </c:pt>
                <c:pt idx="41">
                  <c:v>0</c:v>
                </c:pt>
                <c:pt idx="42">
                  <c:v>0</c:v>
                </c:pt>
                <c:pt idx="43">
                  <c:v>27</c:v>
                </c:pt>
                <c:pt idx="44">
                  <c:v>0</c:v>
                </c:pt>
                <c:pt idx="45">
                  <c:v>0</c:v>
                </c:pt>
                <c:pt idx="46">
                  <c:v>0</c:v>
                </c:pt>
                <c:pt idx="47">
                  <c:v>13</c:v>
                </c:pt>
                <c:pt idx="48">
                  <c:v>0</c:v>
                </c:pt>
                <c:pt idx="49">
                  <c:v>0</c:v>
                </c:pt>
                <c:pt idx="50">
                  <c:v>0</c:v>
                </c:pt>
                <c:pt idx="51">
                  <c:v>11</c:v>
                </c:pt>
                <c:pt idx="52">
                  <c:v>0</c:v>
                </c:pt>
                <c:pt idx="53">
                  <c:v>0</c:v>
                </c:pt>
                <c:pt idx="54">
                  <c:v>0</c:v>
                </c:pt>
                <c:pt idx="55">
                  <c:v>4</c:v>
                </c:pt>
                <c:pt idx="56">
                  <c:v>0</c:v>
                </c:pt>
                <c:pt idx="57">
                  <c:v>0</c:v>
                </c:pt>
                <c:pt idx="58">
                  <c:v>0</c:v>
                </c:pt>
                <c:pt idx="59">
                  <c:v>13</c:v>
                </c:pt>
                <c:pt idx="60">
                  <c:v>0</c:v>
                </c:pt>
                <c:pt idx="61">
                  <c:v>0</c:v>
                </c:pt>
                <c:pt idx="62">
                  <c:v>0</c:v>
                </c:pt>
                <c:pt idx="63">
                  <c:v>27</c:v>
                </c:pt>
                <c:pt idx="64">
                  <c:v>0</c:v>
                </c:pt>
                <c:pt idx="65">
                  <c:v>0</c:v>
                </c:pt>
                <c:pt idx="66">
                  <c:v>0</c:v>
                </c:pt>
                <c:pt idx="67">
                  <c:v>14</c:v>
                </c:pt>
              </c:numCache>
            </c:numRef>
          </c:val>
          <c:extLst>
            <c:ext xmlns:c16="http://schemas.microsoft.com/office/drawing/2014/chart" uri="{C3380CC4-5D6E-409C-BE32-E72D297353CC}">
              <c16:uniqueId val="{00000000-0EF8-42FF-A9A0-BC18579D9469}"/>
            </c:ext>
          </c:extLst>
        </c:ser>
        <c:dLbls>
          <c:showLegendKey val="0"/>
          <c:showVal val="0"/>
          <c:showCatName val="0"/>
          <c:showSerName val="0"/>
          <c:showPercent val="0"/>
          <c:showBubbleSize val="0"/>
        </c:dLbls>
        <c:gapWidth val="219"/>
        <c:overlap val="-27"/>
        <c:axId val="466239760"/>
        <c:axId val="466239104"/>
      </c:barChart>
      <c:catAx>
        <c:axId val="46623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239104"/>
        <c:crosses val="autoZero"/>
        <c:auto val="1"/>
        <c:lblAlgn val="ctr"/>
        <c:lblOffset val="100"/>
        <c:noMultiLvlLbl val="0"/>
      </c:catAx>
      <c:valAx>
        <c:axId val="466239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2397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of Adequacy by Control</a:t>
            </a:r>
            <a:r>
              <a:rPr lang="en-US" baseline="0"/>
              <a:t> Family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multiLvlStrRef>
              <c:f>'Adequacy Distribution Env3'!$A$1:$B$68</c:f>
              <c:multiLvlStrCache>
                <c:ptCount val="68"/>
                <c:lvl>
                  <c:pt idx="0">
                    <c:v>Adequate</c:v>
                  </c:pt>
                  <c:pt idx="1">
                    <c:v>Inadequate</c:v>
                  </c:pt>
                  <c:pt idx="2">
                    <c:v>N/A</c:v>
                  </c:pt>
                  <c:pt idx="3">
                    <c:v>Blank</c:v>
                  </c:pt>
                  <c:pt idx="4">
                    <c:v>Adequate</c:v>
                  </c:pt>
                  <c:pt idx="5">
                    <c:v>Inadequate</c:v>
                  </c:pt>
                  <c:pt idx="6">
                    <c:v>N/A</c:v>
                  </c:pt>
                  <c:pt idx="7">
                    <c:v>Blank</c:v>
                  </c:pt>
                  <c:pt idx="8">
                    <c:v>Adequate</c:v>
                  </c:pt>
                  <c:pt idx="9">
                    <c:v>Inadequate</c:v>
                  </c:pt>
                  <c:pt idx="10">
                    <c:v>N/A</c:v>
                  </c:pt>
                  <c:pt idx="11">
                    <c:v>Blank</c:v>
                  </c:pt>
                  <c:pt idx="12">
                    <c:v>Adequate</c:v>
                  </c:pt>
                  <c:pt idx="13">
                    <c:v>Inadequate</c:v>
                  </c:pt>
                  <c:pt idx="14">
                    <c:v>N/A</c:v>
                  </c:pt>
                  <c:pt idx="15">
                    <c:v>Blank</c:v>
                  </c:pt>
                  <c:pt idx="16">
                    <c:v>Adequate</c:v>
                  </c:pt>
                  <c:pt idx="17">
                    <c:v>Inadequate</c:v>
                  </c:pt>
                  <c:pt idx="18">
                    <c:v>N/A</c:v>
                  </c:pt>
                  <c:pt idx="19">
                    <c:v>Blank</c:v>
                  </c:pt>
                  <c:pt idx="20">
                    <c:v>Adequate</c:v>
                  </c:pt>
                  <c:pt idx="21">
                    <c:v>Inadequate</c:v>
                  </c:pt>
                  <c:pt idx="22">
                    <c:v>N/A</c:v>
                  </c:pt>
                  <c:pt idx="23">
                    <c:v>Blank</c:v>
                  </c:pt>
                  <c:pt idx="24">
                    <c:v>Adequate</c:v>
                  </c:pt>
                  <c:pt idx="25">
                    <c:v>Inadequate</c:v>
                  </c:pt>
                  <c:pt idx="26">
                    <c:v>N/A</c:v>
                  </c:pt>
                  <c:pt idx="27">
                    <c:v>Blank</c:v>
                  </c:pt>
                  <c:pt idx="28">
                    <c:v>Adequate</c:v>
                  </c:pt>
                  <c:pt idx="29">
                    <c:v>Inadequate</c:v>
                  </c:pt>
                  <c:pt idx="30">
                    <c:v>N/A</c:v>
                  </c:pt>
                  <c:pt idx="31">
                    <c:v>Blank</c:v>
                  </c:pt>
                  <c:pt idx="32">
                    <c:v>Adequate</c:v>
                  </c:pt>
                  <c:pt idx="33">
                    <c:v>Inadequate</c:v>
                  </c:pt>
                  <c:pt idx="34">
                    <c:v>N/A</c:v>
                  </c:pt>
                  <c:pt idx="35">
                    <c:v>Blank</c:v>
                  </c:pt>
                  <c:pt idx="36">
                    <c:v>Adequate</c:v>
                  </c:pt>
                  <c:pt idx="37">
                    <c:v>Inadequate</c:v>
                  </c:pt>
                  <c:pt idx="38">
                    <c:v>N/A</c:v>
                  </c:pt>
                  <c:pt idx="39">
                    <c:v>Blank</c:v>
                  </c:pt>
                  <c:pt idx="40">
                    <c:v>Adequate</c:v>
                  </c:pt>
                  <c:pt idx="41">
                    <c:v>Inadequate</c:v>
                  </c:pt>
                  <c:pt idx="42">
                    <c:v>N/A</c:v>
                  </c:pt>
                  <c:pt idx="43">
                    <c:v>Blank</c:v>
                  </c:pt>
                  <c:pt idx="44">
                    <c:v>Adequate</c:v>
                  </c:pt>
                  <c:pt idx="45">
                    <c:v>Inadequate</c:v>
                  </c:pt>
                  <c:pt idx="46">
                    <c:v>N/A</c:v>
                  </c:pt>
                  <c:pt idx="47">
                    <c:v>Blank</c:v>
                  </c:pt>
                  <c:pt idx="48">
                    <c:v>Adequate</c:v>
                  </c:pt>
                  <c:pt idx="49">
                    <c:v>Inadequate</c:v>
                  </c:pt>
                  <c:pt idx="50">
                    <c:v>N/A</c:v>
                  </c:pt>
                  <c:pt idx="51">
                    <c:v>Blank</c:v>
                  </c:pt>
                  <c:pt idx="52">
                    <c:v>Adequate</c:v>
                  </c:pt>
                  <c:pt idx="53">
                    <c:v>Inadequate</c:v>
                  </c:pt>
                  <c:pt idx="54">
                    <c:v>N/A</c:v>
                  </c:pt>
                  <c:pt idx="55">
                    <c:v>Blank</c:v>
                  </c:pt>
                  <c:pt idx="56">
                    <c:v>Adequate</c:v>
                  </c:pt>
                  <c:pt idx="57">
                    <c:v>Inadequate</c:v>
                  </c:pt>
                  <c:pt idx="58">
                    <c:v>N/A</c:v>
                  </c:pt>
                  <c:pt idx="59">
                    <c:v>Blank</c:v>
                  </c:pt>
                  <c:pt idx="60">
                    <c:v>Adequate</c:v>
                  </c:pt>
                  <c:pt idx="61">
                    <c:v>Inadequate</c:v>
                  </c:pt>
                  <c:pt idx="62">
                    <c:v>N/A</c:v>
                  </c:pt>
                  <c:pt idx="63">
                    <c:v>Blank</c:v>
                  </c:pt>
                  <c:pt idx="64">
                    <c:v>Adequate</c:v>
                  </c:pt>
                  <c:pt idx="65">
                    <c:v>Inadequate</c:v>
                  </c:pt>
                  <c:pt idx="66">
                    <c:v>N/A</c:v>
                  </c:pt>
                  <c:pt idx="67">
                    <c:v>Blank</c:v>
                  </c:pt>
                </c:lvl>
                <c:lvl>
                  <c:pt idx="0">
                    <c:v>Access Controls</c:v>
                  </c:pt>
                  <c:pt idx="4">
                    <c:v>Awareness and Training</c:v>
                  </c:pt>
                  <c:pt idx="8">
                    <c:v>Audit and Accountability</c:v>
                  </c:pt>
                  <c:pt idx="12">
                    <c:v>Security Assessment</c:v>
                  </c:pt>
                  <c:pt idx="16">
                    <c:v>Configuration</c:v>
                  </c:pt>
                  <c:pt idx="20">
                    <c:v>Contingency Planning</c:v>
                  </c:pt>
                  <c:pt idx="24">
                    <c:v>Authentication &amp; Authorization</c:v>
                  </c:pt>
                  <c:pt idx="28">
                    <c:v>Incident Response</c:v>
                  </c:pt>
                  <c:pt idx="32">
                    <c:v>Maintenance</c:v>
                  </c:pt>
                  <c:pt idx="36">
                    <c:v>Media Protection</c:v>
                  </c:pt>
                  <c:pt idx="40">
                    <c:v>Physical Security</c:v>
                  </c:pt>
                  <c:pt idx="44">
                    <c:v>Planning</c:v>
                  </c:pt>
                  <c:pt idx="48">
                    <c:v>Personnel Security</c:v>
                  </c:pt>
                  <c:pt idx="52">
                    <c:v>Risk Assessments</c:v>
                  </c:pt>
                  <c:pt idx="56">
                    <c:v>System Acquisition</c:v>
                  </c:pt>
                  <c:pt idx="60">
                    <c:v>System Data Protection</c:v>
                  </c:pt>
                  <c:pt idx="64">
                    <c:v>System Data Integrity</c:v>
                  </c:pt>
                </c:lvl>
              </c:multiLvlStrCache>
            </c:multiLvlStrRef>
          </c:cat>
          <c:val>
            <c:numRef>
              <c:f>'Adequacy Distribution Env3'!$C$1:$C$68</c:f>
              <c:numCache>
                <c:formatCode>General</c:formatCode>
                <c:ptCount val="68"/>
                <c:pt idx="0">
                  <c:v>0</c:v>
                </c:pt>
                <c:pt idx="1">
                  <c:v>0</c:v>
                </c:pt>
                <c:pt idx="2">
                  <c:v>0</c:v>
                </c:pt>
                <c:pt idx="3">
                  <c:v>33</c:v>
                </c:pt>
                <c:pt idx="4">
                  <c:v>0</c:v>
                </c:pt>
                <c:pt idx="5">
                  <c:v>0</c:v>
                </c:pt>
                <c:pt idx="6">
                  <c:v>0</c:v>
                </c:pt>
                <c:pt idx="7">
                  <c:v>5</c:v>
                </c:pt>
                <c:pt idx="8">
                  <c:v>0</c:v>
                </c:pt>
                <c:pt idx="9">
                  <c:v>0</c:v>
                </c:pt>
                <c:pt idx="10">
                  <c:v>0</c:v>
                </c:pt>
                <c:pt idx="11">
                  <c:v>13</c:v>
                </c:pt>
                <c:pt idx="12">
                  <c:v>0</c:v>
                </c:pt>
                <c:pt idx="13">
                  <c:v>0</c:v>
                </c:pt>
                <c:pt idx="14">
                  <c:v>0</c:v>
                </c:pt>
                <c:pt idx="15">
                  <c:v>17</c:v>
                </c:pt>
                <c:pt idx="16">
                  <c:v>0</c:v>
                </c:pt>
                <c:pt idx="17">
                  <c:v>0</c:v>
                </c:pt>
                <c:pt idx="18">
                  <c:v>0</c:v>
                </c:pt>
                <c:pt idx="19">
                  <c:v>25</c:v>
                </c:pt>
                <c:pt idx="20">
                  <c:v>0</c:v>
                </c:pt>
                <c:pt idx="21">
                  <c:v>0</c:v>
                </c:pt>
                <c:pt idx="22">
                  <c:v>0</c:v>
                </c:pt>
                <c:pt idx="23">
                  <c:v>13</c:v>
                </c:pt>
                <c:pt idx="24">
                  <c:v>0</c:v>
                </c:pt>
                <c:pt idx="25">
                  <c:v>0</c:v>
                </c:pt>
                <c:pt idx="26">
                  <c:v>0</c:v>
                </c:pt>
                <c:pt idx="27">
                  <c:v>19</c:v>
                </c:pt>
                <c:pt idx="28">
                  <c:v>0</c:v>
                </c:pt>
                <c:pt idx="29">
                  <c:v>0</c:v>
                </c:pt>
                <c:pt idx="30">
                  <c:v>0</c:v>
                </c:pt>
                <c:pt idx="31">
                  <c:v>12</c:v>
                </c:pt>
                <c:pt idx="32">
                  <c:v>0</c:v>
                </c:pt>
                <c:pt idx="33">
                  <c:v>0</c:v>
                </c:pt>
                <c:pt idx="34">
                  <c:v>0</c:v>
                </c:pt>
                <c:pt idx="35">
                  <c:v>16</c:v>
                </c:pt>
                <c:pt idx="36">
                  <c:v>0</c:v>
                </c:pt>
                <c:pt idx="37">
                  <c:v>0</c:v>
                </c:pt>
                <c:pt idx="38">
                  <c:v>0</c:v>
                </c:pt>
                <c:pt idx="39">
                  <c:v>10</c:v>
                </c:pt>
                <c:pt idx="40">
                  <c:v>0</c:v>
                </c:pt>
                <c:pt idx="41">
                  <c:v>0</c:v>
                </c:pt>
                <c:pt idx="42">
                  <c:v>0</c:v>
                </c:pt>
                <c:pt idx="43">
                  <c:v>27</c:v>
                </c:pt>
                <c:pt idx="44">
                  <c:v>0</c:v>
                </c:pt>
                <c:pt idx="45">
                  <c:v>0</c:v>
                </c:pt>
                <c:pt idx="46">
                  <c:v>0</c:v>
                </c:pt>
                <c:pt idx="47">
                  <c:v>13</c:v>
                </c:pt>
                <c:pt idx="48">
                  <c:v>0</c:v>
                </c:pt>
                <c:pt idx="49">
                  <c:v>0</c:v>
                </c:pt>
                <c:pt idx="50">
                  <c:v>0</c:v>
                </c:pt>
                <c:pt idx="51">
                  <c:v>11</c:v>
                </c:pt>
                <c:pt idx="52">
                  <c:v>0</c:v>
                </c:pt>
                <c:pt idx="53">
                  <c:v>0</c:v>
                </c:pt>
                <c:pt idx="54">
                  <c:v>0</c:v>
                </c:pt>
                <c:pt idx="55">
                  <c:v>4</c:v>
                </c:pt>
                <c:pt idx="56">
                  <c:v>0</c:v>
                </c:pt>
                <c:pt idx="57">
                  <c:v>0</c:v>
                </c:pt>
                <c:pt idx="58">
                  <c:v>0</c:v>
                </c:pt>
                <c:pt idx="59">
                  <c:v>13</c:v>
                </c:pt>
                <c:pt idx="60">
                  <c:v>0</c:v>
                </c:pt>
                <c:pt idx="61">
                  <c:v>0</c:v>
                </c:pt>
                <c:pt idx="62">
                  <c:v>0</c:v>
                </c:pt>
                <c:pt idx="63">
                  <c:v>27</c:v>
                </c:pt>
                <c:pt idx="64">
                  <c:v>0</c:v>
                </c:pt>
                <c:pt idx="65">
                  <c:v>0</c:v>
                </c:pt>
                <c:pt idx="66">
                  <c:v>0</c:v>
                </c:pt>
                <c:pt idx="67">
                  <c:v>14</c:v>
                </c:pt>
              </c:numCache>
            </c:numRef>
          </c:val>
          <c:extLst>
            <c:ext xmlns:c16="http://schemas.microsoft.com/office/drawing/2014/chart" uri="{C3380CC4-5D6E-409C-BE32-E72D297353CC}">
              <c16:uniqueId val="{00000000-EE2E-4CEB-9950-414F08CA1890}"/>
            </c:ext>
          </c:extLst>
        </c:ser>
        <c:dLbls>
          <c:showLegendKey val="0"/>
          <c:showVal val="0"/>
          <c:showCatName val="0"/>
          <c:showSerName val="0"/>
          <c:showPercent val="0"/>
          <c:showBubbleSize val="0"/>
        </c:dLbls>
        <c:gapWidth val="219"/>
        <c:overlap val="-27"/>
        <c:axId val="466239760"/>
        <c:axId val="466239104"/>
      </c:barChart>
      <c:catAx>
        <c:axId val="46623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239104"/>
        <c:crosses val="autoZero"/>
        <c:auto val="1"/>
        <c:lblAlgn val="ctr"/>
        <c:lblOffset val="100"/>
        <c:noMultiLvlLbl val="0"/>
      </c:catAx>
      <c:valAx>
        <c:axId val="466239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2397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3333750</xdr:colOff>
      <xdr:row>0</xdr:row>
      <xdr:rowOff>85725</xdr:rowOff>
    </xdr:from>
    <xdr:to>
      <xdr:col>0</xdr:col>
      <xdr:colOff>15278100</xdr:colOff>
      <xdr:row>0</xdr:row>
      <xdr:rowOff>95250</xdr:rowOff>
    </xdr:to>
    <xdr:cxnSp macro="">
      <xdr:nvCxnSpPr>
        <xdr:cNvPr id="2" name="Straight Connector 1">
          <a:extLst>
            <a:ext uri="{FF2B5EF4-FFF2-40B4-BE49-F238E27FC236}">
              <a16:creationId xmlns:a16="http://schemas.microsoft.com/office/drawing/2014/main" id="{00000000-0008-0000-0000-000002000000}"/>
            </a:ext>
          </a:extLst>
        </xdr:cNvPr>
        <xdr:cNvCxnSpPr/>
      </xdr:nvCxnSpPr>
      <xdr:spPr>
        <a:xfrm>
          <a:off x="3333750" y="85725"/>
          <a:ext cx="11944350" cy="9525"/>
        </a:xfrm>
        <a:prstGeom prst="line">
          <a:avLst/>
        </a:prstGeom>
        <a:ln w="28575">
          <a:solidFill>
            <a:srgbClr val="840000"/>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3372678</xdr:colOff>
      <xdr:row>2</xdr:row>
      <xdr:rowOff>710648</xdr:rowOff>
    </xdr:from>
    <xdr:to>
      <xdr:col>0</xdr:col>
      <xdr:colOff>15317028</xdr:colOff>
      <xdr:row>2</xdr:row>
      <xdr:rowOff>720173</xdr:rowOff>
    </xdr:to>
    <xdr:cxnSp macro="">
      <xdr:nvCxnSpPr>
        <xdr:cNvPr id="3" name="Straight Connector 2">
          <a:extLst>
            <a:ext uri="{FF2B5EF4-FFF2-40B4-BE49-F238E27FC236}">
              <a16:creationId xmlns:a16="http://schemas.microsoft.com/office/drawing/2014/main" id="{00000000-0008-0000-0000-000003000000}"/>
            </a:ext>
          </a:extLst>
        </xdr:cNvPr>
        <xdr:cNvCxnSpPr/>
      </xdr:nvCxnSpPr>
      <xdr:spPr>
        <a:xfrm>
          <a:off x="3372678" y="3368123"/>
          <a:ext cx="11944350" cy="9525"/>
        </a:xfrm>
        <a:prstGeom prst="line">
          <a:avLst/>
        </a:prstGeom>
        <a:ln w="28575">
          <a:solidFill>
            <a:srgbClr val="840000"/>
          </a:solidFill>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0</xdr:colOff>
      <xdr:row>2</xdr:row>
      <xdr:rowOff>2247900</xdr:rowOff>
    </xdr:from>
    <xdr:to>
      <xdr:col>0</xdr:col>
      <xdr:colOff>2742973</xdr:colOff>
      <xdr:row>19</xdr:row>
      <xdr:rowOff>130094</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4905375"/>
          <a:ext cx="2742973" cy="2511344"/>
        </a:xfrm>
        <a:prstGeom prst="rect">
          <a:avLst/>
        </a:prstGeom>
      </xdr:spPr>
    </xdr:pic>
    <xdr:clientData/>
  </xdr:twoCellAnchor>
  <xdr:twoCellAnchor editAs="oneCell">
    <xdr:from>
      <xdr:col>0</xdr:col>
      <xdr:colOff>5562600</xdr:colOff>
      <xdr:row>2</xdr:row>
      <xdr:rowOff>1047750</xdr:rowOff>
    </xdr:from>
    <xdr:to>
      <xdr:col>0</xdr:col>
      <xdr:colOff>11449050</xdr:colOff>
      <xdr:row>10</xdr:row>
      <xdr:rowOff>57150</xdr:rowOff>
    </xdr:to>
    <xdr:pic>
      <xdr:nvPicPr>
        <xdr:cNvPr id="8" name="Picture 7">
          <a:extLst>
            <a:ext uri="{FF2B5EF4-FFF2-40B4-BE49-F238E27FC236}">
              <a16:creationId xmlns:a16="http://schemas.microsoft.com/office/drawing/2014/main" id="{91938129-8E62-44B4-B697-B41B29597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62600" y="3705225"/>
          <a:ext cx="5886450" cy="10001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180974</xdr:colOff>
      <xdr:row>0</xdr:row>
      <xdr:rowOff>171449</xdr:rowOff>
    </xdr:from>
    <xdr:to>
      <xdr:col>27</xdr:col>
      <xdr:colOff>133349</xdr:colOff>
      <xdr:row>32</xdr:row>
      <xdr:rowOff>47624</xdr:rowOff>
    </xdr:to>
    <xdr:graphicFrame macro="">
      <xdr:nvGraphicFramePr>
        <xdr:cNvPr id="4" name="Chart 3">
          <a:extLst>
            <a:ext uri="{FF2B5EF4-FFF2-40B4-BE49-F238E27FC236}">
              <a16:creationId xmlns:a16="http://schemas.microsoft.com/office/drawing/2014/main" id="{00000000-0008-0000-1D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180974</xdr:colOff>
      <xdr:row>0</xdr:row>
      <xdr:rowOff>171449</xdr:rowOff>
    </xdr:from>
    <xdr:to>
      <xdr:col>27</xdr:col>
      <xdr:colOff>133349</xdr:colOff>
      <xdr:row>32</xdr:row>
      <xdr:rowOff>47624</xdr:rowOff>
    </xdr:to>
    <xdr:graphicFrame macro="">
      <xdr:nvGraphicFramePr>
        <xdr:cNvPr id="2" name="Chart 1">
          <a:extLst>
            <a:ext uri="{FF2B5EF4-FFF2-40B4-BE49-F238E27FC236}">
              <a16:creationId xmlns:a16="http://schemas.microsoft.com/office/drawing/2014/main" id="{00000000-0008-0000-1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180974</xdr:colOff>
      <xdr:row>0</xdr:row>
      <xdr:rowOff>171449</xdr:rowOff>
    </xdr:from>
    <xdr:to>
      <xdr:col>27</xdr:col>
      <xdr:colOff>133349</xdr:colOff>
      <xdr:row>32</xdr:row>
      <xdr:rowOff>47624</xdr:rowOff>
    </xdr:to>
    <xdr:graphicFrame macro="">
      <xdr:nvGraphicFramePr>
        <xdr:cNvPr id="2" name="Chart 1">
          <a:extLst>
            <a:ext uri="{FF2B5EF4-FFF2-40B4-BE49-F238E27FC236}">
              <a16:creationId xmlns:a16="http://schemas.microsoft.com/office/drawing/2014/main" id="{00000000-0008-0000-1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523875</xdr:colOff>
      <xdr:row>0</xdr:row>
      <xdr:rowOff>95250</xdr:rowOff>
    </xdr:from>
    <xdr:to>
      <xdr:col>27</xdr:col>
      <xdr:colOff>171450</xdr:colOff>
      <xdr:row>35</xdr:row>
      <xdr:rowOff>57150</xdr:rowOff>
    </xdr:to>
    <xdr:graphicFrame macro="">
      <xdr:nvGraphicFramePr>
        <xdr:cNvPr id="2" name="Chart 1">
          <a:extLst>
            <a:ext uri="{FF2B5EF4-FFF2-40B4-BE49-F238E27FC236}">
              <a16:creationId xmlns:a16="http://schemas.microsoft.com/office/drawing/2014/main" id="{00000000-0008-0000-2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523875</xdr:colOff>
      <xdr:row>0</xdr:row>
      <xdr:rowOff>95250</xdr:rowOff>
    </xdr:from>
    <xdr:to>
      <xdr:col>27</xdr:col>
      <xdr:colOff>171450</xdr:colOff>
      <xdr:row>35</xdr:row>
      <xdr:rowOff>57150</xdr:rowOff>
    </xdr:to>
    <xdr:graphicFrame macro="">
      <xdr:nvGraphicFramePr>
        <xdr:cNvPr id="2" name="Chart 1">
          <a:extLst>
            <a:ext uri="{FF2B5EF4-FFF2-40B4-BE49-F238E27FC236}">
              <a16:creationId xmlns:a16="http://schemas.microsoft.com/office/drawing/2014/main" id="{00000000-0008-0000-2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523875</xdr:colOff>
      <xdr:row>0</xdr:row>
      <xdr:rowOff>95250</xdr:rowOff>
    </xdr:from>
    <xdr:to>
      <xdr:col>27</xdr:col>
      <xdr:colOff>171450</xdr:colOff>
      <xdr:row>35</xdr:row>
      <xdr:rowOff>57150</xdr:rowOff>
    </xdr:to>
    <xdr:graphicFrame macro="">
      <xdr:nvGraphicFramePr>
        <xdr:cNvPr id="2" name="Chart 1">
          <a:extLst>
            <a:ext uri="{FF2B5EF4-FFF2-40B4-BE49-F238E27FC236}">
              <a16:creationId xmlns:a16="http://schemas.microsoft.com/office/drawing/2014/main" id="{00000000-0008-0000-2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476249</xdr:colOff>
      <xdr:row>0</xdr:row>
      <xdr:rowOff>152399</xdr:rowOff>
    </xdr:from>
    <xdr:to>
      <xdr:col>25</xdr:col>
      <xdr:colOff>295274</xdr:colOff>
      <xdr:row>34</xdr:row>
      <xdr:rowOff>142874</xdr:rowOff>
    </xdr:to>
    <xdr:graphicFrame macro="">
      <xdr:nvGraphicFramePr>
        <xdr:cNvPr id="2" name="Chart 1">
          <a:extLst>
            <a:ext uri="{FF2B5EF4-FFF2-40B4-BE49-F238E27FC236}">
              <a16:creationId xmlns:a16="http://schemas.microsoft.com/office/drawing/2014/main" id="{00000000-0008-0000-2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476249</xdr:colOff>
      <xdr:row>0</xdr:row>
      <xdr:rowOff>152399</xdr:rowOff>
    </xdr:from>
    <xdr:to>
      <xdr:col>25</xdr:col>
      <xdr:colOff>295274</xdr:colOff>
      <xdr:row>34</xdr:row>
      <xdr:rowOff>142874</xdr:rowOff>
    </xdr:to>
    <xdr:graphicFrame macro="">
      <xdr:nvGraphicFramePr>
        <xdr:cNvPr id="2" name="Chart 1">
          <a:extLst>
            <a:ext uri="{FF2B5EF4-FFF2-40B4-BE49-F238E27FC236}">
              <a16:creationId xmlns:a16="http://schemas.microsoft.com/office/drawing/2014/main" id="{00000000-0008-0000-2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476249</xdr:colOff>
      <xdr:row>0</xdr:row>
      <xdr:rowOff>152399</xdr:rowOff>
    </xdr:from>
    <xdr:to>
      <xdr:col>25</xdr:col>
      <xdr:colOff>295274</xdr:colOff>
      <xdr:row>34</xdr:row>
      <xdr:rowOff>142874</xdr:rowOff>
    </xdr:to>
    <xdr:graphicFrame macro="">
      <xdr:nvGraphicFramePr>
        <xdr:cNvPr id="2" name="Chart 1">
          <a:extLst>
            <a:ext uri="{FF2B5EF4-FFF2-40B4-BE49-F238E27FC236}">
              <a16:creationId xmlns:a16="http://schemas.microsoft.com/office/drawing/2014/main" id="{00000000-0008-0000-2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3" Type="http://schemas.openxmlformats.org/officeDocument/2006/relationships/hyperlink" Target="mailto:bruno.bendavid@perigen.com" TargetMode="External"/><Relationship Id="rId2" Type="http://schemas.openxmlformats.org/officeDocument/2006/relationships/hyperlink" Target="mailto:bruno.bendavid@perigen.com" TargetMode="External"/><Relationship Id="rId1" Type="http://schemas.openxmlformats.org/officeDocument/2006/relationships/hyperlink" Target="http://www.perigen.com/" TargetMode="External"/><Relationship Id="rId4"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8" Type="http://schemas.openxmlformats.org/officeDocument/2006/relationships/hyperlink" Target="https://nvd.nist.gov/800-53/Rev4/control/AC-8" TargetMode="External"/><Relationship Id="rId13" Type="http://schemas.openxmlformats.org/officeDocument/2006/relationships/hyperlink" Target="https://nvd.nist.gov/800-53/Rev4/control/AC-14" TargetMode="External"/><Relationship Id="rId18" Type="http://schemas.openxmlformats.org/officeDocument/2006/relationships/hyperlink" Target="https://nvd.nist.gov/800-53/Rev4/control/AC-20" TargetMode="External"/><Relationship Id="rId3" Type="http://schemas.openxmlformats.org/officeDocument/2006/relationships/hyperlink" Target="https://nvd.nist.gov/800-53/Rev4/control/AC-2" TargetMode="External"/><Relationship Id="rId21" Type="http://schemas.openxmlformats.org/officeDocument/2006/relationships/printerSettings" Target="../printerSettings/printerSettings7.bin"/><Relationship Id="rId7" Type="http://schemas.openxmlformats.org/officeDocument/2006/relationships/hyperlink" Target="https://nvd.nist.gov/800-53/Rev4/control/AC-7" TargetMode="External"/><Relationship Id="rId12" Type="http://schemas.openxmlformats.org/officeDocument/2006/relationships/hyperlink" Target="https://nvd.nist.gov/800-53/Rev4/control/AC-12" TargetMode="External"/><Relationship Id="rId17" Type="http://schemas.openxmlformats.org/officeDocument/2006/relationships/hyperlink" Target="https://nvd.nist.gov/800-53/Rev4/control/AC-19" TargetMode="External"/><Relationship Id="rId2" Type="http://schemas.openxmlformats.org/officeDocument/2006/relationships/hyperlink" Target="https://nvd.nist.gov/800-53/Rev4/control/AC-2" TargetMode="External"/><Relationship Id="rId16" Type="http://schemas.openxmlformats.org/officeDocument/2006/relationships/hyperlink" Target="https://nvd.nist.gov/800-53/Rev4/control/AC-18" TargetMode="External"/><Relationship Id="rId20" Type="http://schemas.openxmlformats.org/officeDocument/2006/relationships/hyperlink" Target="https://nvd.nist.gov/800-53/Rev4/control/AC-22" TargetMode="External"/><Relationship Id="rId1" Type="http://schemas.openxmlformats.org/officeDocument/2006/relationships/hyperlink" Target="https://nvd.nist.gov/800-53/Rev4/control/AC-1" TargetMode="External"/><Relationship Id="rId6" Type="http://schemas.openxmlformats.org/officeDocument/2006/relationships/hyperlink" Target="https://nvd.nist.gov/800-53/Rev4/control/AC-6" TargetMode="External"/><Relationship Id="rId11" Type="http://schemas.openxmlformats.org/officeDocument/2006/relationships/hyperlink" Target="https://nvd.nist.gov/800-53/Rev4/control/AC-11" TargetMode="External"/><Relationship Id="rId5" Type="http://schemas.openxmlformats.org/officeDocument/2006/relationships/hyperlink" Target="https://nvd.nist.gov/800-53/Rev4/control/AC-5" TargetMode="External"/><Relationship Id="rId15" Type="http://schemas.openxmlformats.org/officeDocument/2006/relationships/hyperlink" Target="https://nvd.nist.gov/800-53/Rev4/control/AC-17" TargetMode="External"/><Relationship Id="rId10" Type="http://schemas.openxmlformats.org/officeDocument/2006/relationships/hyperlink" Target="https://nvd.nist.gov/800-53/Rev4/control/AC-10" TargetMode="External"/><Relationship Id="rId19" Type="http://schemas.openxmlformats.org/officeDocument/2006/relationships/hyperlink" Target="https://nvd.nist.gov/800-53/Rev4/control/AC-21" TargetMode="External"/><Relationship Id="rId4" Type="http://schemas.openxmlformats.org/officeDocument/2006/relationships/hyperlink" Target="https://nvd.nist.gov/800-53/Rev4/control/AC-4" TargetMode="External"/><Relationship Id="rId9" Type="http://schemas.openxmlformats.org/officeDocument/2006/relationships/hyperlink" Target="https://nvd.nist.gov/800-53/Rev4/control/AC-9" TargetMode="External"/><Relationship Id="rId14" Type="http://schemas.openxmlformats.org/officeDocument/2006/relationships/hyperlink" Target="https://nvd.nist.gov/800-53/Rev4/control/AC-16"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nvd.nist.gov/800-53/Rev4/control/AT-3" TargetMode="External"/><Relationship Id="rId2" Type="http://schemas.openxmlformats.org/officeDocument/2006/relationships/hyperlink" Target="https://nvd.nist.gov/800-53/Rev4/control/AT-2" TargetMode="External"/><Relationship Id="rId1" Type="http://schemas.openxmlformats.org/officeDocument/2006/relationships/hyperlink" Target="https://nvd.nist.gov/800-53/Rev4/control/AT-1" TargetMode="External"/><Relationship Id="rId4" Type="http://schemas.openxmlformats.org/officeDocument/2006/relationships/hyperlink" Target="https://nvd.nist.gov/800-53/Rev4/control/AT-4"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nvd.nist.gov/800-53/Rev4/control/AU-8" TargetMode="External"/><Relationship Id="rId3" Type="http://schemas.openxmlformats.org/officeDocument/2006/relationships/hyperlink" Target="https://nvd.nist.gov/800-53/Rev4/control/AU-3" TargetMode="External"/><Relationship Id="rId7" Type="http://schemas.openxmlformats.org/officeDocument/2006/relationships/hyperlink" Target="https://nvd.nist.gov/800-53/Rev4/control/AU-7" TargetMode="External"/><Relationship Id="rId2" Type="http://schemas.openxmlformats.org/officeDocument/2006/relationships/hyperlink" Target="https://nvd.nist.gov/800-53/Rev4/control/AU-2" TargetMode="External"/><Relationship Id="rId1" Type="http://schemas.openxmlformats.org/officeDocument/2006/relationships/hyperlink" Target="https://nvd.nist.gov/800-53/Rev4/control/AU-1" TargetMode="External"/><Relationship Id="rId6" Type="http://schemas.openxmlformats.org/officeDocument/2006/relationships/hyperlink" Target="https://nvd.nist.gov/800-53/Rev4/control/AU-6" TargetMode="External"/><Relationship Id="rId11" Type="http://schemas.openxmlformats.org/officeDocument/2006/relationships/hyperlink" Target="https://nvd.nist.gov/800-53/Rev4/control/AU-12" TargetMode="External"/><Relationship Id="rId5" Type="http://schemas.openxmlformats.org/officeDocument/2006/relationships/hyperlink" Target="https://nvd.nist.gov/800-53/Rev4/control/AU-5" TargetMode="External"/><Relationship Id="rId10" Type="http://schemas.openxmlformats.org/officeDocument/2006/relationships/hyperlink" Target="https://nvd.nist.gov/800-53/Rev4/control/AU-11" TargetMode="External"/><Relationship Id="rId4" Type="http://schemas.openxmlformats.org/officeDocument/2006/relationships/hyperlink" Target="https://nvd.nist.gov/800-53/Rev4/control/AU-4" TargetMode="External"/><Relationship Id="rId9" Type="http://schemas.openxmlformats.org/officeDocument/2006/relationships/hyperlink" Target="https://nvd.nist.gov/800-53/Rev4/control/AU-9"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nvd.nist.gov/800-53/Rev4/control/CA-9" TargetMode="External"/><Relationship Id="rId3" Type="http://schemas.openxmlformats.org/officeDocument/2006/relationships/hyperlink" Target="https://nvd.nist.gov/800-53/Rev4/control/CA-3" TargetMode="External"/><Relationship Id="rId7" Type="http://schemas.openxmlformats.org/officeDocument/2006/relationships/hyperlink" Target="https://nvd.nist.gov/800-53/Rev4/control/CA-8" TargetMode="External"/><Relationship Id="rId2" Type="http://schemas.openxmlformats.org/officeDocument/2006/relationships/hyperlink" Target="https://nvd.nist.gov/800-53/Rev4/control/CA-2" TargetMode="External"/><Relationship Id="rId1" Type="http://schemas.openxmlformats.org/officeDocument/2006/relationships/hyperlink" Target="https://nvd.nist.gov/800-53/Rev4/control/CA-1" TargetMode="External"/><Relationship Id="rId6" Type="http://schemas.openxmlformats.org/officeDocument/2006/relationships/hyperlink" Target="https://nvd.nist.gov/800-53/Rev4/control/CA-7" TargetMode="External"/><Relationship Id="rId5" Type="http://schemas.openxmlformats.org/officeDocument/2006/relationships/hyperlink" Target="https://nvd.nist.gov/800-53/Rev4/control/CA-6" TargetMode="External"/><Relationship Id="rId4" Type="http://schemas.openxmlformats.org/officeDocument/2006/relationships/hyperlink" Target="https://nvd.nist.gov/800-53/Rev4/control/CA-5" TargetMode="External"/><Relationship Id="rId9"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8" Type="http://schemas.openxmlformats.org/officeDocument/2006/relationships/hyperlink" Target="https://nvd.nist.gov/800-53/Rev4/control/CM-8" TargetMode="External"/><Relationship Id="rId3" Type="http://schemas.openxmlformats.org/officeDocument/2006/relationships/hyperlink" Target="https://nvd.nist.gov/800-53/Rev4/control/CM-3" TargetMode="External"/><Relationship Id="rId7" Type="http://schemas.openxmlformats.org/officeDocument/2006/relationships/hyperlink" Target="https://nvd.nist.gov/800-53/Rev4/control/CM-7" TargetMode="External"/><Relationship Id="rId2" Type="http://schemas.openxmlformats.org/officeDocument/2006/relationships/hyperlink" Target="https://nvd.nist.gov/800-53/Rev4/control/CM-2" TargetMode="External"/><Relationship Id="rId1" Type="http://schemas.openxmlformats.org/officeDocument/2006/relationships/hyperlink" Target="https://nvd.nist.gov/800-53/Rev4/control/CM-1" TargetMode="External"/><Relationship Id="rId6" Type="http://schemas.openxmlformats.org/officeDocument/2006/relationships/hyperlink" Target="https://nvd.nist.gov/800-53/Rev4/control/CM-6" TargetMode="External"/><Relationship Id="rId11" Type="http://schemas.openxmlformats.org/officeDocument/2006/relationships/hyperlink" Target="https://nvd.nist.gov/800-53/Rev4/control/CM-11" TargetMode="External"/><Relationship Id="rId5" Type="http://schemas.openxmlformats.org/officeDocument/2006/relationships/hyperlink" Target="https://nvd.nist.gov/800-53/Rev4/control/CM-5" TargetMode="External"/><Relationship Id="rId10" Type="http://schemas.openxmlformats.org/officeDocument/2006/relationships/hyperlink" Target="https://nvd.nist.gov/800-53/Rev4/control/CM-10" TargetMode="External"/><Relationship Id="rId4" Type="http://schemas.openxmlformats.org/officeDocument/2006/relationships/hyperlink" Target="https://nvd.nist.gov/800-53/Rev4/control/CM-4" TargetMode="External"/><Relationship Id="rId9" Type="http://schemas.openxmlformats.org/officeDocument/2006/relationships/hyperlink" Target="https://nvd.nist.gov/800-53/Rev4/control/CM-9"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nvd.nist.gov/800-53/Rev4/control/CP-9" TargetMode="External"/><Relationship Id="rId3" Type="http://schemas.openxmlformats.org/officeDocument/2006/relationships/hyperlink" Target="https://nvd.nist.gov/800-53/Rev4/control/CP-3" TargetMode="External"/><Relationship Id="rId7" Type="http://schemas.openxmlformats.org/officeDocument/2006/relationships/hyperlink" Target="https://nvd.nist.gov/800-53/Rev4/control/CP-8" TargetMode="External"/><Relationship Id="rId2" Type="http://schemas.openxmlformats.org/officeDocument/2006/relationships/hyperlink" Target="https://nvd.nist.gov/800-53/Rev4/control/CP-2" TargetMode="External"/><Relationship Id="rId1" Type="http://schemas.openxmlformats.org/officeDocument/2006/relationships/hyperlink" Target="https://nvd.nist.gov/800-53/Rev4/control/CP-1" TargetMode="External"/><Relationship Id="rId6" Type="http://schemas.openxmlformats.org/officeDocument/2006/relationships/hyperlink" Target="https://nvd.nist.gov/800-53/Rev4/control/CP-7" TargetMode="External"/><Relationship Id="rId5" Type="http://schemas.openxmlformats.org/officeDocument/2006/relationships/hyperlink" Target="https://nvd.nist.gov/800-53/Rev4/control/CP-6" TargetMode="External"/><Relationship Id="rId4" Type="http://schemas.openxmlformats.org/officeDocument/2006/relationships/hyperlink" Target="https://nvd.nist.gov/800-53/Rev4/control/CP-4" TargetMode="External"/><Relationship Id="rId9" Type="http://schemas.openxmlformats.org/officeDocument/2006/relationships/hyperlink" Target="https://nvd.nist.gov/800-53/Rev4/control/CP-10"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https://nvd.nist.gov/800-53/Rev4/control/IA-8" TargetMode="External"/><Relationship Id="rId3" Type="http://schemas.openxmlformats.org/officeDocument/2006/relationships/hyperlink" Target="https://nvd.nist.gov/800-53/Rev4/control/IA-3" TargetMode="External"/><Relationship Id="rId7" Type="http://schemas.openxmlformats.org/officeDocument/2006/relationships/hyperlink" Target="https://nvd.nist.gov/800-53/Rev4/control/IA-7" TargetMode="External"/><Relationship Id="rId2" Type="http://schemas.openxmlformats.org/officeDocument/2006/relationships/hyperlink" Target="https://nvd.nist.gov/800-53/Rev4/control/IA-2" TargetMode="External"/><Relationship Id="rId1" Type="http://schemas.openxmlformats.org/officeDocument/2006/relationships/hyperlink" Target="https://nvd.nist.gov/800-53/Rev4/control/IA-1" TargetMode="External"/><Relationship Id="rId6" Type="http://schemas.openxmlformats.org/officeDocument/2006/relationships/hyperlink" Target="https://nvd.nist.gov/800-53/Rev4/control/IA-6" TargetMode="External"/><Relationship Id="rId5" Type="http://schemas.openxmlformats.org/officeDocument/2006/relationships/hyperlink" Target="https://nvd.nist.gov/800-53/Rev4/control/IA-5" TargetMode="External"/><Relationship Id="rId4" Type="http://schemas.openxmlformats.org/officeDocument/2006/relationships/hyperlink" Target="https://nvd.nist.gov/800-53/Rev4/control/IA-4" TargetMode="External"/></Relationships>
</file>

<file path=xl/worksheets/_rels/sheet18.xml.rels><?xml version="1.0" encoding="UTF-8" standalone="yes"?>
<Relationships xmlns="http://schemas.openxmlformats.org/package/2006/relationships"><Relationship Id="rId8" Type="http://schemas.openxmlformats.org/officeDocument/2006/relationships/hyperlink" Target="https://nvd.nist.gov/800-53/Rev4/control/IR-8" TargetMode="External"/><Relationship Id="rId3" Type="http://schemas.openxmlformats.org/officeDocument/2006/relationships/hyperlink" Target="https://nvd.nist.gov/800-53/Rev4/control/IR-3" TargetMode="External"/><Relationship Id="rId7" Type="http://schemas.openxmlformats.org/officeDocument/2006/relationships/hyperlink" Target="https://nvd.nist.gov/800-53/Rev4/control/IR-7" TargetMode="External"/><Relationship Id="rId2" Type="http://schemas.openxmlformats.org/officeDocument/2006/relationships/hyperlink" Target="https://nvd.nist.gov/800-53/Rev4/control/IR-2" TargetMode="External"/><Relationship Id="rId1" Type="http://schemas.openxmlformats.org/officeDocument/2006/relationships/hyperlink" Target="https://nvd.nist.gov/800-53/Rev4/control/IR-1" TargetMode="External"/><Relationship Id="rId6" Type="http://schemas.openxmlformats.org/officeDocument/2006/relationships/hyperlink" Target="https://nvd.nist.gov/800-53/Rev4/control/IR-6" TargetMode="External"/><Relationship Id="rId5" Type="http://schemas.openxmlformats.org/officeDocument/2006/relationships/hyperlink" Target="https://nvd.nist.gov/800-53/Rev4/control/IR-5" TargetMode="External"/><Relationship Id="rId4" Type="http://schemas.openxmlformats.org/officeDocument/2006/relationships/hyperlink" Target="https://nvd.nist.gov/800-53/Rev4/control/IR-4" TargetMode="External"/><Relationship Id="rId9" Type="http://schemas.openxmlformats.org/officeDocument/2006/relationships/hyperlink" Target="https://nvd.nist.gov/800-53/Rev4/control/IR-9" TargetMode="External"/></Relationships>
</file>

<file path=xl/worksheets/_rels/sheet19.xml.rels><?xml version="1.0" encoding="UTF-8" standalone="yes"?>
<Relationships xmlns="http://schemas.openxmlformats.org/package/2006/relationships"><Relationship Id="rId3" Type="http://schemas.openxmlformats.org/officeDocument/2006/relationships/hyperlink" Target="https://nvd.nist.gov/800-53/Rev4/control/MA-3" TargetMode="External"/><Relationship Id="rId2" Type="http://schemas.openxmlformats.org/officeDocument/2006/relationships/hyperlink" Target="https://nvd.nist.gov/800-53/Rev4/control/MA-2" TargetMode="External"/><Relationship Id="rId1" Type="http://schemas.openxmlformats.org/officeDocument/2006/relationships/hyperlink" Target="https://nvd.nist.gov/800-53/Rev4/control/MA-1" TargetMode="External"/><Relationship Id="rId6" Type="http://schemas.openxmlformats.org/officeDocument/2006/relationships/hyperlink" Target="https://nvd.nist.gov/800-53/Rev4/control/MA-6" TargetMode="External"/><Relationship Id="rId5" Type="http://schemas.openxmlformats.org/officeDocument/2006/relationships/hyperlink" Target="https://nvd.nist.gov/800-53/Rev4/control/MA-5" TargetMode="External"/><Relationship Id="rId4" Type="http://schemas.openxmlformats.org/officeDocument/2006/relationships/hyperlink" Target="https://nvd.nist.gov/800-53/Rev4/control/MA-4" TargetMode="External"/></Relationships>
</file>

<file path=xl/worksheets/_rels/sheet20.xml.rels><?xml version="1.0" encoding="UTF-8" standalone="yes"?>
<Relationships xmlns="http://schemas.openxmlformats.org/package/2006/relationships"><Relationship Id="rId3" Type="http://schemas.openxmlformats.org/officeDocument/2006/relationships/hyperlink" Target="https://nvd.nist.gov/800-53/Rev4/control/MP-3" TargetMode="External"/><Relationship Id="rId7" Type="http://schemas.openxmlformats.org/officeDocument/2006/relationships/hyperlink" Target="https://nvd.nist.gov/800-53/Rev4/control/MP-7" TargetMode="External"/><Relationship Id="rId2" Type="http://schemas.openxmlformats.org/officeDocument/2006/relationships/hyperlink" Target="https://nvd.nist.gov/800-53/Rev4/control/MP-2" TargetMode="External"/><Relationship Id="rId1" Type="http://schemas.openxmlformats.org/officeDocument/2006/relationships/hyperlink" Target="https://nvd.nist.gov/800-53/Rev4/control/MP-1" TargetMode="External"/><Relationship Id="rId6" Type="http://schemas.openxmlformats.org/officeDocument/2006/relationships/hyperlink" Target="https://nvd.nist.gov/800-53/Rev4/control/MP-6" TargetMode="External"/><Relationship Id="rId5" Type="http://schemas.openxmlformats.org/officeDocument/2006/relationships/hyperlink" Target="https://nvd.nist.gov/800-53/Rev4/control/MP-5" TargetMode="External"/><Relationship Id="rId4" Type="http://schemas.openxmlformats.org/officeDocument/2006/relationships/hyperlink" Target="https://nvd.nist.gov/800-53/Rev4/control/MP-4" TargetMode="External"/></Relationships>
</file>

<file path=xl/worksheets/_rels/sheet21.xml.rels><?xml version="1.0" encoding="UTF-8" standalone="yes"?>
<Relationships xmlns="http://schemas.openxmlformats.org/package/2006/relationships"><Relationship Id="rId8" Type="http://schemas.openxmlformats.org/officeDocument/2006/relationships/hyperlink" Target="https://nvd.nist.gov/800-53/Rev4/control/PE-10" TargetMode="External"/><Relationship Id="rId13" Type="http://schemas.openxmlformats.org/officeDocument/2006/relationships/hyperlink" Target="https://nvd.nist.gov/800-53/Rev4/control/PE-15" TargetMode="External"/><Relationship Id="rId3" Type="http://schemas.openxmlformats.org/officeDocument/2006/relationships/hyperlink" Target="https://nvd.nist.gov/800-53/Rev4/control/PE-3" TargetMode="External"/><Relationship Id="rId7" Type="http://schemas.openxmlformats.org/officeDocument/2006/relationships/hyperlink" Target="https://nvd.nist.gov/800-53/Rev4/control/PE-8" TargetMode="External"/><Relationship Id="rId12" Type="http://schemas.openxmlformats.org/officeDocument/2006/relationships/hyperlink" Target="https://nvd.nist.gov/800-53/Rev4/control/PE-14" TargetMode="External"/><Relationship Id="rId2" Type="http://schemas.openxmlformats.org/officeDocument/2006/relationships/hyperlink" Target="https://nvd.nist.gov/800-53/Rev4/control/PE-2" TargetMode="External"/><Relationship Id="rId16" Type="http://schemas.openxmlformats.org/officeDocument/2006/relationships/hyperlink" Target="https://nvd.nist.gov/800-53/Rev4/control/PE-18" TargetMode="External"/><Relationship Id="rId1" Type="http://schemas.openxmlformats.org/officeDocument/2006/relationships/hyperlink" Target="https://nvd.nist.gov/800-53/Rev4/control/PE-1" TargetMode="External"/><Relationship Id="rId6" Type="http://schemas.openxmlformats.org/officeDocument/2006/relationships/hyperlink" Target="https://nvd.nist.gov/800-53/Rev4/control/PE-6" TargetMode="External"/><Relationship Id="rId11" Type="http://schemas.openxmlformats.org/officeDocument/2006/relationships/hyperlink" Target="https://nvd.nist.gov/800-53/Rev4/control/PE-13" TargetMode="External"/><Relationship Id="rId5" Type="http://schemas.openxmlformats.org/officeDocument/2006/relationships/hyperlink" Target="https://nvd.nist.gov/800-53/Rev4/control/PE-5" TargetMode="External"/><Relationship Id="rId15" Type="http://schemas.openxmlformats.org/officeDocument/2006/relationships/hyperlink" Target="https://nvd.nist.gov/800-53/Rev4/control/PE-17" TargetMode="External"/><Relationship Id="rId10" Type="http://schemas.openxmlformats.org/officeDocument/2006/relationships/hyperlink" Target="https://nvd.nist.gov/800-53/Rev4/control/PE-12" TargetMode="External"/><Relationship Id="rId4" Type="http://schemas.openxmlformats.org/officeDocument/2006/relationships/hyperlink" Target="https://nvd.nist.gov/800-53/Rev4/control/PE-4" TargetMode="External"/><Relationship Id="rId9" Type="http://schemas.openxmlformats.org/officeDocument/2006/relationships/hyperlink" Target="https://nvd.nist.gov/800-53/Rev4/control/PE-11" TargetMode="External"/><Relationship Id="rId14" Type="http://schemas.openxmlformats.org/officeDocument/2006/relationships/hyperlink" Target="https://nvd.nist.gov/800-53/Rev4/control/PE-16" TargetMode="External"/></Relationships>
</file>

<file path=xl/worksheets/_rels/sheet22.xml.rels><?xml version="1.0" encoding="UTF-8" standalone="yes"?>
<Relationships xmlns="http://schemas.openxmlformats.org/package/2006/relationships"><Relationship Id="rId3" Type="http://schemas.openxmlformats.org/officeDocument/2006/relationships/hyperlink" Target="https://nvd.nist.gov/800-53/Rev4/control/PL-4" TargetMode="External"/><Relationship Id="rId2" Type="http://schemas.openxmlformats.org/officeDocument/2006/relationships/hyperlink" Target="https://nvd.nist.gov/800-53/Rev4/control/PL-2" TargetMode="External"/><Relationship Id="rId1" Type="http://schemas.openxmlformats.org/officeDocument/2006/relationships/hyperlink" Target="https://nvd.nist.gov/800-53/Rev4/control/PL-1" TargetMode="External"/><Relationship Id="rId4" Type="http://schemas.openxmlformats.org/officeDocument/2006/relationships/hyperlink" Target="https://nvd.nist.gov/800-53/Rev4/control/PL-8" TargetMode="External"/></Relationships>
</file>

<file path=xl/worksheets/_rels/sheet23.xml.rels><?xml version="1.0" encoding="UTF-8" standalone="yes"?>
<Relationships xmlns="http://schemas.openxmlformats.org/package/2006/relationships"><Relationship Id="rId8" Type="http://schemas.openxmlformats.org/officeDocument/2006/relationships/hyperlink" Target="https://nvd.nist.gov/800-53/Rev4/control/PS-8" TargetMode="External"/><Relationship Id="rId3" Type="http://schemas.openxmlformats.org/officeDocument/2006/relationships/hyperlink" Target="https://nvd.nist.gov/800-53/Rev4/control/PS-3" TargetMode="External"/><Relationship Id="rId7" Type="http://schemas.openxmlformats.org/officeDocument/2006/relationships/hyperlink" Target="https://nvd.nist.gov/800-53/Rev4/control/PS-7" TargetMode="External"/><Relationship Id="rId2" Type="http://schemas.openxmlformats.org/officeDocument/2006/relationships/hyperlink" Target="https://nvd.nist.gov/800-53/Rev4/control/PS-2" TargetMode="External"/><Relationship Id="rId1" Type="http://schemas.openxmlformats.org/officeDocument/2006/relationships/hyperlink" Target="https://nvd.nist.gov/800-53/Rev4/control/PS-1" TargetMode="External"/><Relationship Id="rId6" Type="http://schemas.openxmlformats.org/officeDocument/2006/relationships/hyperlink" Target="https://nvd.nist.gov/800-53/Rev4/control/PS-6" TargetMode="External"/><Relationship Id="rId5" Type="http://schemas.openxmlformats.org/officeDocument/2006/relationships/hyperlink" Target="https://nvd.nist.gov/800-53/Rev4/control/PS-5" TargetMode="External"/><Relationship Id="rId4" Type="http://schemas.openxmlformats.org/officeDocument/2006/relationships/hyperlink" Target="https://nvd.nist.gov/800-53/Rev4/control/PS-4" TargetMode="External"/></Relationships>
</file>

<file path=xl/worksheets/_rels/sheet24.xml.rels><?xml version="1.0" encoding="UTF-8" standalone="yes"?>
<Relationships xmlns="http://schemas.openxmlformats.org/package/2006/relationships"><Relationship Id="rId3" Type="http://schemas.openxmlformats.org/officeDocument/2006/relationships/hyperlink" Target="https://nvd.nist.gov/800-53/Rev4/control/RA-3" TargetMode="External"/><Relationship Id="rId2" Type="http://schemas.openxmlformats.org/officeDocument/2006/relationships/hyperlink" Target="https://nvd.nist.gov/800-53/Rev4/control/RA-2" TargetMode="External"/><Relationship Id="rId1" Type="http://schemas.openxmlformats.org/officeDocument/2006/relationships/hyperlink" Target="https://nvd.nist.gov/800-53/Rev4/control/RA-1" TargetMode="External"/><Relationship Id="rId4" Type="http://schemas.openxmlformats.org/officeDocument/2006/relationships/hyperlink" Target="https://nvd.nist.gov/800-53/Rev4/control/RA-5" TargetMode="External"/></Relationships>
</file>

<file path=xl/worksheets/_rels/sheet25.xml.rels><?xml version="1.0" encoding="UTF-8" standalone="yes"?>
<Relationships xmlns="http://schemas.openxmlformats.org/package/2006/relationships"><Relationship Id="rId8" Type="http://schemas.openxmlformats.org/officeDocument/2006/relationships/hyperlink" Target="https://nvd.nist.gov/800-53/Rev4/control/SA-10" TargetMode="External"/><Relationship Id="rId3" Type="http://schemas.openxmlformats.org/officeDocument/2006/relationships/hyperlink" Target="https://nvd.nist.gov/800-53/Rev4/control/SA-3" TargetMode="External"/><Relationship Id="rId7" Type="http://schemas.openxmlformats.org/officeDocument/2006/relationships/hyperlink" Target="https://nvd.nist.gov/800-53/Rev4/control/SA-9" TargetMode="External"/><Relationship Id="rId2" Type="http://schemas.openxmlformats.org/officeDocument/2006/relationships/hyperlink" Target="https://nvd.nist.gov/800-53/Rev4/control/SA-2" TargetMode="External"/><Relationship Id="rId1" Type="http://schemas.openxmlformats.org/officeDocument/2006/relationships/hyperlink" Target="https://nvd.nist.gov/800-53/Rev4/control/SA-1" TargetMode="External"/><Relationship Id="rId6" Type="http://schemas.openxmlformats.org/officeDocument/2006/relationships/hyperlink" Target="https://nvd.nist.gov/800-53/Rev4/control/SA-8" TargetMode="External"/><Relationship Id="rId11" Type="http://schemas.openxmlformats.org/officeDocument/2006/relationships/printerSettings" Target="../printerSettings/printerSettings9.bin"/><Relationship Id="rId5" Type="http://schemas.openxmlformats.org/officeDocument/2006/relationships/hyperlink" Target="https://nvd.nist.gov/800-53/Rev4/control/SA-5" TargetMode="External"/><Relationship Id="rId10" Type="http://schemas.openxmlformats.org/officeDocument/2006/relationships/hyperlink" Target="https://nvd.nist.gov/800-53/Rev4/control/SA-12" TargetMode="External"/><Relationship Id="rId4" Type="http://schemas.openxmlformats.org/officeDocument/2006/relationships/hyperlink" Target="https://nvd.nist.gov/800-53/Rev4/control/SA-4" TargetMode="External"/><Relationship Id="rId9" Type="http://schemas.openxmlformats.org/officeDocument/2006/relationships/hyperlink" Target="https://nvd.nist.gov/800-53/Rev4/control/SA-11" TargetMode="External"/></Relationships>
</file>

<file path=xl/worksheets/_rels/sheet26.xml.rels><?xml version="1.0" encoding="UTF-8" standalone="yes"?>
<Relationships xmlns="http://schemas.openxmlformats.org/package/2006/relationships"><Relationship Id="rId8" Type="http://schemas.openxmlformats.org/officeDocument/2006/relationships/hyperlink" Target="https://nvd.nist.gov/800-53/Rev4/control/SC-10" TargetMode="External"/><Relationship Id="rId13" Type="http://schemas.openxmlformats.org/officeDocument/2006/relationships/hyperlink" Target="https://nvd.nist.gov/800-53/Rev4/control/SC-18" TargetMode="External"/><Relationship Id="rId18" Type="http://schemas.openxmlformats.org/officeDocument/2006/relationships/hyperlink" Target="https://nvd.nist.gov/800-53/Rev4/control/SC-23" TargetMode="External"/><Relationship Id="rId3" Type="http://schemas.openxmlformats.org/officeDocument/2006/relationships/hyperlink" Target="https://nvd.nist.gov/800-53/Rev4/control/SC-4" TargetMode="External"/><Relationship Id="rId7" Type="http://schemas.openxmlformats.org/officeDocument/2006/relationships/hyperlink" Target="https://nvd.nist.gov/800-53/Rev4/control/SC-8" TargetMode="External"/><Relationship Id="rId12" Type="http://schemas.openxmlformats.org/officeDocument/2006/relationships/hyperlink" Target="https://nvd.nist.gov/800-53/Rev4/control/SC-17" TargetMode="External"/><Relationship Id="rId17" Type="http://schemas.openxmlformats.org/officeDocument/2006/relationships/hyperlink" Target="https://nvd.nist.gov/800-53/Rev4/control/SC-22" TargetMode="External"/><Relationship Id="rId2" Type="http://schemas.openxmlformats.org/officeDocument/2006/relationships/hyperlink" Target="https://nvd.nist.gov/800-53/Rev4/control/SC-2" TargetMode="External"/><Relationship Id="rId16" Type="http://schemas.openxmlformats.org/officeDocument/2006/relationships/hyperlink" Target="https://nvd.nist.gov/800-53/Rev4/control/SC-21" TargetMode="External"/><Relationship Id="rId20" Type="http://schemas.openxmlformats.org/officeDocument/2006/relationships/hyperlink" Target="https://nvd.nist.gov/800-53/Rev4/control/SC-39" TargetMode="External"/><Relationship Id="rId1" Type="http://schemas.openxmlformats.org/officeDocument/2006/relationships/hyperlink" Target="https://nvd.nist.gov/800-53/Rev4/control/SC-1" TargetMode="External"/><Relationship Id="rId6" Type="http://schemas.openxmlformats.org/officeDocument/2006/relationships/hyperlink" Target="https://nvd.nist.gov/800-53/Rev4/control/SC-7" TargetMode="External"/><Relationship Id="rId11" Type="http://schemas.openxmlformats.org/officeDocument/2006/relationships/hyperlink" Target="https://nvd.nist.gov/800-53/Rev4/control/SC-15" TargetMode="External"/><Relationship Id="rId5" Type="http://schemas.openxmlformats.org/officeDocument/2006/relationships/hyperlink" Target="https://nvd.nist.gov/800-53/Rev4/control/SC-6" TargetMode="External"/><Relationship Id="rId15" Type="http://schemas.openxmlformats.org/officeDocument/2006/relationships/hyperlink" Target="https://nvd.nist.gov/800-53/Rev4/control/SC-20" TargetMode="External"/><Relationship Id="rId10" Type="http://schemas.openxmlformats.org/officeDocument/2006/relationships/hyperlink" Target="https://nvd.nist.gov/800-53/Rev4/control/SC-13" TargetMode="External"/><Relationship Id="rId19" Type="http://schemas.openxmlformats.org/officeDocument/2006/relationships/hyperlink" Target="https://nvd.nist.gov/800-53/Rev4/control/SC-28" TargetMode="External"/><Relationship Id="rId4" Type="http://schemas.openxmlformats.org/officeDocument/2006/relationships/hyperlink" Target="https://nvd.nist.gov/800-53/Rev4/control/SC-5" TargetMode="External"/><Relationship Id="rId9" Type="http://schemas.openxmlformats.org/officeDocument/2006/relationships/hyperlink" Target="https://nvd.nist.gov/800-53/Rev4/control/SC-12" TargetMode="External"/><Relationship Id="rId14" Type="http://schemas.openxmlformats.org/officeDocument/2006/relationships/hyperlink" Target="https://nvd.nist.gov/800-53/Rev4/control/SC-19"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https://nvd.nist.gov/800-53/Rev4/control/SI-12" TargetMode="External"/><Relationship Id="rId3" Type="http://schemas.openxmlformats.org/officeDocument/2006/relationships/hyperlink" Target="https://nvd.nist.gov/800-53/Rev4/control/SI-3" TargetMode="External"/><Relationship Id="rId7" Type="http://schemas.openxmlformats.org/officeDocument/2006/relationships/hyperlink" Target="https://nvd.nist.gov/800-53/Rev4/control/SI-8" TargetMode="External"/><Relationship Id="rId2" Type="http://schemas.openxmlformats.org/officeDocument/2006/relationships/hyperlink" Target="https://nvd.nist.gov/800-53/Rev4/control/SI-2" TargetMode="External"/><Relationship Id="rId1" Type="http://schemas.openxmlformats.org/officeDocument/2006/relationships/hyperlink" Target="https://nvd.nist.gov/800-53/Rev4/control/SI-1" TargetMode="External"/><Relationship Id="rId6" Type="http://schemas.openxmlformats.org/officeDocument/2006/relationships/hyperlink" Target="https://nvd.nist.gov/800-53/Rev4/control/SI-7" TargetMode="External"/><Relationship Id="rId5" Type="http://schemas.openxmlformats.org/officeDocument/2006/relationships/hyperlink" Target="https://nvd.nist.gov/800-53/Rev4/control/SI-5" TargetMode="External"/><Relationship Id="rId4" Type="http://schemas.openxmlformats.org/officeDocument/2006/relationships/hyperlink" Target="https://nvd.nist.gov/800-53/Rev4/control/SI-4" TargetMode="External"/></Relationships>
</file>

<file path=xl/worksheets/_rels/sheet2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0.bin"/></Relationships>
</file>

<file path=xl/worksheets/_rels/sheet2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1.bin"/></Relationships>
</file>

<file path=xl/worksheets/_rels/sheet3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2.bin"/></Relationships>
</file>

<file path=xl/worksheets/_rels/sheet31.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2"/>
  <sheetViews>
    <sheetView showGridLines="0" zoomScaleNormal="100" workbookViewId="0">
      <selection activeCell="A12" sqref="A12"/>
    </sheetView>
  </sheetViews>
  <sheetFormatPr defaultColWidth="9.109375" defaultRowHeight="14.4" x14ac:dyDescent="0.3"/>
  <cols>
    <col min="1" max="1" width="255.5546875" style="160" customWidth="1"/>
    <col min="2" max="16384" width="9.109375" style="160"/>
  </cols>
  <sheetData>
    <row r="1" spans="1:1" ht="45" customHeight="1" x14ac:dyDescent="0.3">
      <c r="A1" s="233" t="s">
        <v>1396</v>
      </c>
    </row>
    <row r="2" spans="1:1" ht="164.25" customHeight="1" x14ac:dyDescent="0.3">
      <c r="A2" s="233"/>
    </row>
    <row r="3" spans="1:1" ht="102" customHeight="1" x14ac:dyDescent="0.3">
      <c r="A3" s="233"/>
    </row>
    <row r="4" spans="1:1" ht="15" customHeight="1" x14ac:dyDescent="0.3">
      <c r="A4" s="233"/>
    </row>
    <row r="5" spans="1:1" ht="15" customHeight="1" x14ac:dyDescent="0.3">
      <c r="A5" s="233"/>
    </row>
    <row r="6" spans="1:1" ht="15" customHeight="1" x14ac:dyDescent="0.3">
      <c r="A6" s="233"/>
    </row>
    <row r="7" spans="1:1" ht="9.75" customHeight="1" x14ac:dyDescent="0.3">
      <c r="A7" s="233"/>
    </row>
    <row r="8" spans="1:1" ht="27" hidden="1" customHeight="1" x14ac:dyDescent="0.3">
      <c r="A8" s="233"/>
    </row>
    <row r="9" spans="1:1" ht="27.75" hidden="1" customHeight="1" x14ac:dyDescent="0.3">
      <c r="A9" s="233"/>
    </row>
    <row r="10" spans="1:1" ht="3.75" hidden="1" customHeight="1" x14ac:dyDescent="0.3">
      <c r="A10" s="233"/>
    </row>
    <row r="11" spans="1:1" ht="12.75" customHeight="1" x14ac:dyDescent="0.3">
      <c r="A11" s="233"/>
    </row>
    <row r="12" spans="1:1" x14ac:dyDescent="0.3">
      <c r="A12" s="160" t="s">
        <v>1421</v>
      </c>
    </row>
  </sheetData>
  <sheetProtection algorithmName="SHA-512" hashValue="lvzDr+qStmUTHlIFcxqWrCkAO912lwKxkl/Mwg30Yf30UYqhpjoS9T4VpBiDcLhuF1VTkbuQmx0C3twZDqJqtQ==" saltValue="iH9Mj4mZlClk65GQaTZVKQ==" spinCount="100000" sheet="1" selectLockedCells="1"/>
  <mergeCells count="1">
    <mergeCell ref="A1:A11"/>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8"/>
  <sheetViews>
    <sheetView showGridLines="0" topLeftCell="B1" zoomScaleNormal="100" workbookViewId="0">
      <selection activeCell="B20" sqref="B20"/>
    </sheetView>
  </sheetViews>
  <sheetFormatPr defaultColWidth="9.109375" defaultRowHeight="15.6" x14ac:dyDescent="0.3"/>
  <cols>
    <col min="1" max="1" width="18.5546875" style="16" customWidth="1"/>
    <col min="2" max="2" width="179.5546875" style="16" customWidth="1"/>
    <col min="3" max="3" width="61.109375" style="27" customWidth="1"/>
    <col min="4" max="4" width="9.109375" style="27"/>
    <col min="5" max="16384" width="9.109375" style="16"/>
  </cols>
  <sheetData>
    <row r="1" spans="1:4" x14ac:dyDescent="0.3">
      <c r="A1" s="234" t="s">
        <v>1394</v>
      </c>
      <c r="B1" s="234"/>
    </row>
    <row r="2" spans="1:4" ht="127.5" customHeight="1" x14ac:dyDescent="0.3">
      <c r="A2" s="24"/>
      <c r="B2" s="227" t="s">
        <v>1395</v>
      </c>
    </row>
    <row r="4" spans="1:4" s="24" customFormat="1" x14ac:dyDescent="0.3">
      <c r="A4" s="235" t="s">
        <v>0</v>
      </c>
      <c r="B4" s="236"/>
      <c r="C4" s="23"/>
      <c r="D4" s="23"/>
    </row>
    <row r="5" spans="1:4" s="24" customFormat="1" ht="30" x14ac:dyDescent="0.25">
      <c r="A5" s="25"/>
      <c r="B5" s="26" t="s">
        <v>1400</v>
      </c>
      <c r="C5" s="23"/>
      <c r="D5" s="23"/>
    </row>
    <row r="6" spans="1:4" s="23" customFormat="1" ht="15" x14ac:dyDescent="0.25"/>
    <row r="7" spans="1:4" s="24" customFormat="1" x14ac:dyDescent="0.3">
      <c r="A7" s="235" t="s">
        <v>1219</v>
      </c>
      <c r="B7" s="235"/>
      <c r="C7" s="23"/>
      <c r="D7" s="23"/>
    </row>
    <row r="8" spans="1:4" s="24" customFormat="1" ht="45" x14ac:dyDescent="0.25">
      <c r="A8" s="25"/>
      <c r="B8" s="26" t="s">
        <v>1401</v>
      </c>
      <c r="C8" s="23"/>
      <c r="D8" s="23"/>
    </row>
    <row r="9" spans="1:4" s="23" customFormat="1" ht="15" x14ac:dyDescent="0.25"/>
    <row r="10" spans="1:4" s="23" customFormat="1" x14ac:dyDescent="0.3">
      <c r="A10" s="237" t="s">
        <v>1365</v>
      </c>
      <c r="B10" s="237"/>
    </row>
    <row r="11" spans="1:4" s="23" customFormat="1" ht="15" x14ac:dyDescent="0.25">
      <c r="A11" s="140"/>
      <c r="B11" s="212" t="s">
        <v>1402</v>
      </c>
    </row>
    <row r="12" spans="1:4" s="23" customFormat="1" ht="15" x14ac:dyDescent="0.25"/>
    <row r="13" spans="1:4" s="24" customFormat="1" x14ac:dyDescent="0.3">
      <c r="A13" s="235" t="s">
        <v>1</v>
      </c>
      <c r="B13" s="235"/>
      <c r="C13" s="23"/>
      <c r="D13" s="23"/>
    </row>
    <row r="14" spans="1:4" s="24" customFormat="1" ht="75.75" customHeight="1" x14ac:dyDescent="0.25">
      <c r="A14" s="25"/>
      <c r="B14" s="26" t="s">
        <v>1422</v>
      </c>
      <c r="C14" s="23"/>
      <c r="D14" s="23"/>
    </row>
    <row r="15" spans="1:4" s="23" customFormat="1" ht="15" x14ac:dyDescent="0.25"/>
    <row r="16" spans="1:4" s="24" customFormat="1" x14ac:dyDescent="0.3">
      <c r="A16" s="235" t="s">
        <v>1220</v>
      </c>
      <c r="B16" s="236"/>
      <c r="C16" s="23"/>
      <c r="D16" s="23"/>
    </row>
    <row r="17" spans="1:4" s="24" customFormat="1" ht="186.6" customHeight="1" x14ac:dyDescent="0.25">
      <c r="A17" s="25"/>
      <c r="B17" s="26" t="s">
        <v>1423</v>
      </c>
      <c r="C17" s="23"/>
      <c r="D17" s="23"/>
    </row>
    <row r="18" spans="1:4" s="27" customFormat="1" x14ac:dyDescent="0.3"/>
    <row r="19" spans="1:4" s="27" customFormat="1" x14ac:dyDescent="0.3"/>
    <row r="20" spans="1:4" s="27" customFormat="1" x14ac:dyDescent="0.3"/>
    <row r="21" spans="1:4" s="27" customFormat="1" x14ac:dyDescent="0.3"/>
    <row r="22" spans="1:4" s="27" customFormat="1" x14ac:dyDescent="0.3"/>
    <row r="23" spans="1:4" s="27" customFormat="1" x14ac:dyDescent="0.3"/>
    <row r="24" spans="1:4" s="27" customFormat="1" x14ac:dyDescent="0.3"/>
    <row r="25" spans="1:4" s="27" customFormat="1" x14ac:dyDescent="0.3"/>
    <row r="26" spans="1:4" s="27" customFormat="1" x14ac:dyDescent="0.3"/>
    <row r="27" spans="1:4" s="27" customFormat="1" x14ac:dyDescent="0.3"/>
    <row r="28" spans="1:4" s="27" customFormat="1" x14ac:dyDescent="0.3"/>
    <row r="29" spans="1:4" s="27" customFormat="1" x14ac:dyDescent="0.3"/>
    <row r="30" spans="1:4" s="27" customFormat="1" x14ac:dyDescent="0.3"/>
    <row r="31" spans="1:4" s="27" customFormat="1" x14ac:dyDescent="0.3"/>
    <row r="32" spans="1:4" s="27" customFormat="1" x14ac:dyDescent="0.3"/>
    <row r="33" s="27" customFormat="1" x14ac:dyDescent="0.3"/>
    <row r="34" s="27" customFormat="1" x14ac:dyDescent="0.3"/>
    <row r="35" s="27" customFormat="1" x14ac:dyDescent="0.3"/>
    <row r="36" s="27" customFormat="1" x14ac:dyDescent="0.3"/>
    <row r="37" s="27" customFormat="1" x14ac:dyDescent="0.3"/>
    <row r="38" s="27" customFormat="1" x14ac:dyDescent="0.3"/>
    <row r="39" s="27" customFormat="1" x14ac:dyDescent="0.3"/>
    <row r="40" s="27" customFormat="1" x14ac:dyDescent="0.3"/>
    <row r="41" s="27" customFormat="1" x14ac:dyDescent="0.3"/>
    <row r="42" s="27" customFormat="1" x14ac:dyDescent="0.3"/>
    <row r="43" s="27" customFormat="1" x14ac:dyDescent="0.3"/>
    <row r="44" s="27" customFormat="1" x14ac:dyDescent="0.3"/>
    <row r="45" s="27" customFormat="1" x14ac:dyDescent="0.3"/>
    <row r="46" s="27" customFormat="1" x14ac:dyDescent="0.3"/>
    <row r="47" s="27" customFormat="1" x14ac:dyDescent="0.3"/>
    <row r="48" s="27" customFormat="1" x14ac:dyDescent="0.3"/>
  </sheetData>
  <sheetProtection algorithmName="SHA-512" hashValue="KpZsWVRl31wcHbWWo1pFQcczyyuvPAJMKGkwklTVc1AJO05CqE7FiJHBrbw93ZAEu5O4m4vJv9oUxsK7ywWJfg==" saltValue="74CYlsc7NPuGRaINlegCYg==" spinCount="100000" sheet="1" selectLockedCells="1"/>
  <mergeCells count="6">
    <mergeCell ref="A1:B1"/>
    <mergeCell ref="A4:B4"/>
    <mergeCell ref="A16:B16"/>
    <mergeCell ref="A7:B7"/>
    <mergeCell ref="A13:B13"/>
    <mergeCell ref="A10:B10"/>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6"/>
  <sheetViews>
    <sheetView zoomScale="90" zoomScaleNormal="90" workbookViewId="0">
      <selection activeCell="H13" sqref="H13"/>
    </sheetView>
  </sheetViews>
  <sheetFormatPr defaultColWidth="9.109375" defaultRowHeight="14.4" x14ac:dyDescent="0.3"/>
  <cols>
    <col min="1" max="1" width="20.6640625" style="17" customWidth="1"/>
    <col min="2" max="2" width="12.6640625" style="17" customWidth="1"/>
    <col min="3" max="3" width="7.33203125" style="17" customWidth="1"/>
    <col min="4" max="4" width="16" style="17" customWidth="1"/>
    <col min="5" max="5" width="18.44140625" style="17" customWidth="1"/>
    <col min="6" max="6" width="21.88671875" style="17" customWidth="1"/>
    <col min="7" max="7" width="13.109375" style="17" bestFit="1" customWidth="1"/>
    <col min="8" max="8" width="10.6640625" style="17" customWidth="1"/>
    <col min="9" max="9" width="14.5546875" style="17" customWidth="1"/>
    <col min="10" max="10" width="13.5546875" style="17" customWidth="1"/>
    <col min="11" max="11" width="17.44140625" style="17" customWidth="1"/>
    <col min="12" max="12" width="11.5546875" style="17" bestFit="1" customWidth="1"/>
    <col min="13" max="13" width="14.6640625" style="17" customWidth="1"/>
    <col min="14" max="14" width="9.109375" style="17"/>
    <col min="15" max="15" width="9" customWidth="1"/>
    <col min="16" max="16384" width="9.109375" style="17"/>
  </cols>
  <sheetData>
    <row r="1" spans="1:14" s="21" customFormat="1" ht="45.6" x14ac:dyDescent="0.3">
      <c r="A1" s="22" t="s">
        <v>2</v>
      </c>
      <c r="B1" s="22" t="s">
        <v>3</v>
      </c>
      <c r="C1" s="22" t="s">
        <v>4</v>
      </c>
      <c r="D1" s="22" t="s">
        <v>5</v>
      </c>
      <c r="E1" s="22" t="s">
        <v>6</v>
      </c>
      <c r="F1" s="22" t="s">
        <v>7</v>
      </c>
      <c r="G1" s="22" t="s">
        <v>8</v>
      </c>
      <c r="H1" s="22" t="s">
        <v>9</v>
      </c>
      <c r="I1" s="22" t="s">
        <v>10</v>
      </c>
      <c r="J1" s="22" t="s">
        <v>11</v>
      </c>
      <c r="K1" s="22" t="s">
        <v>12</v>
      </c>
      <c r="L1" s="22" t="s">
        <v>13</v>
      </c>
      <c r="M1" s="22" t="s">
        <v>14</v>
      </c>
      <c r="N1" s="22"/>
    </row>
    <row r="2" spans="1:14" x14ac:dyDescent="0.3">
      <c r="A2" s="17" t="s">
        <v>15</v>
      </c>
      <c r="B2" s="17" t="s">
        <v>16</v>
      </c>
      <c r="C2" s="17" t="s">
        <v>17</v>
      </c>
      <c r="D2" s="17" t="s">
        <v>18</v>
      </c>
      <c r="E2" s="17" t="s">
        <v>19</v>
      </c>
      <c r="F2" s="17" t="s">
        <v>20</v>
      </c>
      <c r="G2" s="17" t="s">
        <v>21</v>
      </c>
      <c r="H2" s="17" t="s">
        <v>21</v>
      </c>
      <c r="I2" s="17" t="s">
        <v>22</v>
      </c>
      <c r="J2" s="17" t="s">
        <v>23</v>
      </c>
      <c r="K2" s="17" t="s">
        <v>24</v>
      </c>
      <c r="L2" s="17" t="s">
        <v>15</v>
      </c>
      <c r="M2" s="46" t="s">
        <v>25</v>
      </c>
    </row>
    <row r="3" spans="1:14" x14ac:dyDescent="0.3">
      <c r="A3" s="17" t="s">
        <v>26</v>
      </c>
      <c r="B3" s="17" t="s">
        <v>27</v>
      </c>
      <c r="C3" s="17" t="s">
        <v>28</v>
      </c>
      <c r="D3" s="17" t="s">
        <v>29</v>
      </c>
      <c r="E3" s="17" t="s">
        <v>30</v>
      </c>
      <c r="F3" s="17" t="s">
        <v>31</v>
      </c>
      <c r="G3" s="17" t="s">
        <v>32</v>
      </c>
      <c r="H3" s="17" t="s">
        <v>32</v>
      </c>
      <c r="I3" s="17" t="s">
        <v>33</v>
      </c>
      <c r="J3" s="17" t="s">
        <v>34</v>
      </c>
      <c r="K3" s="17" t="s">
        <v>35</v>
      </c>
      <c r="L3" s="17" t="s">
        <v>26</v>
      </c>
      <c r="M3" s="17" t="s">
        <v>36</v>
      </c>
    </row>
    <row r="4" spans="1:14" x14ac:dyDescent="0.3">
      <c r="A4" s="17" t="s">
        <v>37</v>
      </c>
      <c r="B4" s="17" t="s">
        <v>38</v>
      </c>
      <c r="C4" s="17" t="s">
        <v>39</v>
      </c>
      <c r="D4" s="17" t="s">
        <v>40</v>
      </c>
      <c r="E4" s="17" t="s">
        <v>41</v>
      </c>
      <c r="F4" s="17" t="s">
        <v>42</v>
      </c>
      <c r="G4" s="17" t="s">
        <v>43</v>
      </c>
      <c r="H4" s="17" t="s">
        <v>43</v>
      </c>
      <c r="I4" s="17" t="s">
        <v>44</v>
      </c>
      <c r="J4" s="17" t="s">
        <v>45</v>
      </c>
      <c r="K4" s="17" t="s">
        <v>46</v>
      </c>
      <c r="M4" s="17" t="s">
        <v>47</v>
      </c>
    </row>
    <row r="5" spans="1:14" x14ac:dyDescent="0.3">
      <c r="A5" s="17" t="s">
        <v>48</v>
      </c>
      <c r="B5" s="17" t="s">
        <v>49</v>
      </c>
      <c r="C5" s="17" t="s">
        <v>50</v>
      </c>
      <c r="F5" s="17" t="s">
        <v>51</v>
      </c>
      <c r="G5" s="17" t="s">
        <v>52</v>
      </c>
      <c r="H5" s="17" t="s">
        <v>52</v>
      </c>
      <c r="J5" s="17" t="s">
        <v>53</v>
      </c>
      <c r="M5" s="17" t="s">
        <v>54</v>
      </c>
    </row>
    <row r="6" spans="1:14" x14ac:dyDescent="0.3">
      <c r="B6" s="17" t="s">
        <v>55</v>
      </c>
      <c r="C6" s="17" t="s">
        <v>56</v>
      </c>
      <c r="F6" s="17" t="s">
        <v>57</v>
      </c>
      <c r="G6" s="17" t="s">
        <v>58</v>
      </c>
      <c r="H6" s="17" t="s">
        <v>58</v>
      </c>
      <c r="J6" s="17" t="s">
        <v>59</v>
      </c>
    </row>
    <row r="7" spans="1:14" x14ac:dyDescent="0.3">
      <c r="C7" s="17" t="s">
        <v>60</v>
      </c>
      <c r="G7" s="17" t="s">
        <v>61</v>
      </c>
      <c r="H7" s="17" t="s">
        <v>61</v>
      </c>
      <c r="J7" s="17" t="s">
        <v>62</v>
      </c>
    </row>
    <row r="8" spans="1:14" x14ac:dyDescent="0.3">
      <c r="C8" s="17" t="s">
        <v>63</v>
      </c>
    </row>
    <row r="9" spans="1:14" x14ac:dyDescent="0.3">
      <c r="C9" s="17" t="s">
        <v>64</v>
      </c>
    </row>
    <row r="10" spans="1:14" x14ac:dyDescent="0.3">
      <c r="C10" s="17" t="s">
        <v>65</v>
      </c>
    </row>
    <row r="11" spans="1:14" x14ac:dyDescent="0.3">
      <c r="C11" s="17" t="s">
        <v>66</v>
      </c>
    </row>
    <row r="12" spans="1:14" x14ac:dyDescent="0.3">
      <c r="C12" s="17" t="s">
        <v>67</v>
      </c>
    </row>
    <row r="20" spans="1:3" x14ac:dyDescent="0.3">
      <c r="A20" s="17" t="s">
        <v>1116</v>
      </c>
      <c r="C20" s="17" t="s">
        <v>1130</v>
      </c>
    </row>
    <row r="21" spans="1:3" x14ac:dyDescent="0.3">
      <c r="A21" s="53" t="s">
        <v>1117</v>
      </c>
      <c r="C21" s="17" t="s">
        <v>1131</v>
      </c>
    </row>
    <row r="22" spans="1:3" x14ac:dyDescent="0.3">
      <c r="A22" s="54" t="s">
        <v>1118</v>
      </c>
      <c r="C22" s="17" t="s">
        <v>1132</v>
      </c>
    </row>
    <row r="23" spans="1:3" x14ac:dyDescent="0.3">
      <c r="A23" s="55" t="s">
        <v>1119</v>
      </c>
      <c r="C23" s="17" t="s">
        <v>1133</v>
      </c>
    </row>
    <row r="24" spans="1:3" ht="24" x14ac:dyDescent="0.3">
      <c r="A24" s="56" t="s">
        <v>1121</v>
      </c>
      <c r="C24" s="17" t="s">
        <v>48</v>
      </c>
    </row>
    <row r="25" spans="1:3" ht="46.8" x14ac:dyDescent="0.3">
      <c r="A25" s="57" t="s">
        <v>1123</v>
      </c>
    </row>
    <row r="26" spans="1:3" ht="24" x14ac:dyDescent="0.3">
      <c r="A26" s="57" t="s">
        <v>1122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2"/>
  <sheetViews>
    <sheetView topLeftCell="A4" zoomScale="85" zoomScaleNormal="85" workbookViewId="0">
      <selection activeCell="H20" sqref="H20"/>
    </sheetView>
  </sheetViews>
  <sheetFormatPr defaultRowHeight="14.4" x14ac:dyDescent="0.3"/>
  <cols>
    <col min="1" max="1" width="23.88671875" customWidth="1"/>
    <col min="2" max="3" width="41.109375" customWidth="1"/>
    <col min="4" max="4" width="10.33203125" bestFit="1" customWidth="1"/>
    <col min="5" max="8" width="41.109375" customWidth="1"/>
  </cols>
  <sheetData>
    <row r="1" spans="1:8" s="24" customFormat="1" ht="16.8" thickTop="1" thickBot="1" x14ac:dyDescent="0.3">
      <c r="A1" s="32" t="s">
        <v>109</v>
      </c>
      <c r="B1" s="32"/>
      <c r="C1" s="32"/>
      <c r="D1" s="31"/>
      <c r="E1" s="31"/>
      <c r="F1" s="31"/>
      <c r="G1" s="31"/>
      <c r="H1" s="33"/>
    </row>
    <row r="2" spans="1:8" s="15" customFormat="1" ht="15.75" customHeight="1" thickTop="1" x14ac:dyDescent="0.25">
      <c r="A2" s="34" t="s">
        <v>110</v>
      </c>
      <c r="B2" s="239"/>
      <c r="C2" s="239"/>
      <c r="D2" s="34" t="s">
        <v>111</v>
      </c>
      <c r="E2" s="238"/>
      <c r="F2" s="238"/>
      <c r="G2" s="238"/>
      <c r="H2" s="28"/>
    </row>
    <row r="3" spans="1:8" s="15" customFormat="1" ht="26.4" x14ac:dyDescent="0.25">
      <c r="A3" s="34" t="s">
        <v>112</v>
      </c>
      <c r="B3" s="239"/>
      <c r="C3" s="239"/>
      <c r="D3" s="34" t="s">
        <v>113</v>
      </c>
      <c r="E3" s="238"/>
      <c r="F3" s="238"/>
      <c r="G3" s="238"/>
      <c r="H3" s="29"/>
    </row>
    <row r="4" spans="1:8" s="15" customFormat="1" ht="26.4" x14ac:dyDescent="0.25">
      <c r="A4" s="34" t="s">
        <v>73</v>
      </c>
      <c r="B4" s="239"/>
      <c r="C4" s="239"/>
      <c r="D4" s="34" t="s">
        <v>114</v>
      </c>
      <c r="E4" s="238"/>
      <c r="F4" s="238"/>
      <c r="G4" s="238"/>
      <c r="H4" s="29"/>
    </row>
    <row r="5" spans="1:8" s="15" customFormat="1" ht="15.75" customHeight="1" thickBot="1" x14ac:dyDescent="0.3">
      <c r="A5" s="34" t="s">
        <v>115</v>
      </c>
      <c r="B5" s="239"/>
      <c r="C5" s="239"/>
      <c r="D5" s="34" t="s">
        <v>116</v>
      </c>
      <c r="E5" s="238"/>
      <c r="F5" s="238"/>
      <c r="G5" s="238"/>
      <c r="H5" s="30"/>
    </row>
    <row r="6" spans="1:8" ht="15" thickTop="1" x14ac:dyDescent="0.3">
      <c r="A6" s="8" t="s">
        <v>77</v>
      </c>
      <c r="B6" s="8" t="s">
        <v>78</v>
      </c>
      <c r="C6" s="8" t="s">
        <v>79</v>
      </c>
      <c r="D6" s="8" t="s">
        <v>117</v>
      </c>
      <c r="E6" s="8" t="s">
        <v>118</v>
      </c>
      <c r="F6" s="8" t="s">
        <v>119</v>
      </c>
      <c r="G6" s="8" t="s">
        <v>120</v>
      </c>
      <c r="H6" s="9" t="s">
        <v>121</v>
      </c>
    </row>
    <row r="7" spans="1:8" ht="15.6" x14ac:dyDescent="0.3">
      <c r="A7" s="7" t="s">
        <v>122</v>
      </c>
      <c r="B7" s="6"/>
      <c r="C7" s="6"/>
      <c r="D7" s="6"/>
      <c r="E7" s="6"/>
      <c r="F7" s="6"/>
      <c r="G7" s="6"/>
      <c r="H7" s="10"/>
    </row>
    <row r="8" spans="1:8" x14ac:dyDescent="0.3">
      <c r="A8" s="4">
        <v>1.1000000000000001</v>
      </c>
      <c r="B8" s="4" t="s">
        <v>85</v>
      </c>
      <c r="C8" s="5" t="s">
        <v>123</v>
      </c>
      <c r="D8" s="35"/>
      <c r="E8" s="5"/>
      <c r="F8" s="5"/>
      <c r="G8" s="5" t="s">
        <v>48</v>
      </c>
      <c r="H8" s="5" t="s">
        <v>48</v>
      </c>
    </row>
    <row r="9" spans="1:8" x14ac:dyDescent="0.3">
      <c r="A9" s="13" t="s">
        <v>124</v>
      </c>
      <c r="B9" s="4" t="s">
        <v>85</v>
      </c>
      <c r="C9" s="2" t="s">
        <v>125</v>
      </c>
      <c r="D9" s="35"/>
      <c r="E9" s="5"/>
      <c r="F9" s="5"/>
      <c r="G9" s="5" t="s">
        <v>48</v>
      </c>
      <c r="H9" s="5" t="s">
        <v>48</v>
      </c>
    </row>
    <row r="10" spans="1:8" x14ac:dyDescent="0.3">
      <c r="A10" s="13" t="s">
        <v>126</v>
      </c>
      <c r="B10" s="4" t="s">
        <v>85</v>
      </c>
      <c r="C10" s="2" t="s">
        <v>127</v>
      </c>
      <c r="D10" s="35"/>
      <c r="E10" s="5"/>
      <c r="F10" s="5"/>
      <c r="G10" s="5" t="s">
        <v>48</v>
      </c>
      <c r="H10" s="5" t="s">
        <v>48</v>
      </c>
    </row>
    <row r="11" spans="1:8" x14ac:dyDescent="0.3">
      <c r="A11" s="13" t="s">
        <v>128</v>
      </c>
      <c r="B11" s="4" t="s">
        <v>85</v>
      </c>
      <c r="C11" s="2" t="s">
        <v>129</v>
      </c>
      <c r="D11" s="35"/>
      <c r="E11" s="5"/>
      <c r="F11" s="5"/>
      <c r="G11" s="5" t="s">
        <v>48</v>
      </c>
      <c r="H11" s="5" t="s">
        <v>48</v>
      </c>
    </row>
    <row r="12" spans="1:8" x14ac:dyDescent="0.3">
      <c r="A12" s="13" t="s">
        <v>130</v>
      </c>
      <c r="B12" s="4" t="s">
        <v>85</v>
      </c>
      <c r="C12" s="2" t="s">
        <v>131</v>
      </c>
      <c r="D12" s="35"/>
      <c r="E12" s="5"/>
      <c r="F12" s="5"/>
      <c r="G12" s="5" t="s">
        <v>48</v>
      </c>
      <c r="H12" s="5" t="s">
        <v>48</v>
      </c>
    </row>
    <row r="13" spans="1:8" x14ac:dyDescent="0.3">
      <c r="A13" s="13" t="s">
        <v>132</v>
      </c>
      <c r="B13" s="4" t="s">
        <v>85</v>
      </c>
      <c r="C13" s="2" t="s">
        <v>133</v>
      </c>
      <c r="D13" s="35"/>
      <c r="E13" s="5"/>
      <c r="F13" s="5"/>
      <c r="G13" s="5" t="s">
        <v>48</v>
      </c>
      <c r="H13" s="5" t="s">
        <v>48</v>
      </c>
    </row>
    <row r="14" spans="1:8" x14ac:dyDescent="0.3">
      <c r="A14" s="13" t="s">
        <v>134</v>
      </c>
      <c r="B14" s="4" t="s">
        <v>85</v>
      </c>
      <c r="C14" s="2" t="s">
        <v>135</v>
      </c>
      <c r="D14" s="35"/>
      <c r="E14" s="5"/>
      <c r="F14" s="5"/>
      <c r="G14" s="5" t="s">
        <v>48</v>
      </c>
      <c r="H14" s="5" t="s">
        <v>48</v>
      </c>
    </row>
    <row r="15" spans="1:8" ht="35.4" x14ac:dyDescent="0.3">
      <c r="A15" s="4">
        <v>1.2</v>
      </c>
      <c r="B15" s="4" t="s">
        <v>136</v>
      </c>
      <c r="C15" s="5" t="s">
        <v>137</v>
      </c>
      <c r="D15" s="35"/>
      <c r="E15" s="5"/>
      <c r="F15" s="5"/>
      <c r="G15" s="5" t="s">
        <v>48</v>
      </c>
      <c r="H15" s="5" t="s">
        <v>48</v>
      </c>
    </row>
    <row r="16" spans="1:8" ht="35.4" x14ac:dyDescent="0.3">
      <c r="A16" s="4">
        <v>1.3</v>
      </c>
      <c r="B16" s="4" t="s">
        <v>138</v>
      </c>
      <c r="C16" s="5" t="s">
        <v>139</v>
      </c>
      <c r="D16" s="35"/>
      <c r="E16" s="5"/>
      <c r="F16" s="5"/>
      <c r="G16" s="5" t="s">
        <v>48</v>
      </c>
      <c r="H16" s="5" t="s">
        <v>48</v>
      </c>
    </row>
    <row r="17" spans="1:8" x14ac:dyDescent="0.3">
      <c r="A17" s="13" t="s">
        <v>140</v>
      </c>
      <c r="B17" s="4" t="s">
        <v>138</v>
      </c>
      <c r="C17" s="2" t="s">
        <v>141</v>
      </c>
      <c r="D17" s="35"/>
      <c r="E17" s="5"/>
      <c r="F17" s="5" t="s">
        <v>142</v>
      </c>
      <c r="G17" s="5" t="s">
        <v>48</v>
      </c>
      <c r="H17" s="5" t="s">
        <v>48</v>
      </c>
    </row>
    <row r="18" spans="1:8" x14ac:dyDescent="0.3">
      <c r="A18" s="13" t="s">
        <v>143</v>
      </c>
      <c r="B18" s="4" t="s">
        <v>138</v>
      </c>
      <c r="C18" s="2" t="s">
        <v>144</v>
      </c>
      <c r="D18" s="35"/>
      <c r="E18" s="5"/>
      <c r="F18" s="5" t="s">
        <v>142</v>
      </c>
      <c r="G18" s="5" t="s">
        <v>48</v>
      </c>
      <c r="H18" s="5" t="s">
        <v>48</v>
      </c>
    </row>
    <row r="19" spans="1:8" x14ac:dyDescent="0.3">
      <c r="A19" s="13" t="s">
        <v>145</v>
      </c>
      <c r="B19" s="4" t="s">
        <v>138</v>
      </c>
      <c r="C19" s="2" t="s">
        <v>146</v>
      </c>
      <c r="D19" s="35"/>
      <c r="E19" s="5"/>
      <c r="F19" s="5" t="s">
        <v>142</v>
      </c>
      <c r="G19" s="5" t="s">
        <v>48</v>
      </c>
      <c r="H19" s="5" t="s">
        <v>48</v>
      </c>
    </row>
    <row r="20" spans="1:8" x14ac:dyDescent="0.3">
      <c r="A20" s="13" t="s">
        <v>147</v>
      </c>
      <c r="B20" s="4" t="s">
        <v>138</v>
      </c>
      <c r="C20" s="2" t="s">
        <v>148</v>
      </c>
      <c r="D20" s="35"/>
      <c r="E20" s="5"/>
      <c r="F20" s="5" t="s">
        <v>142</v>
      </c>
      <c r="G20" s="5" t="s">
        <v>48</v>
      </c>
      <c r="H20" s="5" t="s">
        <v>48</v>
      </c>
    </row>
    <row r="21" spans="1:8" x14ac:dyDescent="0.3">
      <c r="A21" s="13" t="s">
        <v>149</v>
      </c>
      <c r="B21" s="4" t="s">
        <v>138</v>
      </c>
      <c r="C21" s="2" t="s">
        <v>150</v>
      </c>
      <c r="D21" s="35"/>
      <c r="E21" s="5"/>
      <c r="F21" s="5" t="s">
        <v>142</v>
      </c>
      <c r="G21" s="5" t="s">
        <v>48</v>
      </c>
      <c r="H21" s="5" t="s">
        <v>48</v>
      </c>
    </row>
    <row r="22" spans="1:8" ht="24" x14ac:dyDescent="0.3">
      <c r="A22" s="13" t="s">
        <v>151</v>
      </c>
      <c r="B22" s="4" t="s">
        <v>138</v>
      </c>
      <c r="C22" s="2" t="s">
        <v>152</v>
      </c>
      <c r="D22" s="35"/>
      <c r="E22" s="5"/>
      <c r="F22" s="5" t="s">
        <v>142</v>
      </c>
      <c r="G22" s="5" t="s">
        <v>48</v>
      </c>
      <c r="H22" s="5" t="s">
        <v>48</v>
      </c>
    </row>
    <row r="23" spans="1:8" ht="24" x14ac:dyDescent="0.3">
      <c r="A23" s="13" t="s">
        <v>153</v>
      </c>
      <c r="B23" s="4" t="s">
        <v>138</v>
      </c>
      <c r="C23" s="2" t="s">
        <v>154</v>
      </c>
      <c r="D23" s="35"/>
      <c r="E23" s="5"/>
      <c r="F23" s="5" t="s">
        <v>142</v>
      </c>
      <c r="G23" s="5" t="s">
        <v>48</v>
      </c>
      <c r="H23" s="5" t="s">
        <v>48</v>
      </c>
    </row>
    <row r="24" spans="1:8" x14ac:dyDescent="0.3">
      <c r="A24" s="13" t="s">
        <v>155</v>
      </c>
      <c r="B24" s="4" t="s">
        <v>138</v>
      </c>
      <c r="C24" s="2" t="s">
        <v>156</v>
      </c>
      <c r="D24" s="35"/>
      <c r="E24" s="5"/>
      <c r="F24" s="5" t="s">
        <v>142</v>
      </c>
      <c r="G24" s="5" t="s">
        <v>48</v>
      </c>
      <c r="H24" s="5" t="s">
        <v>48</v>
      </c>
    </row>
    <row r="25" spans="1:8" ht="35.4" x14ac:dyDescent="0.3">
      <c r="A25" s="4">
        <v>1.4</v>
      </c>
      <c r="B25" s="4" t="s">
        <v>157</v>
      </c>
      <c r="C25" s="5" t="s">
        <v>158</v>
      </c>
      <c r="D25" s="35"/>
      <c r="E25" s="5"/>
      <c r="F25" s="5" t="s">
        <v>159</v>
      </c>
      <c r="G25" s="5" t="s">
        <v>48</v>
      </c>
      <c r="H25" s="5" t="s">
        <v>48</v>
      </c>
    </row>
    <row r="26" spans="1:8" ht="24" x14ac:dyDescent="0.3">
      <c r="A26" s="4">
        <v>1.5</v>
      </c>
      <c r="B26" s="4" t="s">
        <v>160</v>
      </c>
      <c r="C26" s="5" t="s">
        <v>161</v>
      </c>
      <c r="D26" s="35"/>
      <c r="E26" s="5" t="s">
        <v>162</v>
      </c>
      <c r="F26" s="5"/>
      <c r="G26" s="5" t="s">
        <v>48</v>
      </c>
      <c r="H26" s="5" t="s">
        <v>48</v>
      </c>
    </row>
    <row r="27" spans="1:8" ht="46.8" x14ac:dyDescent="0.3">
      <c r="A27" s="4">
        <v>1.6</v>
      </c>
      <c r="B27" s="4" t="s">
        <v>160</v>
      </c>
      <c r="C27" s="5" t="s">
        <v>163</v>
      </c>
      <c r="D27" s="35"/>
      <c r="E27" s="5" t="s">
        <v>164</v>
      </c>
      <c r="F27" s="5"/>
      <c r="G27" s="5" t="s">
        <v>48</v>
      </c>
      <c r="H27" s="5" t="s">
        <v>48</v>
      </c>
    </row>
    <row r="28" spans="1:8" ht="46.8" x14ac:dyDescent="0.3">
      <c r="A28" s="4">
        <v>1.7</v>
      </c>
      <c r="B28" s="4" t="s">
        <v>165</v>
      </c>
      <c r="C28" s="5" t="s">
        <v>166</v>
      </c>
      <c r="D28" s="35"/>
      <c r="E28" s="5"/>
      <c r="F28" s="5"/>
      <c r="G28" s="5" t="s">
        <v>167</v>
      </c>
      <c r="H28" s="5" t="s">
        <v>168</v>
      </c>
    </row>
    <row r="29" spans="1:8" ht="24" x14ac:dyDescent="0.3">
      <c r="A29" s="11">
        <v>1.8</v>
      </c>
      <c r="B29" s="4" t="s">
        <v>87</v>
      </c>
      <c r="C29" s="5" t="s">
        <v>169</v>
      </c>
      <c r="D29" s="35"/>
      <c r="E29" s="5"/>
      <c r="F29" s="5"/>
      <c r="G29" s="5" t="s">
        <v>48</v>
      </c>
      <c r="H29" s="5" t="s">
        <v>48</v>
      </c>
    </row>
    <row r="30" spans="1:8" ht="24" x14ac:dyDescent="0.3">
      <c r="A30" s="13" t="s">
        <v>170</v>
      </c>
      <c r="B30" s="4" t="s">
        <v>87</v>
      </c>
      <c r="C30" s="2" t="s">
        <v>171</v>
      </c>
      <c r="D30" s="35"/>
      <c r="E30" s="5"/>
      <c r="F30" s="5"/>
      <c r="G30" s="5" t="s">
        <v>48</v>
      </c>
      <c r="H30" s="5" t="s">
        <v>48</v>
      </c>
    </row>
    <row r="31" spans="1:8" ht="24" x14ac:dyDescent="0.3">
      <c r="A31" s="13" t="s">
        <v>172</v>
      </c>
      <c r="B31" s="4" t="s">
        <v>87</v>
      </c>
      <c r="C31" s="2" t="s">
        <v>173</v>
      </c>
      <c r="D31" s="35"/>
      <c r="E31" s="5"/>
      <c r="F31" s="5"/>
      <c r="G31" s="5" t="s">
        <v>48</v>
      </c>
      <c r="H31" s="5" t="s">
        <v>48</v>
      </c>
    </row>
    <row r="32" spans="1:8" ht="24" x14ac:dyDescent="0.3">
      <c r="A32" s="4">
        <v>1.9</v>
      </c>
      <c r="B32" s="4" t="s">
        <v>87</v>
      </c>
      <c r="C32" s="5" t="s">
        <v>174</v>
      </c>
      <c r="D32" s="35"/>
      <c r="E32" s="5" t="s">
        <v>175</v>
      </c>
      <c r="F32" s="5"/>
      <c r="G32" s="5" t="s">
        <v>176</v>
      </c>
      <c r="H32" s="5" t="s">
        <v>177</v>
      </c>
    </row>
    <row r="33" spans="1:8" ht="24" x14ac:dyDescent="0.3">
      <c r="A33" s="12">
        <v>1.1000000000000001</v>
      </c>
      <c r="B33" s="4" t="s">
        <v>178</v>
      </c>
      <c r="C33" s="5" t="s">
        <v>179</v>
      </c>
      <c r="D33" s="35"/>
      <c r="E33" s="5"/>
      <c r="F33" s="5"/>
      <c r="G33" s="5" t="s">
        <v>48</v>
      </c>
      <c r="H33" s="5" t="s">
        <v>48</v>
      </c>
    </row>
    <row r="34" spans="1:8" x14ac:dyDescent="0.3">
      <c r="A34" s="13" t="s">
        <v>180</v>
      </c>
      <c r="B34" s="4" t="s">
        <v>178</v>
      </c>
      <c r="C34" s="2" t="s">
        <v>181</v>
      </c>
      <c r="D34" s="35"/>
      <c r="E34" s="5"/>
      <c r="F34" s="5"/>
      <c r="G34" s="5" t="s">
        <v>48</v>
      </c>
      <c r="H34" s="5" t="s">
        <v>48</v>
      </c>
    </row>
    <row r="35" spans="1:8" x14ac:dyDescent="0.3">
      <c r="A35" s="13" t="s">
        <v>182</v>
      </c>
      <c r="B35" s="4" t="s">
        <v>178</v>
      </c>
      <c r="C35" s="2" t="s">
        <v>146</v>
      </c>
      <c r="D35" s="35"/>
      <c r="E35" s="5"/>
      <c r="F35" s="5"/>
      <c r="G35" s="5" t="s">
        <v>48</v>
      </c>
      <c r="H35" s="5" t="s">
        <v>48</v>
      </c>
    </row>
    <row r="36" spans="1:8" x14ac:dyDescent="0.3">
      <c r="A36" s="13" t="s">
        <v>183</v>
      </c>
      <c r="B36" s="4" t="s">
        <v>178</v>
      </c>
      <c r="C36" s="2" t="s">
        <v>144</v>
      </c>
      <c r="D36" s="35"/>
      <c r="E36" s="5"/>
      <c r="F36" s="5"/>
      <c r="G36" s="5" t="s">
        <v>48</v>
      </c>
      <c r="H36" s="5" t="s">
        <v>48</v>
      </c>
    </row>
    <row r="37" spans="1:8" x14ac:dyDescent="0.3">
      <c r="A37" s="13" t="s">
        <v>184</v>
      </c>
      <c r="B37" s="4" t="s">
        <v>178</v>
      </c>
      <c r="C37" s="2" t="s">
        <v>148</v>
      </c>
      <c r="D37" s="35"/>
      <c r="E37" s="5"/>
      <c r="F37" s="5"/>
      <c r="G37" s="5" t="s">
        <v>48</v>
      </c>
      <c r="H37" s="5" t="s">
        <v>48</v>
      </c>
    </row>
    <row r="38" spans="1:8" x14ac:dyDescent="0.3">
      <c r="A38" s="13" t="s">
        <v>185</v>
      </c>
      <c r="B38" s="4" t="s">
        <v>178</v>
      </c>
      <c r="C38" s="2" t="s">
        <v>150</v>
      </c>
      <c r="D38" s="35"/>
      <c r="E38" s="5"/>
      <c r="F38" s="5"/>
      <c r="G38" s="5" t="s">
        <v>48</v>
      </c>
      <c r="H38" s="5" t="s">
        <v>48</v>
      </c>
    </row>
    <row r="39" spans="1:8" ht="24" x14ac:dyDescent="0.3">
      <c r="A39" s="13" t="s">
        <v>186</v>
      </c>
      <c r="B39" s="4" t="s">
        <v>178</v>
      </c>
      <c r="C39" s="2" t="s">
        <v>152</v>
      </c>
      <c r="D39" s="35"/>
      <c r="E39" s="5"/>
      <c r="F39" s="5"/>
      <c r="G39" s="5" t="s">
        <v>48</v>
      </c>
      <c r="H39" s="5" t="s">
        <v>48</v>
      </c>
    </row>
    <row r="40" spans="1:8" ht="24" x14ac:dyDescent="0.3">
      <c r="A40" s="13" t="s">
        <v>187</v>
      </c>
      <c r="B40" s="4" t="s">
        <v>178</v>
      </c>
      <c r="C40" s="2" t="s">
        <v>154</v>
      </c>
      <c r="D40" s="35"/>
      <c r="E40" s="5"/>
      <c r="F40" s="5"/>
      <c r="G40" s="5" t="s">
        <v>48</v>
      </c>
      <c r="H40" s="5" t="s">
        <v>48</v>
      </c>
    </row>
    <row r="41" spans="1:8" x14ac:dyDescent="0.3">
      <c r="A41" s="13" t="s">
        <v>188</v>
      </c>
      <c r="B41" s="4" t="s">
        <v>178</v>
      </c>
      <c r="C41" s="2" t="s">
        <v>189</v>
      </c>
      <c r="D41" s="35"/>
      <c r="E41" s="5"/>
      <c r="F41" s="5"/>
      <c r="G41" s="5" t="s">
        <v>48</v>
      </c>
      <c r="H41" s="5" t="s">
        <v>48</v>
      </c>
    </row>
    <row r="42" spans="1:8" ht="24" x14ac:dyDescent="0.3">
      <c r="A42" s="4">
        <v>1.1100000000000001</v>
      </c>
      <c r="B42" s="4" t="s">
        <v>190</v>
      </c>
      <c r="C42" s="5" t="s">
        <v>191</v>
      </c>
      <c r="D42" s="35"/>
      <c r="E42" s="5"/>
      <c r="F42" s="5"/>
      <c r="G42" s="5" t="s">
        <v>48</v>
      </c>
      <c r="H42" s="5" t="s">
        <v>48</v>
      </c>
    </row>
  </sheetData>
  <mergeCells count="8">
    <mergeCell ref="E2:G2"/>
    <mergeCell ref="E3:G3"/>
    <mergeCell ref="E4:G4"/>
    <mergeCell ref="E5:G5"/>
    <mergeCell ref="B2:C2"/>
    <mergeCell ref="B3:C3"/>
    <mergeCell ref="B4:C4"/>
    <mergeCell ref="B5:C5"/>
  </mergeCells>
  <dataValidations count="1">
    <dataValidation type="list" showInputMessage="1" showErrorMessage="1" sqref="D8:D42" xr:uid="{00000000-0002-0000-0400-000000000000}">
      <formula1>"Yes, No, Partial, N/A"</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02957-D1FC-4D70-BF1F-25F50793134C}">
  <dimension ref="A1:E20"/>
  <sheetViews>
    <sheetView showGridLines="0" zoomScaleNormal="100" workbookViewId="0">
      <selection activeCell="D25" sqref="D25"/>
    </sheetView>
  </sheetViews>
  <sheetFormatPr defaultColWidth="9.109375" defaultRowHeight="14.4" x14ac:dyDescent="0.3"/>
  <cols>
    <col min="1" max="1" width="29" style="14" customWidth="1"/>
    <col min="2" max="2" width="36.5546875" style="14" customWidth="1"/>
    <col min="3" max="3" width="49.6640625" style="14" customWidth="1"/>
    <col min="4" max="4" width="30.44140625" style="14" customWidth="1"/>
    <col min="5" max="5" width="68.6640625" style="14" customWidth="1"/>
    <col min="6" max="16384" width="9.109375" style="14"/>
  </cols>
  <sheetData>
    <row r="1" spans="1:5" s="24" customFormat="1" ht="15.6" x14ac:dyDescent="0.3">
      <c r="A1" s="240" t="s">
        <v>68</v>
      </c>
      <c r="B1" s="240"/>
      <c r="C1" s="240"/>
      <c r="D1" s="240"/>
      <c r="E1" s="240"/>
    </row>
    <row r="2" spans="1:5" s="15" customFormat="1" ht="15.75" customHeight="1" x14ac:dyDescent="0.25">
      <c r="A2" s="34" t="s">
        <v>69</v>
      </c>
      <c r="B2" s="241"/>
      <c r="C2" s="241"/>
      <c r="D2" s="34" t="s">
        <v>70</v>
      </c>
      <c r="E2" s="146"/>
    </row>
    <row r="3" spans="1:5" s="15" customFormat="1" ht="26.4" x14ac:dyDescent="0.25">
      <c r="A3" s="34" t="s">
        <v>71</v>
      </c>
      <c r="B3" s="241"/>
      <c r="C3" s="241"/>
      <c r="D3" s="34" t="s">
        <v>72</v>
      </c>
      <c r="E3" s="146"/>
    </row>
    <row r="4" spans="1:5" s="15" customFormat="1" ht="13.2" x14ac:dyDescent="0.25">
      <c r="A4" s="34" t="s">
        <v>73</v>
      </c>
      <c r="B4" s="241"/>
      <c r="C4" s="241"/>
      <c r="D4" s="34" t="s">
        <v>74</v>
      </c>
      <c r="E4" s="146"/>
    </row>
    <row r="5" spans="1:5" s="15" customFormat="1" ht="15.75" customHeight="1" x14ac:dyDescent="0.25">
      <c r="A5" s="34" t="s">
        <v>75</v>
      </c>
      <c r="B5" s="241"/>
      <c r="C5" s="241"/>
      <c r="D5" s="34" t="s">
        <v>76</v>
      </c>
      <c r="E5" s="146"/>
    </row>
    <row r="6" spans="1:5" s="15" customFormat="1" ht="13.2" x14ac:dyDescent="0.25">
      <c r="A6" s="159" t="s">
        <v>77</v>
      </c>
      <c r="B6" s="159" t="s">
        <v>78</v>
      </c>
      <c r="C6" s="159" t="s">
        <v>79</v>
      </c>
      <c r="D6" s="159" t="s">
        <v>80</v>
      </c>
      <c r="E6" s="159" t="s">
        <v>81</v>
      </c>
    </row>
    <row r="7" spans="1:5" s="16" customFormat="1" ht="15.6" x14ac:dyDescent="0.3">
      <c r="A7" s="47" t="s">
        <v>82</v>
      </c>
      <c r="B7" s="226"/>
      <c r="C7" s="226"/>
      <c r="D7" s="226"/>
      <c r="E7" s="226"/>
    </row>
    <row r="8" spans="1:5" s="19" customFormat="1" ht="22.8" x14ac:dyDescent="0.3">
      <c r="A8" s="18">
        <v>1</v>
      </c>
      <c r="B8" s="18" t="s">
        <v>83</v>
      </c>
      <c r="C8" s="20" t="s">
        <v>84</v>
      </c>
      <c r="D8" s="147"/>
      <c r="E8" s="148"/>
    </row>
    <row r="9" spans="1:5" s="19" customFormat="1" ht="11.4" x14ac:dyDescent="0.3">
      <c r="A9" s="18">
        <v>2</v>
      </c>
      <c r="B9" s="18" t="s">
        <v>85</v>
      </c>
      <c r="C9" s="20" t="s">
        <v>86</v>
      </c>
      <c r="D9" s="147"/>
      <c r="E9" s="148"/>
    </row>
    <row r="10" spans="1:5" s="19" customFormat="1" ht="11.4" x14ac:dyDescent="0.3">
      <c r="A10" s="18">
        <v>3</v>
      </c>
      <c r="B10" s="18" t="s">
        <v>87</v>
      </c>
      <c r="C10" s="20" t="s">
        <v>88</v>
      </c>
      <c r="D10" s="147"/>
      <c r="E10" s="148"/>
    </row>
    <row r="11" spans="1:5" s="19" customFormat="1" ht="11.4" x14ac:dyDescent="0.3">
      <c r="A11" s="18">
        <v>4</v>
      </c>
      <c r="B11" s="18" t="s">
        <v>89</v>
      </c>
      <c r="C11" s="20" t="s">
        <v>90</v>
      </c>
      <c r="D11" s="147"/>
      <c r="E11" s="148"/>
    </row>
    <row r="12" spans="1:5" s="19" customFormat="1" ht="11.4" x14ac:dyDescent="0.3">
      <c r="A12" s="18">
        <v>5</v>
      </c>
      <c r="B12" s="18" t="s">
        <v>91</v>
      </c>
      <c r="C12" s="20" t="s">
        <v>92</v>
      </c>
      <c r="D12" s="149"/>
      <c r="E12" s="148"/>
    </row>
    <row r="13" spans="1:5" s="19" customFormat="1" ht="22.8" x14ac:dyDescent="0.3">
      <c r="A13" s="18">
        <v>6</v>
      </c>
      <c r="B13" s="18" t="s">
        <v>93</v>
      </c>
      <c r="C13" s="20" t="s">
        <v>94</v>
      </c>
      <c r="D13" s="149"/>
      <c r="E13" s="148"/>
    </row>
    <row r="14" spans="1:5" s="19" customFormat="1" ht="11.4" x14ac:dyDescent="0.3">
      <c r="A14" s="18">
        <v>7</v>
      </c>
      <c r="B14" s="18" t="s">
        <v>95</v>
      </c>
      <c r="C14" s="20" t="s">
        <v>96</v>
      </c>
      <c r="D14" s="149"/>
      <c r="E14" s="148"/>
    </row>
    <row r="15" spans="1:5" s="19" customFormat="1" ht="11.4" x14ac:dyDescent="0.3">
      <c r="A15" s="18">
        <v>8</v>
      </c>
      <c r="B15" s="18" t="s">
        <v>97</v>
      </c>
      <c r="C15" s="20" t="s">
        <v>98</v>
      </c>
      <c r="D15" s="149"/>
      <c r="E15" s="148"/>
    </row>
    <row r="16" spans="1:5" s="19" customFormat="1" ht="11.4" x14ac:dyDescent="0.3">
      <c r="A16" s="18">
        <v>9</v>
      </c>
      <c r="B16" s="18" t="s">
        <v>99</v>
      </c>
      <c r="C16" s="20" t="s">
        <v>100</v>
      </c>
      <c r="D16" s="148"/>
      <c r="E16" s="148"/>
    </row>
    <row r="17" spans="1:5" s="19" customFormat="1" ht="11.4" x14ac:dyDescent="0.3">
      <c r="A17" s="18">
        <v>10</v>
      </c>
      <c r="B17" s="18" t="s">
        <v>101</v>
      </c>
      <c r="C17" s="20" t="s">
        <v>102</v>
      </c>
      <c r="D17" s="147"/>
      <c r="E17" s="148"/>
    </row>
    <row r="18" spans="1:5" s="19" customFormat="1" ht="22.8" x14ac:dyDescent="0.3">
      <c r="A18" s="18">
        <v>11</v>
      </c>
      <c r="B18" s="18" t="s">
        <v>103</v>
      </c>
      <c r="C18" s="20" t="s">
        <v>104</v>
      </c>
      <c r="D18" s="147"/>
      <c r="E18" s="148"/>
    </row>
    <row r="19" spans="1:5" s="19" customFormat="1" ht="22.8" x14ac:dyDescent="0.3">
      <c r="A19" s="18">
        <v>12</v>
      </c>
      <c r="B19" s="18" t="s">
        <v>105</v>
      </c>
      <c r="C19" s="20" t="s">
        <v>106</v>
      </c>
      <c r="D19" s="147"/>
      <c r="E19" s="148"/>
    </row>
    <row r="20" spans="1:5" s="19" customFormat="1" ht="34.200000000000003" x14ac:dyDescent="0.3">
      <c r="A20" s="18">
        <v>13</v>
      </c>
      <c r="B20" s="18" t="s">
        <v>107</v>
      </c>
      <c r="C20" s="20" t="s">
        <v>108</v>
      </c>
      <c r="D20" s="147"/>
      <c r="E20" s="148"/>
    </row>
  </sheetData>
  <mergeCells count="5">
    <mergeCell ref="A1:E1"/>
    <mergeCell ref="B2:C2"/>
    <mergeCell ref="B3:C3"/>
    <mergeCell ref="B4:C4"/>
    <mergeCell ref="B5:C5"/>
  </mergeCells>
  <dataValidations count="1">
    <dataValidation type="list" allowBlank="1" showInputMessage="1" showErrorMessage="1" sqref="D8 D11 D18:D20" xr:uid="{61E8F417-9188-4D52-B9DA-63575752D905}">
      <formula1>"Yes, No, Partial (please explain), N/A (please explain)"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6">
        <x14:dataValidation type="list" allowBlank="1" showInputMessage="1" showErrorMessage="1" xr:uid="{EED30342-83EB-45B1-A2D7-BADDB7B8436C}">
          <x14:formula1>
            <xm:f>'Data Validation Key'!$F$2:$F$6</xm:f>
          </x14:formula1>
          <xm:sqref>D12</xm:sqref>
        </x14:dataValidation>
        <x14:dataValidation type="list" allowBlank="1" showInputMessage="1" showErrorMessage="1" xr:uid="{5646CE01-DE8D-463D-B46B-44A436B7755A}">
          <x14:formula1>
            <xm:f>'Data Validation Key'!$C$2:$C$12</xm:f>
          </x14:formula1>
          <xm:sqref>D9</xm:sqref>
        </x14:dataValidation>
        <x14:dataValidation type="list" allowBlank="1" showInputMessage="1" showErrorMessage="1" xr:uid="{A18F9D5F-1918-4C63-9264-441FDC401EAE}">
          <x14:formula1>
            <xm:f>'Data Validation Key'!$K$2:$K$4</xm:f>
          </x14:formula1>
          <xm:sqref>D10</xm:sqref>
        </x14:dataValidation>
        <x14:dataValidation type="list" allowBlank="1" showInputMessage="1" showErrorMessage="1" xr:uid="{BC1F0559-FE98-48DA-B9DC-4007F5A21D60}">
          <x14:formula1>
            <xm:f>'Data Validation Key'!$I$2:$I$4</xm:f>
          </x14:formula1>
          <xm:sqref>D13</xm:sqref>
        </x14:dataValidation>
        <x14:dataValidation type="list" allowBlank="1" showInputMessage="1" showErrorMessage="1" xr:uid="{B6E96E62-CB94-4095-89D8-7E35A4736A6E}">
          <x14:formula1>
            <xm:f>'Data Validation Key'!$M$2:$M$5</xm:f>
          </x14:formula1>
          <xm:sqref>D14:D15</xm:sqref>
        </x14:dataValidation>
        <x14:dataValidation type="list" allowBlank="1" showInputMessage="1" showErrorMessage="1" xr:uid="{F51F3269-6855-47FE-B167-FABEE2689C1D}">
          <x14:formula1>
            <xm:f>'Data Validation Key'!$J$2:$J$7</xm:f>
          </x14:formula1>
          <xm:sqref>D17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30"/>
  <sheetViews>
    <sheetView showGridLines="0" tabSelected="1" zoomScaleNormal="100" workbookViewId="0">
      <selection sqref="A1:E1"/>
    </sheetView>
  </sheetViews>
  <sheetFormatPr defaultColWidth="8.88671875" defaultRowHeight="15" customHeight="1" x14ac:dyDescent="0.3"/>
  <cols>
    <col min="1" max="1" width="91" style="14" customWidth="1"/>
    <col min="2" max="2" width="34.6640625" style="14" customWidth="1"/>
    <col min="3" max="3" width="23.109375" style="14" customWidth="1"/>
    <col min="4" max="4" width="8.88671875" style="14"/>
    <col min="5" max="5" width="51.88671875" style="14" customWidth="1"/>
    <col min="6" max="16384" width="8.88671875" style="14"/>
  </cols>
  <sheetData>
    <row r="1" spans="1:11" ht="40.5" customHeight="1" thickBot="1" x14ac:dyDescent="0.35">
      <c r="A1" s="256" t="s">
        <v>1424</v>
      </c>
      <c r="B1" s="257"/>
      <c r="C1" s="257"/>
      <c r="D1" s="257"/>
      <c r="E1" s="258"/>
      <c r="K1" s="70"/>
    </row>
    <row r="2" spans="1:11" ht="32.25" customHeight="1" thickTop="1" x14ac:dyDescent="0.3">
      <c r="A2" s="97" t="s">
        <v>1420</v>
      </c>
      <c r="B2" s="98"/>
      <c r="C2" s="98"/>
      <c r="D2" s="99"/>
      <c r="E2" s="99"/>
      <c r="F2" s="100"/>
      <c r="G2" s="101"/>
      <c r="K2" s="70"/>
    </row>
    <row r="3" spans="1:11" ht="15" customHeight="1" x14ac:dyDescent="0.3">
      <c r="A3" s="102" t="s">
        <v>1425</v>
      </c>
      <c r="B3" s="241"/>
      <c r="C3" s="241"/>
      <c r="D3" s="34" t="s">
        <v>111</v>
      </c>
      <c r="E3" s="143" t="s">
        <v>1440</v>
      </c>
      <c r="F3" s="103"/>
      <c r="G3" s="104"/>
    </row>
    <row r="4" spans="1:11" ht="15" customHeight="1" x14ac:dyDescent="0.3">
      <c r="A4" s="34" t="s">
        <v>112</v>
      </c>
      <c r="B4" s="241" t="s">
        <v>1438</v>
      </c>
      <c r="C4" s="241"/>
      <c r="D4" s="34" t="s">
        <v>113</v>
      </c>
      <c r="E4" s="143" t="s">
        <v>1441</v>
      </c>
      <c r="F4" s="103"/>
      <c r="G4" s="104"/>
    </row>
    <row r="5" spans="1:11" ht="15" customHeight="1" x14ac:dyDescent="0.3">
      <c r="A5" s="34" t="s">
        <v>73</v>
      </c>
      <c r="B5" s="259" t="s">
        <v>1439</v>
      </c>
      <c r="C5" s="241"/>
      <c r="D5" s="34" t="s">
        <v>114</v>
      </c>
      <c r="E5" s="231" t="s">
        <v>1442</v>
      </c>
      <c r="F5" s="103"/>
      <c r="G5" s="104"/>
    </row>
    <row r="6" spans="1:11" ht="15" customHeight="1" x14ac:dyDescent="0.3">
      <c r="A6" s="34" t="s">
        <v>115</v>
      </c>
      <c r="B6" s="241"/>
      <c r="C6" s="241"/>
      <c r="D6" s="34" t="s">
        <v>116</v>
      </c>
      <c r="E6" s="143" t="s">
        <v>1443</v>
      </c>
      <c r="F6" s="103"/>
      <c r="G6" s="104"/>
    </row>
    <row r="7" spans="1:11" ht="15.6" x14ac:dyDescent="0.3">
      <c r="A7" s="254" t="s">
        <v>122</v>
      </c>
      <c r="B7" s="255"/>
      <c r="C7" s="255"/>
      <c r="D7" s="255"/>
      <c r="E7" s="255"/>
      <c r="F7" s="105"/>
    </row>
    <row r="8" spans="1:11" ht="34.799999999999997" x14ac:dyDescent="0.3">
      <c r="A8" s="106" t="s">
        <v>1186</v>
      </c>
      <c r="B8" s="106" t="s">
        <v>80</v>
      </c>
      <c r="C8" s="106" t="s">
        <v>1187</v>
      </c>
      <c r="D8" s="260" t="s">
        <v>1188</v>
      </c>
      <c r="E8" s="261"/>
      <c r="F8" s="105"/>
    </row>
    <row r="9" spans="1:11" x14ac:dyDescent="0.3">
      <c r="A9" s="107"/>
      <c r="B9" s="107"/>
      <c r="C9" s="108"/>
      <c r="D9" s="262"/>
      <c r="E9" s="263"/>
      <c r="F9" s="105"/>
    </row>
    <row r="10" spans="1:11" x14ac:dyDescent="0.3">
      <c r="A10" s="109" t="s">
        <v>1426</v>
      </c>
      <c r="B10" s="110" t="s">
        <v>15</v>
      </c>
      <c r="C10" s="111" t="s">
        <v>15</v>
      </c>
      <c r="D10" s="248"/>
      <c r="E10" s="264"/>
      <c r="F10" s="105"/>
    </row>
    <row r="11" spans="1:11" x14ac:dyDescent="0.3">
      <c r="A11" s="112" t="s">
        <v>1189</v>
      </c>
      <c r="B11" s="110" t="s">
        <v>1440</v>
      </c>
      <c r="C11" s="111" t="s">
        <v>15</v>
      </c>
      <c r="D11" s="248"/>
      <c r="E11" s="264"/>
      <c r="F11" s="105"/>
    </row>
    <row r="12" spans="1:11" x14ac:dyDescent="0.3">
      <c r="A12" s="112" t="s">
        <v>1190</v>
      </c>
      <c r="B12" s="110" t="s">
        <v>1441</v>
      </c>
      <c r="C12" s="111" t="s">
        <v>15</v>
      </c>
      <c r="D12" s="248"/>
      <c r="E12" s="264"/>
      <c r="F12" s="105"/>
    </row>
    <row r="13" spans="1:11" ht="30" x14ac:dyDescent="0.3">
      <c r="A13" s="112" t="s">
        <v>1191</v>
      </c>
      <c r="B13" s="110" t="s">
        <v>1444</v>
      </c>
      <c r="C13" s="111" t="s">
        <v>15</v>
      </c>
      <c r="D13" s="248"/>
      <c r="E13" s="264"/>
      <c r="F13" s="105"/>
    </row>
    <row r="14" spans="1:11" x14ac:dyDescent="0.3">
      <c r="A14" s="109" t="s">
        <v>1427</v>
      </c>
      <c r="B14" s="110" t="s">
        <v>26</v>
      </c>
      <c r="C14" s="111" t="s">
        <v>15</v>
      </c>
      <c r="D14" s="248"/>
      <c r="E14" s="264"/>
      <c r="F14" s="105"/>
    </row>
    <row r="15" spans="1:11" x14ac:dyDescent="0.3">
      <c r="A15" s="113" t="s">
        <v>1192</v>
      </c>
      <c r="B15" s="110"/>
      <c r="C15" s="111" t="s">
        <v>15</v>
      </c>
      <c r="D15" s="248"/>
      <c r="E15" s="249"/>
    </row>
    <row r="16" spans="1:11" x14ac:dyDescent="0.3">
      <c r="A16" s="109" t="s">
        <v>1428</v>
      </c>
      <c r="B16" s="110" t="s">
        <v>15</v>
      </c>
      <c r="C16" s="111" t="s">
        <v>15</v>
      </c>
      <c r="D16" s="199"/>
      <c r="E16" s="200"/>
    </row>
    <row r="17" spans="1:5" x14ac:dyDescent="0.3">
      <c r="A17" s="112" t="s">
        <v>1348</v>
      </c>
      <c r="B17" s="110" t="s">
        <v>1440</v>
      </c>
      <c r="C17" s="111" t="s">
        <v>15</v>
      </c>
      <c r="D17" s="199"/>
      <c r="E17" s="200"/>
    </row>
    <row r="18" spans="1:5" x14ac:dyDescent="0.3">
      <c r="A18" s="112" t="s">
        <v>1190</v>
      </c>
      <c r="B18" s="110" t="s">
        <v>1441</v>
      </c>
      <c r="C18" s="111" t="s">
        <v>15</v>
      </c>
      <c r="D18" s="199"/>
      <c r="E18" s="200"/>
    </row>
    <row r="19" spans="1:5" x14ac:dyDescent="0.3">
      <c r="A19" s="112" t="s">
        <v>1349</v>
      </c>
      <c r="B19" s="110" t="s">
        <v>1442</v>
      </c>
      <c r="C19" s="111" t="s">
        <v>15</v>
      </c>
      <c r="D19" s="199"/>
      <c r="E19" s="200"/>
    </row>
    <row r="20" spans="1:5" x14ac:dyDescent="0.3">
      <c r="A20" s="112" t="s">
        <v>1350</v>
      </c>
      <c r="B20" s="110" t="s">
        <v>1443</v>
      </c>
      <c r="C20" s="111" t="s">
        <v>15</v>
      </c>
      <c r="D20" s="199"/>
      <c r="E20" s="200"/>
    </row>
    <row r="21" spans="1:5" ht="30" x14ac:dyDescent="0.3">
      <c r="A21" s="109" t="s">
        <v>1429</v>
      </c>
      <c r="B21" s="110" t="s">
        <v>15</v>
      </c>
      <c r="C21" s="111" t="s">
        <v>15</v>
      </c>
      <c r="D21" s="248" t="s">
        <v>1445</v>
      </c>
      <c r="E21" s="249"/>
    </row>
    <row r="22" spans="1:5" ht="30" x14ac:dyDescent="0.3">
      <c r="A22" s="109" t="s">
        <v>1193</v>
      </c>
      <c r="B22" s="110" t="s">
        <v>15</v>
      </c>
      <c r="C22" s="110" t="s">
        <v>26</v>
      </c>
      <c r="D22" s="250" t="s">
        <v>1459</v>
      </c>
      <c r="E22" s="251"/>
    </row>
    <row r="23" spans="1:5" x14ac:dyDescent="0.3">
      <c r="A23" s="109" t="s">
        <v>1430</v>
      </c>
      <c r="B23" s="110" t="s">
        <v>15</v>
      </c>
      <c r="C23" s="110" t="s">
        <v>15</v>
      </c>
      <c r="D23" s="250"/>
      <c r="E23" s="251"/>
    </row>
    <row r="24" spans="1:5" x14ac:dyDescent="0.3">
      <c r="A24" s="109" t="s">
        <v>1403</v>
      </c>
      <c r="B24" s="110" t="s">
        <v>26</v>
      </c>
      <c r="C24" s="110" t="s">
        <v>15</v>
      </c>
      <c r="D24" s="250"/>
      <c r="E24" s="251"/>
    </row>
    <row r="25" spans="1:5" x14ac:dyDescent="0.3">
      <c r="A25" s="109" t="s">
        <v>1431</v>
      </c>
      <c r="B25" s="330">
        <v>36164</v>
      </c>
      <c r="C25" s="110" t="s">
        <v>15</v>
      </c>
      <c r="D25" s="250"/>
      <c r="E25" s="251"/>
    </row>
    <row r="26" spans="1:5" x14ac:dyDescent="0.3">
      <c r="A26" s="109" t="s">
        <v>1432</v>
      </c>
      <c r="B26" s="110" t="s">
        <v>1446</v>
      </c>
      <c r="C26" s="110" t="s">
        <v>15</v>
      </c>
      <c r="D26" s="250"/>
      <c r="E26" s="251"/>
    </row>
    <row r="27" spans="1:5" ht="15.6" x14ac:dyDescent="0.3">
      <c r="A27" s="114" t="s">
        <v>1433</v>
      </c>
      <c r="B27" s="144" t="s">
        <v>26</v>
      </c>
      <c r="C27" s="110" t="s">
        <v>15</v>
      </c>
      <c r="D27" s="242"/>
      <c r="E27" s="243"/>
    </row>
    <row r="28" spans="1:5" x14ac:dyDescent="0.3">
      <c r="A28" s="109" t="s">
        <v>1194</v>
      </c>
      <c r="B28" s="144" t="s">
        <v>15</v>
      </c>
      <c r="C28" s="110" t="s">
        <v>15</v>
      </c>
      <c r="D28" s="244"/>
      <c r="E28" s="245"/>
    </row>
    <row r="29" spans="1:5" ht="30" x14ac:dyDescent="0.3">
      <c r="A29" s="115" t="s">
        <v>1434</v>
      </c>
      <c r="B29" s="145" t="s">
        <v>26</v>
      </c>
      <c r="C29" s="116" t="s">
        <v>15</v>
      </c>
      <c r="D29" s="246"/>
      <c r="E29" s="247"/>
    </row>
    <row r="30" spans="1:5" ht="43.8" thickBot="1" x14ac:dyDescent="0.35">
      <c r="A30" s="196" t="s">
        <v>1404</v>
      </c>
      <c r="B30" s="232" t="s">
        <v>1447</v>
      </c>
      <c r="C30" s="197" t="s">
        <v>48</v>
      </c>
      <c r="D30" s="252"/>
      <c r="E30" s="253"/>
    </row>
  </sheetData>
  <sheetProtection selectLockedCells="1"/>
  <mergeCells count="24">
    <mergeCell ref="D30:E30"/>
    <mergeCell ref="A7:E7"/>
    <mergeCell ref="A1:E1"/>
    <mergeCell ref="B3:C3"/>
    <mergeCell ref="B4:C4"/>
    <mergeCell ref="B5:C5"/>
    <mergeCell ref="B6:C6"/>
    <mergeCell ref="D24:E24"/>
    <mergeCell ref="D8:E8"/>
    <mergeCell ref="D9:E9"/>
    <mergeCell ref="D10:E10"/>
    <mergeCell ref="D11:E11"/>
    <mergeCell ref="D12:E12"/>
    <mergeCell ref="D13:E13"/>
    <mergeCell ref="D14:E14"/>
    <mergeCell ref="D15:E15"/>
    <mergeCell ref="D27:E27"/>
    <mergeCell ref="D28:E28"/>
    <mergeCell ref="D29:E29"/>
    <mergeCell ref="D21:E21"/>
    <mergeCell ref="D22:E22"/>
    <mergeCell ref="D23:E23"/>
    <mergeCell ref="D25:E25"/>
    <mergeCell ref="D26:E26"/>
  </mergeCells>
  <dataValidations count="2">
    <dataValidation type="list" showInputMessage="1" showErrorMessage="1" sqref="C10:C29" xr:uid="{00000000-0002-0000-0500-000000000000}">
      <formula1>"Yes, No"</formula1>
    </dataValidation>
    <dataValidation type="list" allowBlank="1" showInputMessage="1" showErrorMessage="1" sqref="B10 B14 B21:B24 B27:B29" xr:uid="{00000000-0002-0000-0500-000001000000}">
      <formula1>"Yes, No"</formula1>
    </dataValidation>
  </dataValidations>
  <hyperlinks>
    <hyperlink ref="B5" r:id="rId1" xr:uid="{4EFE46A5-4CA4-405E-ADA0-99BF0A3319F7}"/>
    <hyperlink ref="E5" r:id="rId2" xr:uid="{38D7C299-ECA3-47D6-9E3F-C024A2CDDB57}"/>
    <hyperlink ref="B19" r:id="rId3" xr:uid="{C05EBB47-DD90-49BD-B33D-8D75AE93758D}"/>
  </hyperlinks>
  <pageMargins left="0.7" right="0.7" top="0.75" bottom="0.75" header="0.3" footer="0.3"/>
  <pageSetup orientation="portrait" horizontalDpi="4294967292" verticalDpi="4294967292"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51"/>
  <sheetViews>
    <sheetView showGridLines="0" topLeftCell="A40" zoomScale="85" zoomScaleNormal="85" workbookViewId="0">
      <selection activeCell="C50" sqref="C50"/>
    </sheetView>
  </sheetViews>
  <sheetFormatPr defaultColWidth="9" defaultRowHeight="14.4" x14ac:dyDescent="0.3"/>
  <cols>
    <col min="1" max="1" width="61.109375" style="14" customWidth="1"/>
    <col min="2" max="2" width="37" style="14" customWidth="1"/>
    <col min="3" max="3" width="26.6640625" style="14" customWidth="1"/>
    <col min="4" max="4" width="25.6640625" style="14" customWidth="1"/>
    <col min="5" max="5" width="26.6640625" style="14" customWidth="1"/>
    <col min="6" max="6" width="25.6640625" style="14" customWidth="1"/>
    <col min="7" max="7" width="26.6640625" style="14" customWidth="1"/>
    <col min="8" max="8" width="21.88671875" style="14" bestFit="1" customWidth="1"/>
    <col min="9" max="16384" width="9" style="14"/>
  </cols>
  <sheetData>
    <row r="1" spans="1:15" ht="18" thickBot="1" x14ac:dyDescent="0.35">
      <c r="A1" s="268" t="s">
        <v>1195</v>
      </c>
      <c r="B1" s="269"/>
      <c r="C1" s="269"/>
      <c r="D1" s="269"/>
      <c r="E1" s="269"/>
      <c r="F1" s="269"/>
      <c r="G1" s="269"/>
    </row>
    <row r="2" spans="1:15" ht="21.75" customHeight="1" x14ac:dyDescent="0.35">
      <c r="A2" s="270" t="s">
        <v>1405</v>
      </c>
      <c r="B2" s="272" t="s">
        <v>1456</v>
      </c>
      <c r="C2" s="273"/>
      <c r="D2" s="272" t="s">
        <v>1196</v>
      </c>
      <c r="E2" s="273"/>
      <c r="F2" s="272" t="s">
        <v>1197</v>
      </c>
      <c r="G2" s="273"/>
    </row>
    <row r="3" spans="1:15" ht="43.5" customHeight="1" x14ac:dyDescent="0.3">
      <c r="A3" s="271"/>
      <c r="B3" s="217" t="s">
        <v>1376</v>
      </c>
      <c r="C3" s="218" t="s">
        <v>1198</v>
      </c>
      <c r="D3" s="219" t="s">
        <v>80</v>
      </c>
      <c r="E3" s="220" t="s">
        <v>1188</v>
      </c>
      <c r="F3" s="219" t="s">
        <v>80</v>
      </c>
      <c r="G3" s="220" t="s">
        <v>1188</v>
      </c>
    </row>
    <row r="4" spans="1:15" ht="61.2" thickBot="1" x14ac:dyDescent="0.35">
      <c r="A4" s="117" t="s">
        <v>1377</v>
      </c>
      <c r="B4" s="329" t="s">
        <v>1448</v>
      </c>
      <c r="C4" s="151"/>
      <c r="D4" s="150"/>
      <c r="E4" s="152"/>
      <c r="F4" s="150"/>
      <c r="G4" s="152"/>
      <c r="I4" s="70"/>
      <c r="O4" s="70"/>
    </row>
    <row r="5" spans="1:15" ht="31.5" customHeight="1" x14ac:dyDescent="0.3">
      <c r="A5" s="118" t="s">
        <v>1199</v>
      </c>
      <c r="B5" s="274"/>
      <c r="C5" s="275"/>
      <c r="D5" s="275"/>
      <c r="E5" s="275"/>
      <c r="F5" s="275"/>
      <c r="G5" s="275"/>
    </row>
    <row r="6" spans="1:15" ht="15" x14ac:dyDescent="0.3">
      <c r="A6" s="119" t="s">
        <v>1200</v>
      </c>
      <c r="B6" s="120" t="s">
        <v>26</v>
      </c>
      <c r="C6" s="121"/>
      <c r="D6" s="120"/>
      <c r="E6" s="121"/>
      <c r="F6" s="120"/>
      <c r="G6" s="121"/>
    </row>
    <row r="7" spans="1:15" ht="15.6" thickBot="1" x14ac:dyDescent="0.35">
      <c r="A7" s="122" t="s">
        <v>1201</v>
      </c>
      <c r="B7" s="123" t="s">
        <v>15</v>
      </c>
      <c r="C7" s="124" t="s">
        <v>1438</v>
      </c>
      <c r="D7" s="123"/>
      <c r="E7" s="124"/>
      <c r="F7" s="123"/>
      <c r="G7" s="124"/>
    </row>
    <row r="8" spans="1:15" ht="150.6" thickBot="1" x14ac:dyDescent="0.35">
      <c r="A8" s="125" t="s">
        <v>1406</v>
      </c>
      <c r="B8" s="126" t="s">
        <v>1449</v>
      </c>
      <c r="C8" s="126" t="s">
        <v>1457</v>
      </c>
      <c r="D8" s="126"/>
      <c r="E8" s="127"/>
      <c r="F8" s="126"/>
      <c r="G8" s="127"/>
    </row>
    <row r="9" spans="1:15" ht="31.5" customHeight="1" x14ac:dyDescent="0.3">
      <c r="A9" s="118" t="s">
        <v>1202</v>
      </c>
      <c r="B9" s="276" t="s">
        <v>1203</v>
      </c>
      <c r="C9" s="277"/>
      <c r="D9" s="277"/>
      <c r="E9" s="277"/>
      <c r="F9" s="277"/>
      <c r="G9" s="278"/>
    </row>
    <row r="10" spans="1:15" ht="45" x14ac:dyDescent="0.3">
      <c r="A10" s="119" t="s">
        <v>1418</v>
      </c>
      <c r="B10" s="120" t="s">
        <v>15</v>
      </c>
      <c r="C10" s="121" t="s">
        <v>1450</v>
      </c>
      <c r="D10" s="120"/>
      <c r="E10" s="121"/>
      <c r="F10" s="120"/>
      <c r="G10" s="121"/>
    </row>
    <row r="11" spans="1:15" ht="30" x14ac:dyDescent="0.3">
      <c r="A11" s="119" t="s">
        <v>1419</v>
      </c>
      <c r="B11" s="120" t="s">
        <v>15</v>
      </c>
      <c r="C11" s="129" t="s">
        <v>1451</v>
      </c>
      <c r="D11" s="120"/>
      <c r="E11" s="129"/>
      <c r="F11" s="120"/>
      <c r="G11" s="129"/>
    </row>
    <row r="12" spans="1:15" ht="30" x14ac:dyDescent="0.3">
      <c r="A12" s="119" t="s">
        <v>1407</v>
      </c>
      <c r="B12" s="120" t="s">
        <v>15</v>
      </c>
      <c r="C12" s="129" t="s">
        <v>1452</v>
      </c>
      <c r="D12" s="120"/>
      <c r="E12" s="129"/>
      <c r="F12" s="120"/>
      <c r="G12" s="129"/>
    </row>
    <row r="13" spans="1:15" ht="30" x14ac:dyDescent="0.3">
      <c r="A13" s="119" t="s">
        <v>1408</v>
      </c>
      <c r="B13" s="120" t="s">
        <v>15</v>
      </c>
      <c r="C13" s="129" t="s">
        <v>1452</v>
      </c>
      <c r="D13" s="120"/>
      <c r="E13" s="129"/>
      <c r="F13" s="120"/>
      <c r="G13" s="129"/>
    </row>
    <row r="14" spans="1:15" ht="15" x14ac:dyDescent="0.3">
      <c r="A14" s="119" t="s">
        <v>1409</v>
      </c>
      <c r="B14" s="120" t="s">
        <v>15</v>
      </c>
      <c r="C14" s="129" t="s">
        <v>1452</v>
      </c>
      <c r="D14" s="120"/>
      <c r="E14" s="129"/>
      <c r="F14" s="120"/>
      <c r="G14" s="129"/>
    </row>
    <row r="15" spans="1:15" ht="15.6" thickBot="1" x14ac:dyDescent="0.35">
      <c r="A15" s="122" t="s">
        <v>1410</v>
      </c>
      <c r="B15" s="120"/>
      <c r="C15" s="124"/>
      <c r="D15" s="120"/>
      <c r="E15" s="124"/>
      <c r="F15" s="120"/>
      <c r="G15" s="124"/>
    </row>
    <row r="16" spans="1:15" ht="31.5" customHeight="1" x14ac:dyDescent="0.3">
      <c r="A16" s="118" t="s">
        <v>1411</v>
      </c>
      <c r="B16" s="276" t="s">
        <v>1203</v>
      </c>
      <c r="C16" s="277"/>
      <c r="D16" s="277"/>
      <c r="E16" s="277"/>
      <c r="F16" s="277"/>
      <c r="G16" s="278"/>
    </row>
    <row r="17" spans="1:7" ht="15" x14ac:dyDescent="0.3">
      <c r="A17" s="119" t="s">
        <v>125</v>
      </c>
      <c r="B17" s="130" t="s">
        <v>15</v>
      </c>
      <c r="C17" s="131"/>
      <c r="D17" s="120"/>
      <c r="E17" s="121"/>
      <c r="F17" s="120"/>
      <c r="G17" s="121"/>
    </row>
    <row r="18" spans="1:7" ht="15" x14ac:dyDescent="0.3">
      <c r="A18" s="119" t="s">
        <v>131</v>
      </c>
      <c r="B18" s="130" t="s">
        <v>15</v>
      </c>
      <c r="C18" s="132"/>
      <c r="D18" s="120"/>
      <c r="E18" s="129"/>
      <c r="F18" s="120"/>
      <c r="G18" s="129"/>
    </row>
    <row r="19" spans="1:7" ht="15" x14ac:dyDescent="0.3">
      <c r="A19" s="119" t="s">
        <v>133</v>
      </c>
      <c r="B19" s="130" t="s">
        <v>26</v>
      </c>
      <c r="C19" s="129"/>
      <c r="D19" s="120"/>
      <c r="E19" s="129"/>
      <c r="F19" s="120"/>
      <c r="G19" s="129"/>
    </row>
    <row r="20" spans="1:7" ht="15" x14ac:dyDescent="0.3">
      <c r="A20" s="119" t="s">
        <v>135</v>
      </c>
      <c r="B20" s="130" t="s">
        <v>26</v>
      </c>
      <c r="C20" s="129"/>
      <c r="D20" s="120"/>
      <c r="E20" s="129"/>
      <c r="F20" s="120"/>
      <c r="G20" s="133"/>
    </row>
    <row r="21" spans="1:7" ht="15.6" thickBot="1" x14ac:dyDescent="0.35">
      <c r="A21" s="122" t="s">
        <v>1412</v>
      </c>
      <c r="B21" s="130" t="s">
        <v>26</v>
      </c>
      <c r="C21" s="124"/>
      <c r="D21" s="120"/>
      <c r="E21" s="124"/>
      <c r="F21" s="120"/>
      <c r="G21" s="135"/>
    </row>
    <row r="22" spans="1:7" ht="47.25" customHeight="1" x14ac:dyDescent="0.3">
      <c r="A22" s="118" t="s">
        <v>1413</v>
      </c>
      <c r="B22" s="276" t="s">
        <v>1203</v>
      </c>
      <c r="C22" s="277"/>
      <c r="D22" s="277"/>
      <c r="E22" s="277"/>
      <c r="F22" s="277"/>
      <c r="G22" s="278"/>
    </row>
    <row r="23" spans="1:7" ht="150" x14ac:dyDescent="0.3">
      <c r="A23" s="119" t="s">
        <v>1204</v>
      </c>
      <c r="B23" s="120" t="s">
        <v>15</v>
      </c>
      <c r="C23" s="121" t="s">
        <v>1454</v>
      </c>
      <c r="D23" s="120"/>
      <c r="E23" s="121"/>
      <c r="F23" s="120"/>
      <c r="G23" s="121"/>
    </row>
    <row r="24" spans="1:7" ht="15" x14ac:dyDescent="0.3">
      <c r="A24" s="119" t="s">
        <v>1205</v>
      </c>
      <c r="B24" s="128" t="s">
        <v>26</v>
      </c>
      <c r="C24" s="129"/>
      <c r="D24" s="128"/>
      <c r="E24" s="129"/>
      <c r="F24" s="128" t="s">
        <v>1206</v>
      </c>
      <c r="G24" s="129"/>
    </row>
    <row r="25" spans="1:7" ht="15" x14ac:dyDescent="0.3">
      <c r="A25" s="119" t="s">
        <v>1207</v>
      </c>
      <c r="B25" s="128" t="s">
        <v>15</v>
      </c>
      <c r="C25" s="129" t="s">
        <v>1453</v>
      </c>
      <c r="D25" s="128"/>
      <c r="E25" s="129"/>
      <c r="F25" s="128"/>
      <c r="G25" s="129"/>
    </row>
    <row r="26" spans="1:7" ht="15.6" thickBot="1" x14ac:dyDescent="0.35">
      <c r="A26" s="122" t="s">
        <v>1208</v>
      </c>
      <c r="B26" s="123" t="s">
        <v>26</v>
      </c>
      <c r="C26" s="124"/>
      <c r="D26" s="123"/>
      <c r="E26" s="124"/>
      <c r="F26" s="134"/>
      <c r="G26" s="135"/>
    </row>
    <row r="27" spans="1:7" ht="31.5" customHeight="1" x14ac:dyDescent="0.3">
      <c r="A27" s="118" t="s">
        <v>1209</v>
      </c>
      <c r="B27" s="276" t="s">
        <v>1203</v>
      </c>
      <c r="C27" s="277"/>
      <c r="D27" s="277"/>
      <c r="E27" s="277"/>
      <c r="F27" s="277"/>
      <c r="G27" s="278"/>
    </row>
    <row r="28" spans="1:7" ht="15" x14ac:dyDescent="0.3">
      <c r="A28" s="119" t="s">
        <v>1414</v>
      </c>
      <c r="B28" s="120" t="s">
        <v>15</v>
      </c>
      <c r="C28" s="121"/>
      <c r="D28" s="120"/>
      <c r="E28" s="121"/>
      <c r="F28" s="120"/>
      <c r="G28" s="121"/>
    </row>
    <row r="29" spans="1:7" ht="15" x14ac:dyDescent="0.3">
      <c r="A29" s="119" t="s">
        <v>1435</v>
      </c>
      <c r="B29" s="128" t="s">
        <v>26</v>
      </c>
      <c r="C29" s="129"/>
      <c r="D29" s="128"/>
      <c r="E29" s="129"/>
      <c r="F29" s="128"/>
      <c r="G29" s="129"/>
    </row>
    <row r="30" spans="1:7" ht="15" x14ac:dyDescent="0.3">
      <c r="A30" s="119" t="s">
        <v>1210</v>
      </c>
      <c r="B30" s="128" t="s">
        <v>26</v>
      </c>
      <c r="C30" s="129"/>
      <c r="D30" s="128"/>
      <c r="E30" s="129"/>
      <c r="F30" s="128"/>
      <c r="G30" s="129"/>
    </row>
    <row r="31" spans="1:7" ht="15" x14ac:dyDescent="0.3">
      <c r="A31" s="119" t="s">
        <v>1204</v>
      </c>
      <c r="B31" s="128" t="s">
        <v>26</v>
      </c>
      <c r="C31" s="129"/>
      <c r="D31" s="128"/>
      <c r="E31" s="129"/>
      <c r="F31" s="128"/>
      <c r="G31" s="129"/>
    </row>
    <row r="32" spans="1:7" ht="15" x14ac:dyDescent="0.3">
      <c r="A32" s="119" t="s">
        <v>1205</v>
      </c>
      <c r="B32" s="128" t="s">
        <v>26</v>
      </c>
      <c r="C32" s="129"/>
      <c r="D32" s="128"/>
      <c r="E32" s="129"/>
      <c r="F32" s="128"/>
      <c r="G32" s="129"/>
    </row>
    <row r="33" spans="1:9" ht="15" x14ac:dyDescent="0.3">
      <c r="A33" s="119" t="s">
        <v>1207</v>
      </c>
      <c r="B33" s="128" t="s">
        <v>26</v>
      </c>
      <c r="C33" s="129"/>
      <c r="D33" s="128"/>
      <c r="E33" s="129"/>
      <c r="F33" s="128"/>
      <c r="G33" s="129"/>
    </row>
    <row r="34" spans="1:9" ht="15.6" thickBot="1" x14ac:dyDescent="0.35">
      <c r="A34" s="122" t="s">
        <v>1211</v>
      </c>
      <c r="B34" s="128" t="s">
        <v>26</v>
      </c>
      <c r="C34" s="124"/>
      <c r="D34" s="123"/>
      <c r="E34" s="124"/>
      <c r="F34" s="134"/>
      <c r="G34" s="135"/>
    </row>
    <row r="35" spans="1:9" ht="30" x14ac:dyDescent="0.3">
      <c r="A35" s="118" t="s">
        <v>1212</v>
      </c>
      <c r="B35" s="265"/>
      <c r="C35" s="266"/>
      <c r="D35" s="266"/>
      <c r="E35" s="266"/>
      <c r="F35" s="266"/>
      <c r="G35" s="267"/>
    </row>
    <row r="36" spans="1:9" ht="75" x14ac:dyDescent="0.3">
      <c r="A36" s="119" t="s">
        <v>1213</v>
      </c>
      <c r="B36" s="120" t="s">
        <v>26</v>
      </c>
      <c r="C36" s="121" t="s">
        <v>1455</v>
      </c>
      <c r="D36" s="120"/>
      <c r="E36" s="121"/>
      <c r="F36" s="120"/>
      <c r="G36" s="121"/>
      <c r="I36" s="49"/>
    </row>
    <row r="37" spans="1:9" ht="15" x14ac:dyDescent="0.3">
      <c r="A37" s="119" t="s">
        <v>1214</v>
      </c>
      <c r="B37" s="120" t="s">
        <v>26</v>
      </c>
      <c r="C37" s="129"/>
      <c r="D37" s="120"/>
      <c r="E37" s="129"/>
      <c r="F37" s="120"/>
      <c r="G37" s="129"/>
    </row>
    <row r="38" spans="1:9" ht="15" x14ac:dyDescent="0.3">
      <c r="A38" s="119" t="s">
        <v>1215</v>
      </c>
      <c r="B38" s="120" t="s">
        <v>26</v>
      </c>
      <c r="C38" s="129"/>
      <c r="D38" s="120"/>
      <c r="E38" s="129"/>
      <c r="F38" s="120"/>
      <c r="G38" s="129"/>
    </row>
    <row r="39" spans="1:9" ht="15" x14ac:dyDescent="0.3">
      <c r="A39" s="119" t="s">
        <v>1216</v>
      </c>
      <c r="B39" s="120" t="s">
        <v>26</v>
      </c>
      <c r="C39" s="129"/>
      <c r="D39" s="120"/>
      <c r="E39" s="129"/>
      <c r="F39" s="120"/>
      <c r="G39" s="129"/>
    </row>
    <row r="40" spans="1:9" ht="15" x14ac:dyDescent="0.3">
      <c r="A40" s="119" t="s">
        <v>1217</v>
      </c>
      <c r="B40" s="120" t="s">
        <v>26</v>
      </c>
      <c r="C40" s="129"/>
      <c r="D40" s="120"/>
      <c r="E40" s="129"/>
      <c r="F40" s="120"/>
      <c r="G40" s="129"/>
    </row>
    <row r="41" spans="1:9" ht="15" x14ac:dyDescent="0.3">
      <c r="A41" s="119" t="s">
        <v>144</v>
      </c>
      <c r="B41" s="120" t="s">
        <v>26</v>
      </c>
      <c r="C41" s="129"/>
      <c r="D41" s="120"/>
      <c r="E41" s="129"/>
      <c r="F41" s="120"/>
      <c r="G41" s="129"/>
    </row>
    <row r="42" spans="1:9" ht="15" x14ac:dyDescent="0.3">
      <c r="A42" s="119" t="s">
        <v>146</v>
      </c>
      <c r="B42" s="120" t="s">
        <v>26</v>
      </c>
      <c r="C42" s="129"/>
      <c r="D42" s="120"/>
      <c r="E42" s="129"/>
      <c r="F42" s="120"/>
      <c r="G42" s="129"/>
    </row>
    <row r="43" spans="1:9" ht="15" x14ac:dyDescent="0.3">
      <c r="A43" s="119" t="s">
        <v>1218</v>
      </c>
      <c r="B43" s="120" t="s">
        <v>26</v>
      </c>
      <c r="C43" s="129"/>
      <c r="D43" s="120"/>
      <c r="E43" s="129"/>
      <c r="F43" s="120"/>
      <c r="G43" s="129"/>
    </row>
    <row r="44" spans="1:9" ht="15" x14ac:dyDescent="0.3">
      <c r="A44" s="119" t="s">
        <v>150</v>
      </c>
      <c r="B44" s="120" t="s">
        <v>26</v>
      </c>
      <c r="C44" s="129"/>
      <c r="D44" s="120"/>
      <c r="E44" s="129"/>
      <c r="F44" s="120"/>
      <c r="G44" s="129"/>
    </row>
    <row r="45" spans="1:9" ht="30" x14ac:dyDescent="0.3">
      <c r="A45" s="119" t="s">
        <v>152</v>
      </c>
      <c r="B45" s="120" t="s">
        <v>26</v>
      </c>
      <c r="C45" s="129"/>
      <c r="D45" s="120"/>
      <c r="E45" s="129"/>
      <c r="F45" s="120"/>
      <c r="G45" s="129"/>
    </row>
    <row r="46" spans="1:9" ht="30" x14ac:dyDescent="0.3">
      <c r="A46" s="119" t="s">
        <v>154</v>
      </c>
      <c r="B46" s="120" t="s">
        <v>26</v>
      </c>
      <c r="C46" s="129"/>
      <c r="D46" s="120"/>
      <c r="E46" s="129"/>
      <c r="F46" s="120"/>
      <c r="G46" s="129"/>
    </row>
    <row r="47" spans="1:9" ht="15.6" thickBot="1" x14ac:dyDescent="0.35">
      <c r="A47" s="122" t="s">
        <v>156</v>
      </c>
      <c r="B47" s="123" t="s">
        <v>26</v>
      </c>
      <c r="C47" s="124"/>
      <c r="D47" s="123"/>
      <c r="E47" s="124"/>
      <c r="F47" s="123"/>
      <c r="G47" s="124"/>
    </row>
    <row r="48" spans="1:9" ht="30.6" thickBot="1" x14ac:dyDescent="0.35">
      <c r="A48" s="125" t="s">
        <v>1415</v>
      </c>
      <c r="B48" s="126" t="s">
        <v>26</v>
      </c>
      <c r="C48" s="153"/>
      <c r="D48" s="126"/>
      <c r="E48" s="153"/>
      <c r="F48" s="126"/>
      <c r="G48" s="153"/>
    </row>
    <row r="49" spans="1:7" ht="90.6" thickBot="1" x14ac:dyDescent="0.35">
      <c r="A49" s="136" t="s">
        <v>1416</v>
      </c>
      <c r="B49" s="137" t="s">
        <v>26</v>
      </c>
      <c r="C49" s="154" t="s">
        <v>1458</v>
      </c>
      <c r="D49" s="137"/>
      <c r="E49" s="154"/>
      <c r="F49" s="137"/>
      <c r="G49" s="154"/>
    </row>
    <row r="50" spans="1:7" ht="61.2" thickBot="1" x14ac:dyDescent="0.35">
      <c r="A50" s="138" t="s">
        <v>1436</v>
      </c>
      <c r="B50" s="126" t="s">
        <v>15</v>
      </c>
      <c r="C50" s="153"/>
      <c r="D50" s="126"/>
      <c r="E50" s="153"/>
      <c r="F50" s="126"/>
      <c r="G50" s="153"/>
    </row>
    <row r="51" spans="1:7" ht="61.2" thickBot="1" x14ac:dyDescent="0.35">
      <c r="A51" s="139" t="s">
        <v>1437</v>
      </c>
      <c r="B51" s="126" t="s">
        <v>15</v>
      </c>
      <c r="C51" s="153"/>
      <c r="D51" s="126"/>
      <c r="E51" s="153"/>
      <c r="F51" s="126"/>
      <c r="G51" s="153"/>
    </row>
  </sheetData>
  <sheetProtection selectLockedCells="1"/>
  <mergeCells count="11">
    <mergeCell ref="B35:G35"/>
    <mergeCell ref="A1:G1"/>
    <mergeCell ref="A2:A3"/>
    <mergeCell ref="B2:C2"/>
    <mergeCell ref="D2:E2"/>
    <mergeCell ref="F2:G2"/>
    <mergeCell ref="B5:G5"/>
    <mergeCell ref="B9:G9"/>
    <mergeCell ref="B16:G16"/>
    <mergeCell ref="B22:G22"/>
    <mergeCell ref="B27:G27"/>
  </mergeCells>
  <dataValidations count="2">
    <dataValidation showInputMessage="1" showErrorMessage="1" sqref="B8:D8 F8" xr:uid="{00000000-0002-0000-0600-000000000000}"/>
    <dataValidation type="list" showInputMessage="1" showErrorMessage="1" sqref="B10:B15 D17:D21 B6:B7 B23:B26 F36:F51 D10:D15 F17:F21 D28:D34 D23:D26 F10:F15 D36:D51 D6:D7 F6:F7 B17:B21 F23:F26 F28:F34 B28:B34 B36:B51" xr:uid="{00000000-0002-0000-0600-000001000000}">
      <formula1>"Yes, No"</formula1>
    </dataValidation>
  </dataValidation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2"/>
  <sheetViews>
    <sheetView showGridLines="0" workbookViewId="0">
      <selection activeCell="A2" sqref="A2"/>
    </sheetView>
  </sheetViews>
  <sheetFormatPr defaultColWidth="9.109375" defaultRowHeight="14.4" x14ac:dyDescent="0.3"/>
  <cols>
    <col min="1" max="1" width="68.44140625" style="14" bestFit="1" customWidth="1"/>
    <col min="2" max="2" width="51.44140625" style="14" customWidth="1"/>
    <col min="3" max="3" width="66.44140625" style="14" bestFit="1" customWidth="1"/>
    <col min="4" max="16384" width="9.109375" style="14"/>
  </cols>
  <sheetData>
    <row r="1" spans="1:3" ht="20.25" customHeight="1" thickTop="1" x14ac:dyDescent="0.3">
      <c r="A1" s="156" t="s">
        <v>1340</v>
      </c>
      <c r="B1" s="156" t="s">
        <v>1341</v>
      </c>
      <c r="C1" s="156" t="s">
        <v>1342</v>
      </c>
    </row>
    <row r="2" spans="1:3" ht="42" customHeight="1" x14ac:dyDescent="0.3">
      <c r="A2" s="45" t="s">
        <v>1343</v>
      </c>
      <c r="B2" s="198"/>
      <c r="C2" s="45" t="s">
        <v>1344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2"/>
  <sheetViews>
    <sheetView showGridLines="0" workbookViewId="0">
      <selection activeCell="A2" sqref="A2"/>
    </sheetView>
  </sheetViews>
  <sheetFormatPr defaultColWidth="9.109375" defaultRowHeight="14.4" x14ac:dyDescent="0.3"/>
  <cols>
    <col min="1" max="1" width="86.88671875" style="14" customWidth="1"/>
    <col min="2" max="2" width="66.6640625" style="14" customWidth="1"/>
    <col min="3" max="3" width="45.6640625" style="14" customWidth="1"/>
    <col min="4" max="16384" width="9.109375" style="14"/>
  </cols>
  <sheetData>
    <row r="1" spans="1:3" ht="15" thickTop="1" x14ac:dyDescent="0.3">
      <c r="A1" s="156" t="s">
        <v>1340</v>
      </c>
      <c r="B1" s="156" t="s">
        <v>1345</v>
      </c>
      <c r="C1" s="156" t="s">
        <v>1342</v>
      </c>
    </row>
    <row r="2" spans="1:3" ht="117.75" customHeight="1" x14ac:dyDescent="0.3">
      <c r="A2" s="45" t="s">
        <v>1417</v>
      </c>
      <c r="B2" s="198"/>
      <c r="C2" s="45" t="s">
        <v>1346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32"/>
  <sheetViews>
    <sheetView showGridLines="0" zoomScaleNormal="100" workbookViewId="0">
      <selection activeCell="E29" sqref="E29"/>
    </sheetView>
  </sheetViews>
  <sheetFormatPr defaultColWidth="9.109375" defaultRowHeight="13.8" x14ac:dyDescent="0.25"/>
  <cols>
    <col min="1" max="1" width="19.6640625" style="42" customWidth="1"/>
    <col min="2" max="2" width="37.44140625" style="42" customWidth="1"/>
    <col min="3" max="3" width="15.33203125" style="44" bestFit="1" customWidth="1"/>
    <col min="4" max="4" width="58.88671875" style="42" customWidth="1"/>
    <col min="5" max="5" width="23.109375" style="42" customWidth="1"/>
    <col min="6" max="6" width="26.88671875" style="42" customWidth="1"/>
    <col min="7" max="16384" width="9.109375" style="42"/>
  </cols>
  <sheetData>
    <row r="1" spans="1:6" s="43" customFormat="1" ht="40.200000000000003" thickTop="1" x14ac:dyDescent="0.3">
      <c r="A1" s="156" t="s">
        <v>192</v>
      </c>
      <c r="B1" s="157" t="s">
        <v>193</v>
      </c>
      <c r="C1" s="158" t="s">
        <v>194</v>
      </c>
      <c r="D1" s="180" t="s">
        <v>1316</v>
      </c>
      <c r="E1" s="181" t="s">
        <v>1317</v>
      </c>
      <c r="F1" s="181" t="s">
        <v>1318</v>
      </c>
    </row>
    <row r="2" spans="1:6" s="43" customFormat="1" ht="26.4" x14ac:dyDescent="0.3">
      <c r="A2" s="87" t="s">
        <v>1378</v>
      </c>
      <c r="B2" s="88" t="s">
        <v>211</v>
      </c>
      <c r="C2" s="89" t="s">
        <v>209</v>
      </c>
      <c r="D2" s="90" t="s">
        <v>1379</v>
      </c>
      <c r="E2" s="192"/>
      <c r="F2" s="193"/>
    </row>
    <row r="3" spans="1:6" s="43" customFormat="1" ht="13.2" x14ac:dyDescent="0.3">
      <c r="A3" s="87" t="s">
        <v>1380</v>
      </c>
      <c r="B3" s="88" t="s">
        <v>196</v>
      </c>
      <c r="C3" s="89" t="s">
        <v>197</v>
      </c>
      <c r="D3" s="88" t="s">
        <v>1381</v>
      </c>
      <c r="E3" s="192"/>
      <c r="F3" s="193"/>
    </row>
    <row r="4" spans="1:6" s="43" customFormat="1" ht="13.2" x14ac:dyDescent="0.3">
      <c r="A4" s="87" t="s">
        <v>221</v>
      </c>
      <c r="B4" s="88" t="s">
        <v>282</v>
      </c>
      <c r="C4" s="89" t="s">
        <v>222</v>
      </c>
      <c r="D4" s="88" t="s">
        <v>1382</v>
      </c>
      <c r="E4" s="192"/>
      <c r="F4" s="193"/>
    </row>
    <row r="5" spans="1:6" s="43" customFormat="1" ht="13.2" x14ac:dyDescent="0.3">
      <c r="A5" s="87" t="s">
        <v>328</v>
      </c>
      <c r="B5" s="88" t="s">
        <v>327</v>
      </c>
      <c r="C5" s="89" t="s">
        <v>329</v>
      </c>
      <c r="D5" s="88" t="s">
        <v>1383</v>
      </c>
      <c r="E5" s="192"/>
      <c r="F5" s="193"/>
    </row>
    <row r="6" spans="1:6" s="43" customFormat="1" ht="39.6" x14ac:dyDescent="0.3">
      <c r="A6" s="87" t="s">
        <v>441</v>
      </c>
      <c r="B6" s="88" t="s">
        <v>443</v>
      </c>
      <c r="C6" s="89" t="s">
        <v>442</v>
      </c>
      <c r="D6" s="90" t="s">
        <v>1330</v>
      </c>
      <c r="E6" s="192"/>
      <c r="F6" s="193"/>
    </row>
    <row r="7" spans="1:6" s="43" customFormat="1" ht="13.2" x14ac:dyDescent="0.3">
      <c r="A7" s="87" t="s">
        <v>1161</v>
      </c>
      <c r="B7" s="87" t="s">
        <v>447</v>
      </c>
      <c r="C7" s="89" t="s">
        <v>446</v>
      </c>
      <c r="D7" s="91" t="s">
        <v>1310</v>
      </c>
      <c r="E7" s="192"/>
      <c r="F7" s="193"/>
    </row>
    <row r="8" spans="1:6" x14ac:dyDescent="0.25">
      <c r="A8" s="87" t="s">
        <v>463</v>
      </c>
      <c r="B8" s="87" t="s">
        <v>1162</v>
      </c>
      <c r="C8" s="89" t="s">
        <v>464</v>
      </c>
      <c r="D8" s="90" t="s">
        <v>1310</v>
      </c>
      <c r="E8" s="194"/>
      <c r="F8" s="195"/>
    </row>
    <row r="9" spans="1:6" ht="39.6" x14ac:dyDescent="0.25">
      <c r="A9" s="87" t="s">
        <v>1163</v>
      </c>
      <c r="B9" s="87" t="s">
        <v>1164</v>
      </c>
      <c r="C9" s="89" t="s">
        <v>468</v>
      </c>
      <c r="D9" s="90" t="s">
        <v>1314</v>
      </c>
      <c r="E9" s="194"/>
      <c r="F9" s="195"/>
    </row>
    <row r="10" spans="1:6" x14ac:dyDescent="0.25">
      <c r="A10" s="87" t="s">
        <v>475</v>
      </c>
      <c r="B10" s="87" t="s">
        <v>477</v>
      </c>
      <c r="C10" s="89" t="s">
        <v>476</v>
      </c>
      <c r="D10" s="90" t="s">
        <v>1315</v>
      </c>
      <c r="E10" s="194"/>
      <c r="F10" s="195"/>
    </row>
    <row r="11" spans="1:6" ht="26.4" x14ac:dyDescent="0.25">
      <c r="A11" s="87" t="s">
        <v>1165</v>
      </c>
      <c r="B11" s="87" t="s">
        <v>1166</v>
      </c>
      <c r="C11" s="89" t="s">
        <v>480</v>
      </c>
      <c r="D11" s="90" t="s">
        <v>1319</v>
      </c>
      <c r="E11" s="194"/>
      <c r="F11" s="195"/>
    </row>
    <row r="12" spans="1:6" ht="39.6" x14ac:dyDescent="0.25">
      <c r="A12" s="87" t="s">
        <v>1167</v>
      </c>
      <c r="B12" s="88" t="s">
        <v>488</v>
      </c>
      <c r="C12" s="89" t="s">
        <v>487</v>
      </c>
      <c r="D12" s="91" t="s">
        <v>1320</v>
      </c>
      <c r="E12" s="194"/>
      <c r="F12" s="195"/>
    </row>
    <row r="13" spans="1:6" ht="26.4" x14ac:dyDescent="0.25">
      <c r="A13" s="87" t="s">
        <v>496</v>
      </c>
      <c r="B13" s="87" t="s">
        <v>1168</v>
      </c>
      <c r="C13" s="89" t="s">
        <v>497</v>
      </c>
      <c r="D13" s="90" t="s">
        <v>1321</v>
      </c>
      <c r="E13" s="194"/>
      <c r="F13" s="195"/>
    </row>
    <row r="14" spans="1:6" ht="39.6" x14ac:dyDescent="0.25">
      <c r="A14" s="87" t="s">
        <v>500</v>
      </c>
      <c r="B14" s="87" t="s">
        <v>502</v>
      </c>
      <c r="C14" s="89" t="s">
        <v>501</v>
      </c>
      <c r="D14" s="90" t="s">
        <v>1331</v>
      </c>
      <c r="E14" s="194"/>
      <c r="F14" s="195"/>
    </row>
    <row r="15" spans="1:6" ht="39.6" x14ac:dyDescent="0.25">
      <c r="A15" s="87" t="s">
        <v>1384</v>
      </c>
      <c r="B15" s="87" t="s">
        <v>584</v>
      </c>
      <c r="C15" s="92" t="s">
        <v>582</v>
      </c>
      <c r="D15" s="91" t="s">
        <v>1385</v>
      </c>
      <c r="E15" s="194"/>
      <c r="F15" s="195"/>
    </row>
    <row r="16" spans="1:6" ht="26.4" x14ac:dyDescent="0.25">
      <c r="A16" s="87" t="s">
        <v>1169</v>
      </c>
      <c r="B16" s="87" t="s">
        <v>1170</v>
      </c>
      <c r="C16" s="92" t="s">
        <v>683</v>
      </c>
      <c r="D16" s="91" t="s">
        <v>1322</v>
      </c>
      <c r="E16" s="194"/>
      <c r="F16" s="195"/>
    </row>
    <row r="17" spans="1:6" ht="39.6" x14ac:dyDescent="0.25">
      <c r="A17" s="87" t="s">
        <v>931</v>
      </c>
      <c r="B17" s="87" t="s">
        <v>932</v>
      </c>
      <c r="C17" s="92" t="s">
        <v>198</v>
      </c>
      <c r="D17" s="91" t="s">
        <v>1332</v>
      </c>
      <c r="E17" s="194"/>
      <c r="F17" s="195"/>
    </row>
    <row r="18" spans="1:6" ht="26.25" customHeight="1" x14ac:dyDescent="0.25">
      <c r="A18" s="87" t="s">
        <v>1171</v>
      </c>
      <c r="B18" s="88" t="s">
        <v>389</v>
      </c>
      <c r="C18" s="89" t="s">
        <v>387</v>
      </c>
      <c r="D18" s="91" t="s">
        <v>1311</v>
      </c>
      <c r="E18" s="194"/>
      <c r="F18" s="195"/>
    </row>
    <row r="19" spans="1:6" ht="52.8" x14ac:dyDescent="0.25">
      <c r="A19" s="87" t="s">
        <v>1386</v>
      </c>
      <c r="B19" s="88" t="s">
        <v>398</v>
      </c>
      <c r="C19" s="89" t="s">
        <v>1387</v>
      </c>
      <c r="D19" s="91" t="s">
        <v>1388</v>
      </c>
      <c r="E19" s="194"/>
      <c r="F19" s="195"/>
    </row>
    <row r="20" spans="1:6" ht="26.4" x14ac:dyDescent="0.25">
      <c r="A20" s="87" t="s">
        <v>1172</v>
      </c>
      <c r="B20" s="88" t="s">
        <v>418</v>
      </c>
      <c r="C20" s="89" t="s">
        <v>416</v>
      </c>
      <c r="D20" s="91" t="s">
        <v>1328</v>
      </c>
      <c r="E20" s="194"/>
      <c r="F20" s="195"/>
    </row>
    <row r="21" spans="1:6" x14ac:dyDescent="0.25">
      <c r="A21" s="87" t="s">
        <v>426</v>
      </c>
      <c r="B21" s="88" t="s">
        <v>428</v>
      </c>
      <c r="C21" s="89" t="s">
        <v>427</v>
      </c>
      <c r="D21" s="91" t="s">
        <v>1389</v>
      </c>
      <c r="E21" s="194"/>
      <c r="F21" s="195"/>
    </row>
    <row r="22" spans="1:6" ht="26.4" x14ac:dyDescent="0.25">
      <c r="A22" s="87" t="s">
        <v>1173</v>
      </c>
      <c r="B22" s="88" t="s">
        <v>1031</v>
      </c>
      <c r="C22" s="89" t="s">
        <v>1030</v>
      </c>
      <c r="D22" s="91" t="s">
        <v>1327</v>
      </c>
      <c r="E22" s="194"/>
      <c r="F22" s="195"/>
    </row>
    <row r="23" spans="1:6" ht="26.4" x14ac:dyDescent="0.25">
      <c r="A23" s="87" t="s">
        <v>1390</v>
      </c>
      <c r="B23" s="88" t="s">
        <v>1391</v>
      </c>
      <c r="C23" s="89" t="s">
        <v>1392</v>
      </c>
      <c r="D23" s="91" t="s">
        <v>1393</v>
      </c>
      <c r="E23" s="194"/>
      <c r="F23" s="195"/>
    </row>
    <row r="24" spans="1:6" ht="26.4" x14ac:dyDescent="0.25">
      <c r="A24" s="87" t="s">
        <v>1041</v>
      </c>
      <c r="B24" s="88" t="s">
        <v>1043</v>
      </c>
      <c r="C24" s="89" t="s">
        <v>1042</v>
      </c>
      <c r="D24" s="91" t="s">
        <v>1326</v>
      </c>
      <c r="E24" s="194"/>
      <c r="F24" s="195"/>
    </row>
    <row r="25" spans="1:6" ht="26.4" x14ac:dyDescent="0.25">
      <c r="A25" s="87" t="s">
        <v>1174</v>
      </c>
      <c r="B25" s="88" t="s">
        <v>1078</v>
      </c>
      <c r="C25" s="89" t="s">
        <v>1077</v>
      </c>
      <c r="D25" s="91" t="s">
        <v>1312</v>
      </c>
      <c r="E25" s="194"/>
      <c r="F25" s="195"/>
    </row>
    <row r="26" spans="1:6" ht="39.6" x14ac:dyDescent="0.25">
      <c r="A26" s="93" t="s">
        <v>1175</v>
      </c>
      <c r="B26" s="45" t="s">
        <v>1176</v>
      </c>
      <c r="C26" s="94" t="s">
        <v>195</v>
      </c>
      <c r="D26" s="179" t="s">
        <v>1329</v>
      </c>
      <c r="E26" s="194"/>
      <c r="F26" s="195"/>
    </row>
    <row r="27" spans="1:6" ht="26.4" x14ac:dyDescent="0.25">
      <c r="A27" s="87" t="s">
        <v>1093</v>
      </c>
      <c r="B27" s="88" t="s">
        <v>1177</v>
      </c>
      <c r="C27" s="89" t="s">
        <v>1094</v>
      </c>
      <c r="D27" s="91" t="s">
        <v>1325</v>
      </c>
      <c r="E27" s="194"/>
      <c r="F27" s="194"/>
    </row>
    <row r="28" spans="1:6" ht="26.4" x14ac:dyDescent="0.25">
      <c r="A28" s="87" t="s">
        <v>1104</v>
      </c>
      <c r="B28" s="88" t="s">
        <v>1178</v>
      </c>
      <c r="C28" s="89" t="s">
        <v>1105</v>
      </c>
      <c r="D28" s="91" t="s">
        <v>1324</v>
      </c>
      <c r="E28" s="194"/>
      <c r="F28" s="194"/>
    </row>
    <row r="29" spans="1:6" ht="39.6" x14ac:dyDescent="0.25">
      <c r="A29" s="93" t="s">
        <v>1109</v>
      </c>
      <c r="B29" s="45" t="s">
        <v>1111</v>
      </c>
      <c r="C29" s="94" t="s">
        <v>1110</v>
      </c>
      <c r="D29" s="90" t="s">
        <v>1323</v>
      </c>
      <c r="E29" s="194"/>
      <c r="F29" s="194"/>
    </row>
    <row r="30" spans="1:6" x14ac:dyDescent="0.25">
      <c r="A30" s="87" t="s">
        <v>946</v>
      </c>
      <c r="B30" s="87" t="s">
        <v>949</v>
      </c>
      <c r="C30" s="92" t="s">
        <v>947</v>
      </c>
      <c r="D30" s="91" t="s">
        <v>1313</v>
      </c>
      <c r="E30" s="194"/>
      <c r="F30" s="194"/>
    </row>
    <row r="31" spans="1:6" x14ac:dyDescent="0.25">
      <c r="A31" s="182" t="s">
        <v>1286</v>
      </c>
      <c r="B31" s="182" t="s">
        <v>1287</v>
      </c>
      <c r="C31" s="94" t="s">
        <v>1286</v>
      </c>
      <c r="D31" s="91" t="s">
        <v>1313</v>
      </c>
      <c r="E31" s="194"/>
      <c r="F31" s="194"/>
    </row>
    <row r="32" spans="1:6" x14ac:dyDescent="0.25">
      <c r="A32" s="37" t="s">
        <v>654</v>
      </c>
      <c r="B32" s="37" t="s">
        <v>655</v>
      </c>
      <c r="C32" s="223" t="s">
        <v>654</v>
      </c>
      <c r="D32" s="38" t="s">
        <v>656</v>
      </c>
      <c r="E32" s="194"/>
      <c r="F32" s="194"/>
    </row>
  </sheetData>
  <sheetProtection algorithmName="SHA-512" hashValue="LVccmetz8QeT2iZY52Iu3KKQT4UbWej8EzUgnvZQylF1ncjnPQG0XP61DuDtypEs88ll7Ez9dCpPid2VfbWoWg==" saltValue="UC13KQMjGWWSFO6iytdOSA==" spinCount="100000" sheet="1" selectLockedCells="1"/>
  <pageMargins left="0.7" right="0.7" top="0.75" bottom="0.75" header="0.3" footer="0.3"/>
  <pageSetup orientation="portrait" horizontalDpi="0" verticalDpi="0"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0000000}">
          <x14:formula1>
            <xm:f>'Data Validation Key'!$A$2:$A$5</xm:f>
          </x14:formula1>
          <xm:sqref>E2:E32</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35"/>
  <sheetViews>
    <sheetView showGridLines="0" zoomScaleNormal="100" workbookViewId="0">
      <pane xSplit="2" ySplit="2" topLeftCell="C21" activePane="bottomRight" state="frozen"/>
      <selection activeCell="D20" sqref="D20"/>
      <selection pane="topRight" activeCell="D20" sqref="D20"/>
      <selection pane="bottomLeft" activeCell="D20" sqref="D20"/>
      <selection pane="bottomRight" activeCell="K26" sqref="K26"/>
    </sheetView>
  </sheetViews>
  <sheetFormatPr defaultRowHeight="14.4" x14ac:dyDescent="0.3"/>
  <cols>
    <col min="1" max="1" width="17.33203125" style="1" customWidth="1"/>
    <col min="2" max="2" width="17.5546875" customWidth="1"/>
    <col min="3" max="3" width="25.109375" bestFit="1" customWidth="1"/>
    <col min="4" max="4" width="25.109375" style="14" hidden="1" customWidth="1"/>
    <col min="5" max="5" width="25" bestFit="1" customWidth="1"/>
    <col min="6" max="6" width="51.44140625" customWidth="1"/>
    <col min="7" max="7" width="15.6640625" customWidth="1"/>
    <col min="8" max="8" width="20.6640625" style="14" customWidth="1"/>
    <col min="9" max="9" width="15.6640625" style="14" customWidth="1"/>
    <col min="10" max="10" width="20.6640625" style="14" customWidth="1"/>
    <col min="11" max="11" width="15.6640625" style="14" customWidth="1"/>
    <col min="12" max="12" width="20.6640625" customWidth="1"/>
  </cols>
  <sheetData>
    <row r="1" spans="1:14" ht="50.1" customHeight="1" x14ac:dyDescent="0.3">
      <c r="A1" s="3" t="s">
        <v>77</v>
      </c>
      <c r="B1" s="3" t="s">
        <v>120</v>
      </c>
      <c r="C1" s="3" t="s">
        <v>200</v>
      </c>
      <c r="D1" s="3" t="s">
        <v>1221</v>
      </c>
      <c r="E1" s="3" t="s">
        <v>78</v>
      </c>
      <c r="F1" s="3" t="s">
        <v>201</v>
      </c>
      <c r="G1" s="3" t="str">
        <f>Scope!$B$4 &amp; " Response:"</f>
        <v>Client -server application hosted at the data center  Response:</v>
      </c>
      <c r="H1" s="3" t="str">
        <f>Scope!$B$4 &amp;" Comments:"</f>
        <v>Client -server application hosted at the data center  Comments:</v>
      </c>
      <c r="I1" s="3" t="str">
        <f>Scope!$D$4 &amp; " Response:"</f>
        <v xml:space="preserve"> Response:</v>
      </c>
      <c r="J1" s="3" t="str">
        <f>Scope!$D$4 &amp; " Comments:"</f>
        <v xml:space="preserve"> Comments:</v>
      </c>
      <c r="K1" s="3" t="str">
        <f>Scope!$F$4 &amp; " Response:"</f>
        <v xml:space="preserve"> Response:</v>
      </c>
      <c r="L1" s="3" t="str">
        <f>Scope!$F$4 &amp; " Comments:"</f>
        <v xml:space="preserve"> Comments:</v>
      </c>
    </row>
    <row r="2" spans="1:14" x14ac:dyDescent="0.3">
      <c r="A2" s="291" t="s">
        <v>202</v>
      </c>
      <c r="B2" s="292"/>
      <c r="C2" s="292"/>
      <c r="D2" s="292"/>
      <c r="E2" s="292"/>
      <c r="F2" s="292"/>
      <c r="G2" s="292"/>
      <c r="H2" s="292"/>
      <c r="I2" s="292"/>
      <c r="J2" s="292"/>
      <c r="K2" s="292"/>
      <c r="L2" s="292"/>
    </row>
    <row r="3" spans="1:14" ht="79.8" x14ac:dyDescent="0.3">
      <c r="A3" s="51" t="s">
        <v>203</v>
      </c>
      <c r="B3" s="213" t="s">
        <v>204</v>
      </c>
      <c r="C3" s="52" t="s">
        <v>205</v>
      </c>
      <c r="D3" s="96" t="s">
        <v>1222</v>
      </c>
      <c r="E3" s="51" t="s">
        <v>206</v>
      </c>
      <c r="F3" s="37" t="s">
        <v>207</v>
      </c>
      <c r="G3" s="35"/>
      <c r="H3" s="203" t="s">
        <v>1347</v>
      </c>
      <c r="I3" s="35"/>
      <c r="J3" s="201" t="s">
        <v>1347</v>
      </c>
      <c r="K3" s="35"/>
      <c r="L3" s="201" t="s">
        <v>1347</v>
      </c>
      <c r="N3" s="14"/>
    </row>
    <row r="4" spans="1:14" ht="22.8" x14ac:dyDescent="0.3">
      <c r="A4" s="51" t="s">
        <v>208</v>
      </c>
      <c r="B4" s="293" t="s">
        <v>209</v>
      </c>
      <c r="C4" s="280" t="s">
        <v>210</v>
      </c>
      <c r="D4" s="282" t="s">
        <v>1223</v>
      </c>
      <c r="E4" s="281" t="s">
        <v>211</v>
      </c>
      <c r="F4" s="52" t="s">
        <v>212</v>
      </c>
      <c r="G4" s="35"/>
      <c r="H4" s="203" t="s">
        <v>1347</v>
      </c>
      <c r="I4" s="35"/>
      <c r="J4" s="201" t="s">
        <v>1347</v>
      </c>
      <c r="K4" s="35"/>
      <c r="L4" s="201" t="s">
        <v>1347</v>
      </c>
    </row>
    <row r="5" spans="1:14" ht="22.8" x14ac:dyDescent="0.3">
      <c r="A5" s="51" t="s">
        <v>213</v>
      </c>
      <c r="B5" s="293"/>
      <c r="C5" s="280"/>
      <c r="D5" s="290"/>
      <c r="E5" s="281"/>
      <c r="F5" s="37" t="s">
        <v>214</v>
      </c>
      <c r="G5" s="35"/>
      <c r="H5" s="203" t="s">
        <v>1347</v>
      </c>
      <c r="I5" s="35"/>
      <c r="J5" s="203" t="s">
        <v>1347</v>
      </c>
      <c r="K5" s="35"/>
      <c r="L5" s="203" t="s">
        <v>1347</v>
      </c>
    </row>
    <row r="6" spans="1:14" ht="22.8" x14ac:dyDescent="0.3">
      <c r="A6" s="51" t="s">
        <v>215</v>
      </c>
      <c r="B6" s="293"/>
      <c r="C6" s="280"/>
      <c r="D6" s="290"/>
      <c r="E6" s="281"/>
      <c r="F6" s="52" t="s">
        <v>216</v>
      </c>
      <c r="G6" s="35"/>
      <c r="H6" s="203" t="s">
        <v>1347</v>
      </c>
      <c r="I6" s="35"/>
      <c r="J6" s="201" t="s">
        <v>1347</v>
      </c>
      <c r="K6" s="35"/>
      <c r="L6" s="201" t="s">
        <v>1347</v>
      </c>
    </row>
    <row r="7" spans="1:14" ht="34.200000000000003" x14ac:dyDescent="0.3">
      <c r="A7" s="51" t="s">
        <v>217</v>
      </c>
      <c r="B7" s="293"/>
      <c r="C7" s="280"/>
      <c r="D7" s="290"/>
      <c r="E7" s="281"/>
      <c r="F7" s="52" t="s">
        <v>218</v>
      </c>
      <c r="G7" s="35"/>
      <c r="H7" s="203" t="s">
        <v>1347</v>
      </c>
      <c r="I7" s="35"/>
      <c r="J7" s="201" t="s">
        <v>1347</v>
      </c>
      <c r="K7" s="35"/>
      <c r="L7" s="201" t="s">
        <v>1347</v>
      </c>
    </row>
    <row r="8" spans="1:14" ht="22.8" x14ac:dyDescent="0.3">
      <c r="A8" s="51" t="s">
        <v>219</v>
      </c>
      <c r="B8" s="293"/>
      <c r="C8" s="280"/>
      <c r="D8" s="283"/>
      <c r="E8" s="281"/>
      <c r="F8" s="52" t="s">
        <v>220</v>
      </c>
      <c r="G8" s="35"/>
      <c r="H8" s="203" t="s">
        <v>1347</v>
      </c>
      <c r="I8" s="35"/>
      <c r="J8" s="203" t="s">
        <v>1347</v>
      </c>
      <c r="K8" s="35"/>
      <c r="L8" s="203" t="s">
        <v>1347</v>
      </c>
    </row>
    <row r="9" spans="1:14" ht="114" x14ac:dyDescent="0.3">
      <c r="A9" s="51" t="s">
        <v>221</v>
      </c>
      <c r="B9" s="213" t="s">
        <v>222</v>
      </c>
      <c r="C9" s="52" t="s">
        <v>223</v>
      </c>
      <c r="D9" s="96" t="s">
        <v>1224</v>
      </c>
      <c r="E9" s="51" t="s">
        <v>224</v>
      </c>
      <c r="F9" s="37" t="s">
        <v>225</v>
      </c>
      <c r="G9" s="35"/>
      <c r="H9" s="203" t="s">
        <v>1347</v>
      </c>
      <c r="I9" s="35"/>
      <c r="J9" s="203" t="s">
        <v>1347</v>
      </c>
      <c r="K9" s="35"/>
      <c r="L9" s="203" t="s">
        <v>1347</v>
      </c>
    </row>
    <row r="10" spans="1:14" s="14" customFormat="1" ht="22.8" x14ac:dyDescent="0.3">
      <c r="A10" s="161" t="s">
        <v>1289</v>
      </c>
      <c r="B10" s="214" t="s">
        <v>48</v>
      </c>
      <c r="C10" s="162"/>
      <c r="D10" s="161"/>
      <c r="E10" s="161"/>
      <c r="F10" s="37" t="s">
        <v>1291</v>
      </c>
      <c r="G10" s="35"/>
      <c r="H10" s="203" t="s">
        <v>1347</v>
      </c>
      <c r="I10" s="35"/>
      <c r="J10" s="203" t="s">
        <v>1347</v>
      </c>
      <c r="K10" s="35"/>
      <c r="L10" s="203" t="s">
        <v>1347</v>
      </c>
    </row>
    <row r="11" spans="1:14" s="14" customFormat="1" ht="22.8" x14ac:dyDescent="0.3">
      <c r="A11" s="161" t="s">
        <v>1290</v>
      </c>
      <c r="B11" s="214" t="s">
        <v>48</v>
      </c>
      <c r="C11" s="162"/>
      <c r="D11" s="161"/>
      <c r="E11" s="161"/>
      <c r="F11" s="37" t="s">
        <v>1292</v>
      </c>
      <c r="G11" s="35"/>
      <c r="H11" s="203" t="s">
        <v>1347</v>
      </c>
      <c r="I11" s="35"/>
      <c r="J11" s="203" t="s">
        <v>1347</v>
      </c>
      <c r="K11" s="35"/>
      <c r="L11" s="203" t="s">
        <v>1347</v>
      </c>
    </row>
    <row r="12" spans="1:14" ht="45.6" x14ac:dyDescent="0.3">
      <c r="A12" s="51" t="s">
        <v>226</v>
      </c>
      <c r="B12" s="213" t="s">
        <v>227</v>
      </c>
      <c r="C12" s="52" t="s">
        <v>228</v>
      </c>
      <c r="D12" s="96" t="s">
        <v>1225</v>
      </c>
      <c r="E12" s="51" t="s">
        <v>229</v>
      </c>
      <c r="F12" s="52" t="s">
        <v>230</v>
      </c>
      <c r="G12" s="35"/>
      <c r="H12" s="203" t="s">
        <v>1347</v>
      </c>
      <c r="I12" s="35"/>
      <c r="J12" s="203" t="s">
        <v>1347</v>
      </c>
      <c r="K12" s="35"/>
      <c r="L12" s="203" t="s">
        <v>1347</v>
      </c>
    </row>
    <row r="13" spans="1:14" ht="57" x14ac:dyDescent="0.3">
      <c r="A13" s="51" t="s">
        <v>231</v>
      </c>
      <c r="B13" s="215" t="s">
        <v>232</v>
      </c>
      <c r="C13" s="52" t="s">
        <v>233</v>
      </c>
      <c r="D13" s="96"/>
      <c r="E13" s="51" t="s">
        <v>234</v>
      </c>
      <c r="F13" s="52" t="s">
        <v>235</v>
      </c>
      <c r="G13" s="35"/>
      <c r="H13" s="203" t="s">
        <v>1347</v>
      </c>
      <c r="I13" s="35"/>
      <c r="J13" s="203" t="s">
        <v>1347</v>
      </c>
      <c r="K13" s="35"/>
      <c r="L13" s="203" t="s">
        <v>1347</v>
      </c>
    </row>
    <row r="14" spans="1:14" ht="91.2" x14ac:dyDescent="0.3">
      <c r="A14" s="51" t="s">
        <v>236</v>
      </c>
      <c r="B14" s="213" t="s">
        <v>237</v>
      </c>
      <c r="C14" s="52" t="s">
        <v>238</v>
      </c>
      <c r="D14" s="96" t="s">
        <v>1226</v>
      </c>
      <c r="E14" s="51" t="s">
        <v>239</v>
      </c>
      <c r="F14" s="52" t="s">
        <v>240</v>
      </c>
      <c r="G14" s="35"/>
      <c r="H14" s="203" t="s">
        <v>1347</v>
      </c>
      <c r="I14" s="35"/>
      <c r="J14" s="203" t="s">
        <v>1347</v>
      </c>
      <c r="K14" s="35"/>
      <c r="L14" s="203" t="s">
        <v>1347</v>
      </c>
    </row>
    <row r="15" spans="1:14" ht="34.200000000000003" x14ac:dyDescent="0.3">
      <c r="A15" s="51" t="s">
        <v>241</v>
      </c>
      <c r="B15" s="213" t="s">
        <v>242</v>
      </c>
      <c r="C15" s="52"/>
      <c r="D15" s="96" t="s">
        <v>1227</v>
      </c>
      <c r="E15" s="51" t="s">
        <v>243</v>
      </c>
      <c r="F15" s="37" t="s">
        <v>1293</v>
      </c>
      <c r="G15" s="35"/>
      <c r="H15" s="203" t="s">
        <v>1347</v>
      </c>
      <c r="I15" s="35"/>
      <c r="J15" s="203" t="s">
        <v>1347</v>
      </c>
      <c r="K15" s="35"/>
      <c r="L15" s="203" t="s">
        <v>1347</v>
      </c>
    </row>
    <row r="16" spans="1:14" ht="22.8" x14ac:dyDescent="0.3">
      <c r="A16" s="51" t="s">
        <v>244</v>
      </c>
      <c r="B16" s="215" t="s">
        <v>245</v>
      </c>
      <c r="C16" s="52"/>
      <c r="D16" s="96" t="s">
        <v>1228</v>
      </c>
      <c r="E16" s="51" t="s">
        <v>246</v>
      </c>
      <c r="F16" s="52" t="s">
        <v>247</v>
      </c>
      <c r="G16" s="35"/>
      <c r="H16" s="203" t="s">
        <v>1347</v>
      </c>
      <c r="I16" s="35"/>
      <c r="J16" s="203" t="s">
        <v>1347</v>
      </c>
      <c r="K16" s="35"/>
      <c r="L16" s="203" t="s">
        <v>1347</v>
      </c>
    </row>
    <row r="17" spans="1:12" ht="22.8" x14ac:dyDescent="0.3">
      <c r="A17" s="51" t="s">
        <v>248</v>
      </c>
      <c r="B17" s="215" t="s">
        <v>249</v>
      </c>
      <c r="C17" s="52"/>
      <c r="D17" s="96" t="s">
        <v>1227</v>
      </c>
      <c r="E17" s="51" t="s">
        <v>250</v>
      </c>
      <c r="F17" s="52" t="s">
        <v>251</v>
      </c>
      <c r="G17" s="35"/>
      <c r="H17" s="203" t="s">
        <v>1347</v>
      </c>
      <c r="I17" s="35"/>
      <c r="J17" s="203" t="s">
        <v>1347</v>
      </c>
      <c r="K17" s="35"/>
      <c r="L17" s="203" t="s">
        <v>1347</v>
      </c>
    </row>
    <row r="18" spans="1:12" ht="22.8" x14ac:dyDescent="0.3">
      <c r="A18" s="51" t="s">
        <v>252</v>
      </c>
      <c r="B18" s="215" t="s">
        <v>253</v>
      </c>
      <c r="C18" s="52"/>
      <c r="D18" s="96" t="s">
        <v>1227</v>
      </c>
      <c r="E18" s="51" t="s">
        <v>254</v>
      </c>
      <c r="F18" s="37" t="s">
        <v>255</v>
      </c>
      <c r="G18" s="35"/>
      <c r="H18" s="203" t="s">
        <v>1347</v>
      </c>
      <c r="I18" s="35"/>
      <c r="J18" s="203" t="s">
        <v>1347</v>
      </c>
      <c r="K18" s="35"/>
      <c r="L18" s="203" t="s">
        <v>1347</v>
      </c>
    </row>
    <row r="19" spans="1:12" ht="34.200000000000003" x14ac:dyDescent="0.3">
      <c r="A19" s="51" t="s">
        <v>256</v>
      </c>
      <c r="B19" s="213" t="s">
        <v>257</v>
      </c>
      <c r="C19" s="52" t="s">
        <v>258</v>
      </c>
      <c r="D19" s="96" t="s">
        <v>1229</v>
      </c>
      <c r="E19" s="51" t="s">
        <v>259</v>
      </c>
      <c r="F19" s="52" t="s">
        <v>260</v>
      </c>
      <c r="G19" s="35"/>
      <c r="H19" s="203" t="s">
        <v>1347</v>
      </c>
      <c r="I19" s="35"/>
      <c r="J19" s="203" t="s">
        <v>1347</v>
      </c>
      <c r="K19" s="35"/>
      <c r="L19" s="203" t="s">
        <v>1347</v>
      </c>
    </row>
    <row r="20" spans="1:12" ht="34.200000000000003" x14ac:dyDescent="0.3">
      <c r="A20" s="51" t="s">
        <v>261</v>
      </c>
      <c r="B20" s="213" t="s">
        <v>262</v>
      </c>
      <c r="C20" s="52" t="s">
        <v>258</v>
      </c>
      <c r="D20" s="96" t="s">
        <v>1230</v>
      </c>
      <c r="E20" s="51" t="s">
        <v>263</v>
      </c>
      <c r="F20" s="52" t="s">
        <v>264</v>
      </c>
      <c r="G20" s="35"/>
      <c r="H20" s="203" t="s">
        <v>1347</v>
      </c>
      <c r="I20" s="35"/>
      <c r="J20" s="203" t="s">
        <v>1347</v>
      </c>
      <c r="K20" s="35"/>
      <c r="L20" s="203" t="s">
        <v>1347</v>
      </c>
    </row>
    <row r="21" spans="1:12" ht="34.200000000000003" x14ac:dyDescent="0.3">
      <c r="A21" s="51" t="s">
        <v>265</v>
      </c>
      <c r="B21" s="215" t="s">
        <v>266</v>
      </c>
      <c r="C21" s="52"/>
      <c r="D21" s="96" t="s">
        <v>1231</v>
      </c>
      <c r="E21" s="51" t="s">
        <v>267</v>
      </c>
      <c r="F21" s="52" t="s">
        <v>268</v>
      </c>
      <c r="G21" s="35"/>
      <c r="H21" s="203" t="s">
        <v>1347</v>
      </c>
      <c r="I21" s="35"/>
      <c r="J21" s="203" t="s">
        <v>1347</v>
      </c>
      <c r="K21" s="35"/>
      <c r="L21" s="203" t="s">
        <v>1347</v>
      </c>
    </row>
    <row r="22" spans="1:12" ht="22.8" x14ac:dyDescent="0.3">
      <c r="A22" s="51" t="s">
        <v>269</v>
      </c>
      <c r="B22" s="215" t="s">
        <v>270</v>
      </c>
      <c r="C22" s="52" t="s">
        <v>271</v>
      </c>
      <c r="D22" s="96"/>
      <c r="E22" s="51" t="s">
        <v>272</v>
      </c>
      <c r="F22" s="52" t="s">
        <v>273</v>
      </c>
      <c r="G22" s="35"/>
      <c r="H22" s="203" t="s">
        <v>1347</v>
      </c>
      <c r="I22" s="35"/>
      <c r="J22" s="203" t="s">
        <v>1347</v>
      </c>
      <c r="K22" s="35"/>
      <c r="L22" s="203" t="s">
        <v>1347</v>
      </c>
    </row>
    <row r="23" spans="1:12" ht="24" customHeight="1" x14ac:dyDescent="0.3">
      <c r="A23" s="51" t="s">
        <v>274</v>
      </c>
      <c r="B23" s="284" t="s">
        <v>197</v>
      </c>
      <c r="C23" s="287" t="s">
        <v>271</v>
      </c>
      <c r="D23" s="282" t="s">
        <v>1232</v>
      </c>
      <c r="E23" s="282" t="s">
        <v>196</v>
      </c>
      <c r="F23" s="52" t="s">
        <v>275</v>
      </c>
      <c r="G23" s="35"/>
      <c r="H23" s="203" t="s">
        <v>1347</v>
      </c>
      <c r="I23" s="35"/>
      <c r="J23" s="203" t="s">
        <v>1347</v>
      </c>
      <c r="K23" s="35"/>
      <c r="L23" s="203" t="s">
        <v>1347</v>
      </c>
    </row>
    <row r="24" spans="1:12" ht="22.8" x14ac:dyDescent="0.3">
      <c r="A24" s="51" t="s">
        <v>276</v>
      </c>
      <c r="B24" s="285"/>
      <c r="C24" s="288"/>
      <c r="D24" s="290"/>
      <c r="E24" s="290"/>
      <c r="F24" s="52" t="s">
        <v>277</v>
      </c>
      <c r="G24" s="35"/>
      <c r="H24" s="203" t="s">
        <v>1347</v>
      </c>
      <c r="I24" s="35"/>
      <c r="J24" s="203" t="s">
        <v>1347</v>
      </c>
      <c r="K24" s="35"/>
      <c r="L24" s="203" t="s">
        <v>1347</v>
      </c>
    </row>
    <row r="25" spans="1:12" ht="22.8" x14ac:dyDescent="0.3">
      <c r="A25" s="51" t="s">
        <v>278</v>
      </c>
      <c r="B25" s="285"/>
      <c r="C25" s="288"/>
      <c r="D25" s="283"/>
      <c r="E25" s="290"/>
      <c r="F25" s="52" t="s">
        <v>279</v>
      </c>
      <c r="G25" s="35"/>
      <c r="H25" s="203" t="s">
        <v>1347</v>
      </c>
      <c r="I25" s="35"/>
      <c r="J25" s="203" t="s">
        <v>1347</v>
      </c>
      <c r="K25" s="35"/>
      <c r="L25" s="203" t="s">
        <v>1347</v>
      </c>
    </row>
    <row r="26" spans="1:12" s="14" customFormat="1" ht="79.8" x14ac:dyDescent="0.3">
      <c r="A26" s="228" t="s">
        <v>1398</v>
      </c>
      <c r="B26" s="286"/>
      <c r="C26" s="289"/>
      <c r="D26" s="229"/>
      <c r="E26" s="283"/>
      <c r="F26" s="230" t="s">
        <v>1397</v>
      </c>
      <c r="G26" s="35"/>
      <c r="H26" s="203" t="s">
        <v>1347</v>
      </c>
      <c r="I26" s="35"/>
      <c r="J26" s="203" t="s">
        <v>1347</v>
      </c>
      <c r="K26" s="35"/>
      <c r="L26" s="203" t="s">
        <v>1347</v>
      </c>
    </row>
    <row r="27" spans="1:12" ht="45.6" x14ac:dyDescent="0.3">
      <c r="A27" s="51" t="s">
        <v>280</v>
      </c>
      <c r="B27" s="213" t="s">
        <v>281</v>
      </c>
      <c r="C27" s="52"/>
      <c r="D27" s="96" t="s">
        <v>1233</v>
      </c>
      <c r="E27" s="51" t="s">
        <v>282</v>
      </c>
      <c r="F27" s="52" t="s">
        <v>283</v>
      </c>
      <c r="G27" s="35"/>
      <c r="H27" s="203" t="s">
        <v>1347</v>
      </c>
      <c r="I27" s="35"/>
      <c r="J27" s="203" t="s">
        <v>1347</v>
      </c>
      <c r="K27" s="35"/>
      <c r="L27" s="203" t="s">
        <v>1347</v>
      </c>
    </row>
    <row r="28" spans="1:12" ht="24" customHeight="1" x14ac:dyDescent="0.3">
      <c r="A28" s="51" t="s">
        <v>284</v>
      </c>
      <c r="B28" s="293" t="s">
        <v>285</v>
      </c>
      <c r="C28" s="280" t="s">
        <v>271</v>
      </c>
      <c r="D28" s="282" t="s">
        <v>1234</v>
      </c>
      <c r="E28" s="281" t="s">
        <v>286</v>
      </c>
      <c r="F28" s="52" t="s">
        <v>287</v>
      </c>
      <c r="G28" s="35"/>
      <c r="H28" s="203" t="s">
        <v>1347</v>
      </c>
      <c r="I28" s="35"/>
      <c r="J28" s="203" t="s">
        <v>1347</v>
      </c>
      <c r="K28" s="35"/>
      <c r="L28" s="203" t="s">
        <v>1347</v>
      </c>
    </row>
    <row r="29" spans="1:12" ht="22.8" x14ac:dyDescent="0.3">
      <c r="A29" s="51" t="s">
        <v>288</v>
      </c>
      <c r="B29" s="293"/>
      <c r="C29" s="280"/>
      <c r="D29" s="290"/>
      <c r="E29" s="281"/>
      <c r="F29" s="37" t="s">
        <v>277</v>
      </c>
      <c r="G29" s="35"/>
      <c r="H29" s="203" t="s">
        <v>1347</v>
      </c>
      <c r="I29" s="35"/>
      <c r="J29" s="203" t="s">
        <v>1347</v>
      </c>
      <c r="K29" s="35"/>
      <c r="L29" s="203" t="s">
        <v>1347</v>
      </c>
    </row>
    <row r="30" spans="1:12" ht="22.8" x14ac:dyDescent="0.3">
      <c r="A30" s="51" t="s">
        <v>289</v>
      </c>
      <c r="B30" s="293"/>
      <c r="C30" s="280"/>
      <c r="D30" s="283"/>
      <c r="E30" s="281"/>
      <c r="F30" s="37" t="s">
        <v>279</v>
      </c>
      <c r="G30" s="35"/>
      <c r="H30" s="203" t="s">
        <v>1347</v>
      </c>
      <c r="I30" s="35"/>
      <c r="J30" s="203" t="s">
        <v>1347</v>
      </c>
      <c r="K30" s="35"/>
      <c r="L30" s="203" t="s">
        <v>1347</v>
      </c>
    </row>
    <row r="31" spans="1:12" ht="34.200000000000003" x14ac:dyDescent="0.3">
      <c r="A31" s="51" t="s">
        <v>290</v>
      </c>
      <c r="B31" s="293" t="s">
        <v>291</v>
      </c>
      <c r="C31" s="280"/>
      <c r="D31" s="282" t="s">
        <v>1235</v>
      </c>
      <c r="E31" s="281" t="s">
        <v>292</v>
      </c>
      <c r="F31" s="52" t="s">
        <v>293</v>
      </c>
      <c r="G31" s="35"/>
      <c r="H31" s="203" t="s">
        <v>1347</v>
      </c>
      <c r="I31" s="35"/>
      <c r="J31" s="203" t="s">
        <v>1347</v>
      </c>
      <c r="K31" s="35"/>
      <c r="L31" s="203" t="s">
        <v>1347</v>
      </c>
    </row>
    <row r="32" spans="1:12" ht="22.8" x14ac:dyDescent="0.3">
      <c r="A32" s="51" t="s">
        <v>294</v>
      </c>
      <c r="B32" s="293"/>
      <c r="C32" s="280"/>
      <c r="D32" s="283"/>
      <c r="E32" s="281"/>
      <c r="F32" s="37" t="s">
        <v>295</v>
      </c>
      <c r="G32" s="35"/>
      <c r="H32" s="203" t="s">
        <v>1347</v>
      </c>
      <c r="I32" s="35"/>
      <c r="J32" s="203" t="s">
        <v>1347</v>
      </c>
      <c r="K32" s="35"/>
      <c r="L32" s="203" t="s">
        <v>1347</v>
      </c>
    </row>
    <row r="33" spans="1:12" ht="45.6" x14ac:dyDescent="0.3">
      <c r="A33" s="51" t="s">
        <v>296</v>
      </c>
      <c r="B33" s="215" t="s">
        <v>297</v>
      </c>
      <c r="C33" s="52"/>
      <c r="D33" s="96" t="s">
        <v>1236</v>
      </c>
      <c r="E33" s="51" t="s">
        <v>298</v>
      </c>
      <c r="F33" s="37" t="s">
        <v>299</v>
      </c>
      <c r="G33" s="35"/>
      <c r="H33" s="203" t="s">
        <v>1347</v>
      </c>
      <c r="I33" s="35"/>
      <c r="J33" s="203" t="s">
        <v>1347</v>
      </c>
      <c r="K33" s="35"/>
      <c r="L33" s="203" t="s">
        <v>1347</v>
      </c>
    </row>
    <row r="34" spans="1:12" x14ac:dyDescent="0.3">
      <c r="A34" s="51" t="s">
        <v>300</v>
      </c>
      <c r="B34" s="279" t="s">
        <v>301</v>
      </c>
      <c r="C34" s="280"/>
      <c r="D34" s="282"/>
      <c r="E34" s="281" t="s">
        <v>302</v>
      </c>
      <c r="F34" s="52" t="s">
        <v>303</v>
      </c>
      <c r="G34" s="35"/>
      <c r="H34" s="203" t="s">
        <v>1347</v>
      </c>
      <c r="I34" s="35"/>
      <c r="J34" s="203" t="s">
        <v>1347</v>
      </c>
      <c r="K34" s="35"/>
      <c r="L34" s="203" t="s">
        <v>1347</v>
      </c>
    </row>
    <row r="35" spans="1:12" ht="22.8" x14ac:dyDescent="0.3">
      <c r="A35" s="51" t="s">
        <v>304</v>
      </c>
      <c r="B35" s="279"/>
      <c r="C35" s="280"/>
      <c r="D35" s="283"/>
      <c r="E35" s="281"/>
      <c r="F35" s="37" t="s">
        <v>305</v>
      </c>
      <c r="G35" s="35"/>
      <c r="H35" s="203" t="s">
        <v>1347</v>
      </c>
      <c r="I35" s="35"/>
      <c r="J35" s="203" t="s">
        <v>1347</v>
      </c>
      <c r="K35" s="35"/>
      <c r="L35" s="203" t="s">
        <v>1347</v>
      </c>
    </row>
  </sheetData>
  <sheetProtection selectLockedCells="1"/>
  <mergeCells count="21">
    <mergeCell ref="A2:L2"/>
    <mergeCell ref="B28:B30"/>
    <mergeCell ref="C28:C30"/>
    <mergeCell ref="E28:E30"/>
    <mergeCell ref="B31:B32"/>
    <mergeCell ref="C31:C32"/>
    <mergeCell ref="E31:E32"/>
    <mergeCell ref="B4:B8"/>
    <mergeCell ref="C4:C8"/>
    <mergeCell ref="E4:E8"/>
    <mergeCell ref="D28:D30"/>
    <mergeCell ref="D31:D32"/>
    <mergeCell ref="D4:D8"/>
    <mergeCell ref="B34:B35"/>
    <mergeCell ref="C34:C35"/>
    <mergeCell ref="E34:E35"/>
    <mergeCell ref="D34:D35"/>
    <mergeCell ref="B23:B26"/>
    <mergeCell ref="C23:C26"/>
    <mergeCell ref="E23:E26"/>
    <mergeCell ref="D23:D25"/>
  </mergeCells>
  <conditionalFormatting sqref="H3:H35">
    <cfRule type="expression" dxfId="157" priority="7">
      <formula>NOT(H3="Comment is required")</formula>
    </cfRule>
    <cfRule type="expression" dxfId="156" priority="41">
      <formula>AND(OR(G3="N/A",G3="Partial"),H3="Comment is required")</formula>
    </cfRule>
  </conditionalFormatting>
  <conditionalFormatting sqref="J3:J4 J6:J8 J10:J14 J16:J25 J27:J35">
    <cfRule type="expression" dxfId="155" priority="33">
      <formula>NOT(J3="Comment is required")</formula>
    </cfRule>
    <cfRule type="expression" dxfId="154" priority="34">
      <formula>AND(OR(I3="N/A",I3="Partial"),J3="Comment is required")</formula>
    </cfRule>
  </conditionalFormatting>
  <conditionalFormatting sqref="L3:L4 L6:L8 L10:L14 L16:L25 L27:L35">
    <cfRule type="expression" dxfId="153" priority="31">
      <formula>NOT(L3="Comment is required")</formula>
    </cfRule>
    <cfRule type="expression" dxfId="152" priority="32">
      <formula>AND(OR(K3="N/A",K3="Partial"),L3="Comment is required")</formula>
    </cfRule>
  </conditionalFormatting>
  <conditionalFormatting sqref="H5">
    <cfRule type="expression" dxfId="151" priority="28">
      <formula>G$5="Yes"</formula>
    </cfRule>
  </conditionalFormatting>
  <conditionalFormatting sqref="H9">
    <cfRule type="expression" dxfId="150" priority="27">
      <formula>G$9="Yes"</formula>
    </cfRule>
  </conditionalFormatting>
  <conditionalFormatting sqref="J5">
    <cfRule type="expression" dxfId="149" priority="25">
      <formula>NOT(J5="Comment is required")</formula>
    </cfRule>
    <cfRule type="expression" dxfId="148" priority="26">
      <formula>AND(OR(I5="N/A",I5="Partial"),J5="Comment is required")</formula>
    </cfRule>
  </conditionalFormatting>
  <conditionalFormatting sqref="J5">
    <cfRule type="expression" dxfId="147" priority="24">
      <formula>I$5="Yes"</formula>
    </cfRule>
  </conditionalFormatting>
  <conditionalFormatting sqref="L5">
    <cfRule type="expression" dxfId="146" priority="22">
      <formula>NOT(L5="Comment is required")</formula>
    </cfRule>
    <cfRule type="expression" dxfId="145" priority="23">
      <formula>AND(OR(K5="N/A",K5="Partial"),L5="Comment is required")</formula>
    </cfRule>
  </conditionalFormatting>
  <conditionalFormatting sqref="L5">
    <cfRule type="expression" dxfId="144" priority="21">
      <formula>K$5="Yes"</formula>
    </cfRule>
  </conditionalFormatting>
  <conditionalFormatting sqref="J9">
    <cfRule type="expression" dxfId="143" priority="19">
      <formula>NOT(J9="Comment is required")</formula>
    </cfRule>
    <cfRule type="expression" dxfId="142" priority="20">
      <formula>AND(OR(I9="N/A",I9="Partial"),J9="Comment is required")</formula>
    </cfRule>
  </conditionalFormatting>
  <conditionalFormatting sqref="J9">
    <cfRule type="expression" dxfId="141" priority="18">
      <formula>I$9="Yes"</formula>
    </cfRule>
  </conditionalFormatting>
  <conditionalFormatting sqref="L9">
    <cfRule type="expression" dxfId="140" priority="16">
      <formula>NOT(L9="Comment is required")</formula>
    </cfRule>
    <cfRule type="expression" dxfId="139" priority="17">
      <formula>AND(OR(K9="N/A",K9="Partial"),L9="Comment is required")</formula>
    </cfRule>
  </conditionalFormatting>
  <conditionalFormatting sqref="L9">
    <cfRule type="expression" dxfId="138" priority="15">
      <formula>K$9="Yes"</formula>
    </cfRule>
  </conditionalFormatting>
  <conditionalFormatting sqref="H15">
    <cfRule type="expression" dxfId="137" priority="35">
      <formula>G$15="YES"</formula>
    </cfRule>
  </conditionalFormatting>
  <conditionalFormatting sqref="J15">
    <cfRule type="expression" dxfId="136" priority="12">
      <formula>NOT(J15="Comment is required")</formula>
    </cfRule>
    <cfRule type="expression" dxfId="135" priority="13">
      <formula>AND(OR(I15="N/A",I15="Partial"),J15="Comment is required")</formula>
    </cfRule>
  </conditionalFormatting>
  <conditionalFormatting sqref="J15">
    <cfRule type="expression" dxfId="134" priority="11">
      <formula>I$15="YES"</formula>
    </cfRule>
  </conditionalFormatting>
  <conditionalFormatting sqref="L15">
    <cfRule type="expression" dxfId="133" priority="9">
      <formula>NOT(L15="Comment is required")</formula>
    </cfRule>
    <cfRule type="expression" dxfId="132" priority="10">
      <formula>AND(OR(K15="N/A",K15="Partial"),L15="Comment is required")</formula>
    </cfRule>
  </conditionalFormatting>
  <conditionalFormatting sqref="L15">
    <cfRule type="expression" dxfId="131" priority="8">
      <formula>K$15="YES"</formula>
    </cfRule>
  </conditionalFormatting>
  <conditionalFormatting sqref="H26">
    <cfRule type="expression" dxfId="130" priority="14">
      <formula>AND(G26="No",H26="Comment is required")</formula>
    </cfRule>
  </conditionalFormatting>
  <conditionalFormatting sqref="J26">
    <cfRule type="expression" dxfId="129" priority="4">
      <formula>NOT(J26="Comment is required")</formula>
    </cfRule>
    <cfRule type="expression" dxfId="128" priority="6">
      <formula>AND(OR(I26="N/A",I26="Partial"),J26="Comment is required")</formula>
    </cfRule>
  </conditionalFormatting>
  <conditionalFormatting sqref="J26">
    <cfRule type="expression" dxfId="127" priority="5">
      <formula>AND(I26="No",J26="Comment is required")</formula>
    </cfRule>
  </conditionalFormatting>
  <conditionalFormatting sqref="L26">
    <cfRule type="expression" dxfId="126" priority="1">
      <formula>NOT(L26="Comment is required")</formula>
    </cfRule>
    <cfRule type="expression" dxfId="125" priority="3">
      <formula>AND(OR(K26="N/A",K26="Partial"),L26="Comment is required")</formula>
    </cfRule>
  </conditionalFormatting>
  <conditionalFormatting sqref="L26">
    <cfRule type="expression" dxfId="124" priority="2">
      <formula>AND(K26="No",L26="Comment is required")</formula>
    </cfRule>
  </conditionalFormatting>
  <dataValidations count="2">
    <dataValidation type="list" showInputMessage="1" showErrorMessage="1" sqref="K3:K35 G3:G35 I3:I35" xr:uid="{00000000-0002-0000-0A00-000000000000}">
      <formula1>"Yes, No, Partial, N/A"</formula1>
    </dataValidation>
    <dataValidation showInputMessage="1" showErrorMessage="1" sqref="H3:H35 L3:L35 J3:J35" xr:uid="{00000000-0002-0000-0A00-000001000000}"/>
  </dataValidations>
  <hyperlinks>
    <hyperlink ref="B3" r:id="rId1" xr:uid="{00000000-0004-0000-0A00-000000000000}"/>
    <hyperlink ref="B4:B8" r:id="rId2" display="AC-2" xr:uid="{00000000-0004-0000-0A00-000001000000}"/>
    <hyperlink ref="B9" r:id="rId3" xr:uid="{00000000-0004-0000-0A00-000002000000}"/>
    <hyperlink ref="B12" r:id="rId4" xr:uid="{00000000-0004-0000-0A00-000003000000}"/>
    <hyperlink ref="B13" r:id="rId5" xr:uid="{00000000-0004-0000-0A00-000004000000}"/>
    <hyperlink ref="B14" r:id="rId6" xr:uid="{00000000-0004-0000-0A00-000005000000}"/>
    <hyperlink ref="B15" r:id="rId7" xr:uid="{00000000-0004-0000-0A00-000006000000}"/>
    <hyperlink ref="B16" r:id="rId8" xr:uid="{00000000-0004-0000-0A00-000007000000}"/>
    <hyperlink ref="B17" r:id="rId9" xr:uid="{00000000-0004-0000-0A00-000008000000}"/>
    <hyperlink ref="B18" r:id="rId10" xr:uid="{00000000-0004-0000-0A00-000009000000}"/>
    <hyperlink ref="B19" r:id="rId11" xr:uid="{00000000-0004-0000-0A00-00000A000000}"/>
    <hyperlink ref="B20" r:id="rId12" xr:uid="{00000000-0004-0000-0A00-00000B000000}"/>
    <hyperlink ref="B21" r:id="rId13" xr:uid="{00000000-0004-0000-0A00-00000C000000}"/>
    <hyperlink ref="B22" r:id="rId14" xr:uid="{00000000-0004-0000-0A00-00000D000000}"/>
    <hyperlink ref="B23:B25" r:id="rId15" display="AC-17" xr:uid="{00000000-0004-0000-0A00-00000E000000}"/>
    <hyperlink ref="B27" r:id="rId16" xr:uid="{00000000-0004-0000-0A00-00000F000000}"/>
    <hyperlink ref="B28:B30" r:id="rId17" display="AC-19" xr:uid="{00000000-0004-0000-0A00-000010000000}"/>
    <hyperlink ref="B31:B32" r:id="rId18" display="AC-20" xr:uid="{00000000-0004-0000-0A00-000011000000}"/>
    <hyperlink ref="B33" r:id="rId19" xr:uid="{00000000-0004-0000-0A00-000012000000}"/>
    <hyperlink ref="B34:B35" r:id="rId20" display="AC-22" xr:uid="{00000000-0004-0000-0A00-000013000000}"/>
  </hyperlinks>
  <pageMargins left="0.7" right="0.7" top="0.75" bottom="0.75" header="0.3" footer="0.3"/>
  <pageSetup orientation="portrait" r:id="rId2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zoomScaleNormal="100" workbookViewId="0">
      <pane xSplit="2" ySplit="2" topLeftCell="E3" activePane="bottomRight" state="frozen"/>
      <selection activeCell="D20" sqref="D20"/>
      <selection pane="topRight" activeCell="D20" sqref="D20"/>
      <selection pane="bottomLeft" activeCell="D20" sqref="D20"/>
      <selection pane="bottomRight" activeCell="G3" sqref="G3"/>
    </sheetView>
  </sheetViews>
  <sheetFormatPr defaultRowHeight="14.4" x14ac:dyDescent="0.3"/>
  <cols>
    <col min="1" max="1" width="17.5546875" customWidth="1"/>
    <col min="2" max="2" width="20.6640625" customWidth="1"/>
    <col min="3" max="3" width="28.88671875" customWidth="1"/>
    <col min="4" max="4" width="18.5546875" style="14" hidden="1" customWidth="1"/>
    <col min="5" max="5" width="21.109375" customWidth="1"/>
    <col min="6" max="6" width="55.109375" customWidth="1"/>
    <col min="7" max="7" width="15.6640625" customWidth="1"/>
    <col min="8" max="8" width="20.6640625" style="14" customWidth="1"/>
    <col min="9" max="9" width="15.6640625" style="14" customWidth="1"/>
    <col min="10" max="10" width="20.6640625" style="14" customWidth="1"/>
    <col min="11" max="11" width="15.6640625" style="14" customWidth="1"/>
    <col min="12" max="12" width="20.6640625" customWidth="1"/>
  </cols>
  <sheetData>
    <row r="1" spans="1:12" ht="50.1" customHeight="1" x14ac:dyDescent="0.3">
      <c r="A1" s="3" t="s">
        <v>77</v>
      </c>
      <c r="B1" s="3" t="s">
        <v>120</v>
      </c>
      <c r="C1" s="3" t="s">
        <v>200</v>
      </c>
      <c r="D1" s="3" t="s">
        <v>1221</v>
      </c>
      <c r="E1" s="3" t="s">
        <v>78</v>
      </c>
      <c r="F1" s="3" t="s">
        <v>201</v>
      </c>
      <c r="G1" s="3" t="str">
        <f>Scope!$B$4 &amp; " Response:"</f>
        <v>Client -server application hosted at the data center  Response:</v>
      </c>
      <c r="H1" s="3" t="str">
        <f>Scope!$B$4 &amp;" Comments:"</f>
        <v>Client -server application hosted at the data center  Comments:</v>
      </c>
      <c r="I1" s="3" t="str">
        <f>Scope!$D$4 &amp; " Response:"</f>
        <v xml:space="preserve"> Response:</v>
      </c>
      <c r="J1" s="3" t="str">
        <f>Scope!$D$4 &amp; " Comments:"</f>
        <v xml:space="preserve"> Comments:</v>
      </c>
      <c r="K1" s="3" t="str">
        <f>Scope!$F$4 &amp; " Response:"</f>
        <v xml:space="preserve"> Response:</v>
      </c>
      <c r="L1" s="3" t="str">
        <f>Scope!$F$4 &amp; " Comments:"</f>
        <v xml:space="preserve"> Comments:</v>
      </c>
    </row>
    <row r="2" spans="1:12" ht="16.5" customHeight="1" x14ac:dyDescent="0.3">
      <c r="A2" s="294" t="s">
        <v>306</v>
      </c>
      <c r="B2" s="294"/>
      <c r="C2" s="294"/>
      <c r="D2" s="294"/>
      <c r="E2" s="294"/>
      <c r="F2" s="294"/>
      <c r="G2" s="294"/>
      <c r="H2" s="294"/>
      <c r="I2" s="294"/>
      <c r="J2" s="294"/>
      <c r="K2" s="294"/>
      <c r="L2" s="294"/>
    </row>
    <row r="3" spans="1:12" ht="34.200000000000003" x14ac:dyDescent="0.3">
      <c r="A3" s="51" t="s">
        <v>307</v>
      </c>
      <c r="B3" s="213" t="s">
        <v>308</v>
      </c>
      <c r="C3" s="52" t="s">
        <v>309</v>
      </c>
      <c r="D3" s="96" t="s">
        <v>1237</v>
      </c>
      <c r="E3" s="51" t="s">
        <v>310</v>
      </c>
      <c r="F3" s="37" t="s">
        <v>311</v>
      </c>
      <c r="G3" s="35"/>
      <c r="H3" s="203" t="s">
        <v>1347</v>
      </c>
      <c r="I3" s="35"/>
      <c r="J3" s="203" t="s">
        <v>1347</v>
      </c>
      <c r="K3" s="35"/>
      <c r="L3" s="203" t="s">
        <v>1347</v>
      </c>
    </row>
    <row r="4" spans="1:12" ht="22.8" x14ac:dyDescent="0.3">
      <c r="A4" s="51" t="s">
        <v>312</v>
      </c>
      <c r="B4" s="293" t="s">
        <v>313</v>
      </c>
      <c r="C4" s="280" t="s">
        <v>314</v>
      </c>
      <c r="D4" s="282" t="s">
        <v>1238</v>
      </c>
      <c r="E4" s="281" t="s">
        <v>315</v>
      </c>
      <c r="F4" s="52" t="s">
        <v>316</v>
      </c>
      <c r="G4" s="35"/>
      <c r="H4" s="203" t="s">
        <v>1347</v>
      </c>
      <c r="I4" s="35"/>
      <c r="J4" s="203" t="s">
        <v>1347</v>
      </c>
      <c r="K4" s="35"/>
      <c r="L4" s="203" t="s">
        <v>1347</v>
      </c>
    </row>
    <row r="5" spans="1:12" ht="21.75" customHeight="1" x14ac:dyDescent="0.3">
      <c r="A5" s="51" t="s">
        <v>317</v>
      </c>
      <c r="B5" s="293"/>
      <c r="C5" s="280"/>
      <c r="D5" s="283"/>
      <c r="E5" s="281"/>
      <c r="F5" s="52" t="s">
        <v>318</v>
      </c>
      <c r="G5" s="35"/>
      <c r="H5" s="203" t="s">
        <v>1347</v>
      </c>
      <c r="I5" s="35"/>
      <c r="J5" s="203" t="s">
        <v>1347</v>
      </c>
      <c r="K5" s="35"/>
      <c r="L5" s="203" t="s">
        <v>1347</v>
      </c>
    </row>
    <row r="6" spans="1:12" ht="34.200000000000003" x14ac:dyDescent="0.3">
      <c r="A6" s="51" t="s">
        <v>319</v>
      </c>
      <c r="B6" s="213" t="s">
        <v>320</v>
      </c>
      <c r="C6" s="52" t="s">
        <v>309</v>
      </c>
      <c r="D6" s="96" t="s">
        <v>1238</v>
      </c>
      <c r="E6" s="51" t="s">
        <v>321</v>
      </c>
      <c r="F6" s="52" t="s">
        <v>322</v>
      </c>
      <c r="G6" s="35"/>
      <c r="H6" s="203" t="s">
        <v>1347</v>
      </c>
      <c r="I6" s="35"/>
      <c r="J6" s="203" t="s">
        <v>1347</v>
      </c>
      <c r="K6" s="35"/>
      <c r="L6" s="203" t="s">
        <v>1347</v>
      </c>
    </row>
    <row r="7" spans="1:12" ht="22.8" x14ac:dyDescent="0.3">
      <c r="A7" s="51" t="s">
        <v>323</v>
      </c>
      <c r="B7" s="213" t="s">
        <v>324</v>
      </c>
      <c r="C7" s="52" t="s">
        <v>309</v>
      </c>
      <c r="D7" s="96" t="s">
        <v>1239</v>
      </c>
      <c r="E7" s="51" t="s">
        <v>325</v>
      </c>
      <c r="F7" s="52" t="s">
        <v>326</v>
      </c>
      <c r="G7" s="35"/>
      <c r="H7" s="203" t="s">
        <v>1347</v>
      </c>
      <c r="I7" s="35"/>
      <c r="J7" s="203" t="s">
        <v>1347</v>
      </c>
      <c r="K7" s="35"/>
      <c r="L7" s="203" t="s">
        <v>1347</v>
      </c>
    </row>
  </sheetData>
  <sheetProtection algorithmName="SHA-512" hashValue="0BpDHa0QLd4jNcUH0ql17goHYHqWP5OsVomO2E+GxSlOQWML8IvtB2Jc0KVlc9C8Q2LPBup4cUfq7l+ZcUACBA==" saltValue="FjTADbhEjKkXUZxWM0Ck0Q==" spinCount="100000" sheet="1" selectLockedCells="1"/>
  <mergeCells count="5">
    <mergeCell ref="A2:L2"/>
    <mergeCell ref="B4:B5"/>
    <mergeCell ref="C4:C5"/>
    <mergeCell ref="E4:E5"/>
    <mergeCell ref="D4:D5"/>
  </mergeCells>
  <conditionalFormatting sqref="H3:H7">
    <cfRule type="expression" dxfId="123" priority="3">
      <formula>NOT(H3="Comment is required")</formula>
    </cfRule>
    <cfRule type="expression" dxfId="122" priority="4">
      <formula>AND(OR(G3="N/A",G3="Partial"),H3="Comment is required")</formula>
    </cfRule>
  </conditionalFormatting>
  <conditionalFormatting sqref="L3:L7 J3:J7">
    <cfRule type="expression" dxfId="121" priority="1">
      <formula>NOT(J3="Comment is required")</formula>
    </cfRule>
    <cfRule type="expression" dxfId="120" priority="2">
      <formula>AND(OR(I3="N/A",I3="Partial"),J3="Comment is required")</formula>
    </cfRule>
  </conditionalFormatting>
  <dataValidations count="2">
    <dataValidation type="list" showInputMessage="1" showErrorMessage="1" sqref="K3:K7 G3:G7 I3:I7" xr:uid="{00000000-0002-0000-0B00-000000000000}">
      <formula1>"Yes, No, Partial, N/A"</formula1>
    </dataValidation>
    <dataValidation showInputMessage="1" showErrorMessage="1" sqref="H3:H7 J3:J7 L3:L7" xr:uid="{00000000-0002-0000-0B00-000001000000}"/>
  </dataValidations>
  <hyperlinks>
    <hyperlink ref="B3" r:id="rId1" xr:uid="{00000000-0004-0000-0B00-000000000000}"/>
    <hyperlink ref="B4:B5" r:id="rId2" display="AT-2" xr:uid="{00000000-0004-0000-0B00-000001000000}"/>
    <hyperlink ref="B6" r:id="rId3" xr:uid="{00000000-0004-0000-0B00-000002000000}"/>
    <hyperlink ref="B7" r:id="rId4" xr:uid="{00000000-0004-0000-0B00-000003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17"/>
  <sheetViews>
    <sheetView showGridLines="0" zoomScaleNormal="100" workbookViewId="0">
      <pane xSplit="2" ySplit="2" topLeftCell="E3" activePane="bottomRight" state="frozen"/>
      <selection activeCell="D20" sqref="D20"/>
      <selection pane="topRight" activeCell="D20" sqref="D20"/>
      <selection pane="bottomLeft" activeCell="D20" sqref="D20"/>
      <selection pane="bottomRight" activeCell="G3" sqref="G3"/>
    </sheetView>
  </sheetViews>
  <sheetFormatPr defaultRowHeight="14.4" x14ac:dyDescent="0.3"/>
  <cols>
    <col min="1" max="1" width="17.5546875" customWidth="1"/>
    <col min="2" max="2" width="19.5546875" customWidth="1"/>
    <col min="3" max="3" width="23" customWidth="1"/>
    <col min="4" max="4" width="23" style="14" hidden="1" customWidth="1"/>
    <col min="5" max="5" width="20" customWidth="1"/>
    <col min="6" max="6" width="52" customWidth="1"/>
    <col min="7" max="7" width="15.6640625" customWidth="1"/>
    <col min="8" max="8" width="20.6640625" style="14" customWidth="1"/>
    <col min="9" max="9" width="15.6640625" style="14" customWidth="1"/>
    <col min="10" max="10" width="20.6640625" style="14" customWidth="1"/>
    <col min="11" max="11" width="15.6640625" style="14" customWidth="1"/>
    <col min="12" max="12" width="20.6640625" customWidth="1"/>
  </cols>
  <sheetData>
    <row r="1" spans="1:12" ht="50.1" customHeight="1" x14ac:dyDescent="0.3">
      <c r="A1" s="3" t="s">
        <v>77</v>
      </c>
      <c r="B1" s="3" t="s">
        <v>120</v>
      </c>
      <c r="C1" s="3" t="s">
        <v>200</v>
      </c>
      <c r="D1" s="3" t="s">
        <v>1221</v>
      </c>
      <c r="E1" s="3" t="s">
        <v>78</v>
      </c>
      <c r="F1" s="3" t="s">
        <v>201</v>
      </c>
      <c r="G1" s="3" t="str">
        <f>Scope!$B$4 &amp; " Response:"</f>
        <v>Client -server application hosted at the data center  Response:</v>
      </c>
      <c r="H1" s="3" t="str">
        <f>Scope!$B$4 &amp;" Comments:"</f>
        <v>Client -server application hosted at the data center  Comments:</v>
      </c>
      <c r="I1" s="3" t="str">
        <f>Scope!$D$4 &amp; " Response:"</f>
        <v xml:space="preserve"> Response:</v>
      </c>
      <c r="J1" s="3" t="str">
        <f>Scope!$D$4 &amp; " Comments:"</f>
        <v xml:space="preserve"> Comments:</v>
      </c>
      <c r="K1" s="3" t="str">
        <f>Scope!$F$4 &amp; " Response:"</f>
        <v xml:space="preserve"> Response:</v>
      </c>
      <c r="L1" s="3" t="str">
        <f>Scope!$F$4 &amp; " Comments:"</f>
        <v xml:space="preserve"> Comments:</v>
      </c>
    </row>
    <row r="2" spans="1:12" ht="15.6" x14ac:dyDescent="0.3">
      <c r="A2" s="294" t="s">
        <v>327</v>
      </c>
      <c r="B2" s="294"/>
      <c r="C2" s="294"/>
      <c r="D2" s="294"/>
      <c r="E2" s="294"/>
      <c r="F2" s="294"/>
      <c r="G2" s="294"/>
      <c r="H2" s="294"/>
      <c r="I2" s="294"/>
      <c r="J2" s="294"/>
      <c r="K2" s="294"/>
      <c r="L2" s="294"/>
    </row>
    <row r="3" spans="1:12" ht="68.400000000000006" x14ac:dyDescent="0.3">
      <c r="A3" s="51" t="s">
        <v>328</v>
      </c>
      <c r="B3" s="215" t="s">
        <v>329</v>
      </c>
      <c r="C3" s="52" t="s">
        <v>330</v>
      </c>
      <c r="D3" s="96" t="s">
        <v>1240</v>
      </c>
      <c r="E3" s="51" t="s">
        <v>331</v>
      </c>
      <c r="F3" s="52" t="s">
        <v>332</v>
      </c>
      <c r="G3" s="35"/>
      <c r="H3" s="203" t="s">
        <v>1347</v>
      </c>
      <c r="I3" s="35"/>
      <c r="J3" s="203" t="s">
        <v>1347</v>
      </c>
      <c r="K3" s="35"/>
      <c r="L3" s="203" t="s">
        <v>1347</v>
      </c>
    </row>
    <row r="4" spans="1:12" ht="34.200000000000003" x14ac:dyDescent="0.3">
      <c r="A4" s="51" t="s">
        <v>333</v>
      </c>
      <c r="B4" s="293" t="s">
        <v>334</v>
      </c>
      <c r="C4" s="280" t="s">
        <v>335</v>
      </c>
      <c r="D4" s="282" t="s">
        <v>1241</v>
      </c>
      <c r="E4" s="281" t="s">
        <v>336</v>
      </c>
      <c r="F4" s="38" t="s">
        <v>337</v>
      </c>
      <c r="G4" s="35"/>
      <c r="H4" s="203" t="s">
        <v>1347</v>
      </c>
      <c r="I4" s="35"/>
      <c r="J4" s="203" t="s">
        <v>1347</v>
      </c>
      <c r="K4" s="35"/>
      <c r="L4" s="203" t="s">
        <v>1347</v>
      </c>
    </row>
    <row r="5" spans="1:12" ht="22.8" x14ac:dyDescent="0.3">
      <c r="A5" s="51" t="s">
        <v>338</v>
      </c>
      <c r="B5" s="293"/>
      <c r="C5" s="280"/>
      <c r="D5" s="283"/>
      <c r="E5" s="281"/>
      <c r="F5" s="36" t="s">
        <v>339</v>
      </c>
      <c r="G5" s="35"/>
      <c r="H5" s="203" t="s">
        <v>1347</v>
      </c>
      <c r="I5" s="35"/>
      <c r="J5" s="203" t="s">
        <v>1347</v>
      </c>
      <c r="K5" s="35"/>
      <c r="L5" s="203" t="s">
        <v>1347</v>
      </c>
    </row>
    <row r="6" spans="1:12" ht="57" x14ac:dyDescent="0.3">
      <c r="A6" s="51" t="s">
        <v>340</v>
      </c>
      <c r="B6" s="213" t="s">
        <v>341</v>
      </c>
      <c r="C6" s="52" t="s">
        <v>330</v>
      </c>
      <c r="D6" s="51"/>
      <c r="E6" s="51" t="s">
        <v>342</v>
      </c>
      <c r="F6" s="36" t="s">
        <v>343</v>
      </c>
      <c r="G6" s="35"/>
      <c r="H6" s="203" t="s">
        <v>1347</v>
      </c>
      <c r="I6" s="35"/>
      <c r="J6" s="203" t="s">
        <v>1347</v>
      </c>
      <c r="K6" s="35"/>
      <c r="L6" s="203" t="s">
        <v>1347</v>
      </c>
    </row>
    <row r="7" spans="1:12" ht="22.8" x14ac:dyDescent="0.3">
      <c r="A7" s="51" t="s">
        <v>344</v>
      </c>
      <c r="B7" s="213" t="s">
        <v>345</v>
      </c>
      <c r="C7" s="52" t="s">
        <v>330</v>
      </c>
      <c r="D7" s="51"/>
      <c r="E7" s="51" t="s">
        <v>346</v>
      </c>
      <c r="F7" s="36" t="s">
        <v>347</v>
      </c>
      <c r="G7" s="35"/>
      <c r="H7" s="203" t="s">
        <v>1347</v>
      </c>
      <c r="I7" s="35"/>
      <c r="J7" s="203" t="s">
        <v>1347</v>
      </c>
      <c r="K7" s="35"/>
      <c r="L7" s="203" t="s">
        <v>1347</v>
      </c>
    </row>
    <row r="8" spans="1:12" ht="22.8" x14ac:dyDescent="0.3">
      <c r="A8" s="51" t="s">
        <v>348</v>
      </c>
      <c r="B8" s="213" t="s">
        <v>349</v>
      </c>
      <c r="C8" s="52"/>
      <c r="D8" s="51"/>
      <c r="E8" s="51" t="s">
        <v>350</v>
      </c>
      <c r="F8" s="36" t="s">
        <v>351</v>
      </c>
      <c r="G8" s="35"/>
      <c r="H8" s="203" t="s">
        <v>1347</v>
      </c>
      <c r="I8" s="35"/>
      <c r="J8" s="203" t="s">
        <v>1347</v>
      </c>
      <c r="K8" s="35"/>
      <c r="L8" s="203" t="s">
        <v>1347</v>
      </c>
    </row>
    <row r="9" spans="1:12" ht="68.400000000000006" x14ac:dyDescent="0.3">
      <c r="A9" s="51" t="s">
        <v>352</v>
      </c>
      <c r="B9" s="213" t="s">
        <v>353</v>
      </c>
      <c r="C9" s="52" t="s">
        <v>354</v>
      </c>
      <c r="D9" s="51"/>
      <c r="E9" s="51" t="s">
        <v>355</v>
      </c>
      <c r="F9" s="36" t="s">
        <v>356</v>
      </c>
      <c r="G9" s="35"/>
      <c r="H9" s="203" t="s">
        <v>1347</v>
      </c>
      <c r="I9" s="35"/>
      <c r="J9" s="203" t="s">
        <v>1347</v>
      </c>
      <c r="K9" s="35"/>
      <c r="L9" s="203" t="s">
        <v>1347</v>
      </c>
    </row>
    <row r="10" spans="1:12" ht="22.8" x14ac:dyDescent="0.3">
      <c r="A10" s="51" t="s">
        <v>357</v>
      </c>
      <c r="B10" s="293" t="s">
        <v>358</v>
      </c>
      <c r="C10" s="280" t="s">
        <v>359</v>
      </c>
      <c r="D10" s="281"/>
      <c r="E10" s="281" t="s">
        <v>360</v>
      </c>
      <c r="F10" s="36" t="s">
        <v>361</v>
      </c>
      <c r="G10" s="35"/>
      <c r="H10" s="203" t="s">
        <v>1347</v>
      </c>
      <c r="I10" s="35"/>
      <c r="J10" s="203" t="s">
        <v>1347</v>
      </c>
      <c r="K10" s="35"/>
      <c r="L10" s="203" t="s">
        <v>1347</v>
      </c>
    </row>
    <row r="11" spans="1:12" ht="22.8" x14ac:dyDescent="0.3">
      <c r="A11" s="51" t="s">
        <v>362</v>
      </c>
      <c r="B11" s="293"/>
      <c r="C11" s="280"/>
      <c r="D11" s="281"/>
      <c r="E11" s="281"/>
      <c r="F11" s="52" t="s">
        <v>363</v>
      </c>
      <c r="G11" s="35"/>
      <c r="H11" s="203" t="s">
        <v>1347</v>
      </c>
      <c r="I11" s="35"/>
      <c r="J11" s="203" t="s">
        <v>1347</v>
      </c>
      <c r="K11" s="35"/>
      <c r="L11" s="203" t="s">
        <v>1347</v>
      </c>
    </row>
    <row r="12" spans="1:12" x14ac:dyDescent="0.3">
      <c r="A12" s="51" t="s">
        <v>364</v>
      </c>
      <c r="B12" s="213" t="s">
        <v>365</v>
      </c>
      <c r="C12" s="52"/>
      <c r="D12" s="51"/>
      <c r="E12" s="51" t="s">
        <v>366</v>
      </c>
      <c r="F12" s="36" t="s">
        <v>367</v>
      </c>
      <c r="G12" s="35"/>
      <c r="H12" s="203" t="s">
        <v>1347</v>
      </c>
      <c r="I12" s="35"/>
      <c r="J12" s="203" t="s">
        <v>1347</v>
      </c>
      <c r="K12" s="35"/>
      <c r="L12" s="203" t="s">
        <v>1347</v>
      </c>
    </row>
    <row r="13" spans="1:12" ht="22.8" x14ac:dyDescent="0.3">
      <c r="A13" s="51" t="s">
        <v>368</v>
      </c>
      <c r="B13" s="213" t="s">
        <v>369</v>
      </c>
      <c r="C13" s="52"/>
      <c r="D13" s="51"/>
      <c r="E13" s="51" t="s">
        <v>370</v>
      </c>
      <c r="F13" s="40" t="s">
        <v>371</v>
      </c>
      <c r="G13" s="35"/>
      <c r="H13" s="203" t="s">
        <v>1347</v>
      </c>
      <c r="I13" s="35"/>
      <c r="J13" s="203" t="s">
        <v>1347</v>
      </c>
      <c r="K13" s="35"/>
      <c r="L13" s="203" t="s">
        <v>1347</v>
      </c>
    </row>
    <row r="14" spans="1:12" ht="22.8" x14ac:dyDescent="0.3">
      <c r="A14" s="51" t="s">
        <v>372</v>
      </c>
      <c r="B14" s="213" t="s">
        <v>373</v>
      </c>
      <c r="C14" s="52"/>
      <c r="D14" s="51"/>
      <c r="E14" s="51" t="s">
        <v>374</v>
      </c>
      <c r="F14" s="36" t="s">
        <v>375</v>
      </c>
      <c r="G14" s="35"/>
      <c r="H14" s="203" t="s">
        <v>1347</v>
      </c>
      <c r="I14" s="35"/>
      <c r="J14" s="203" t="s">
        <v>1347</v>
      </c>
      <c r="K14" s="35"/>
      <c r="L14" s="203" t="s">
        <v>1347</v>
      </c>
    </row>
    <row r="15" spans="1:12" ht="22.8" x14ac:dyDescent="0.3">
      <c r="A15" s="51" t="s">
        <v>376</v>
      </c>
      <c r="B15" s="213" t="s">
        <v>377</v>
      </c>
      <c r="C15" s="52"/>
      <c r="D15" s="51"/>
      <c r="E15" s="51" t="s">
        <v>378</v>
      </c>
      <c r="F15" s="36" t="s">
        <v>379</v>
      </c>
      <c r="G15" s="35"/>
      <c r="H15" s="203" t="s">
        <v>1347</v>
      </c>
      <c r="I15" s="35"/>
      <c r="J15" s="203" t="s">
        <v>1347</v>
      </c>
      <c r="K15" s="35"/>
      <c r="L15" s="203" t="s">
        <v>1347</v>
      </c>
    </row>
    <row r="16" spans="1:12" x14ac:dyDescent="0.3">
      <c r="A16" s="14"/>
      <c r="B16" s="14"/>
      <c r="C16" s="14"/>
      <c r="D16" s="50"/>
      <c r="E16" s="14"/>
      <c r="F16" s="14"/>
      <c r="G16" s="14"/>
      <c r="L16" s="14"/>
    </row>
    <row r="17" spans="4:4" x14ac:dyDescent="0.3">
      <c r="D17" s="50"/>
    </row>
  </sheetData>
  <sheetProtection algorithmName="SHA-512" hashValue="kbDDk/FR7CvHcrC8kPfWCKqvQSWRxxyGZbwYPMc0i65+8gLaQKuhLLbq5ks8RfgaGgHdWaeDLr10fjT7kwwy4A==" saltValue="n4C4RVU7DpWbDKZWaVEpag==" spinCount="100000" sheet="1" selectLockedCells="1"/>
  <mergeCells count="9">
    <mergeCell ref="A2:L2"/>
    <mergeCell ref="B4:B5"/>
    <mergeCell ref="C4:C5"/>
    <mergeCell ref="B10:B11"/>
    <mergeCell ref="C10:C11"/>
    <mergeCell ref="E4:E5"/>
    <mergeCell ref="E10:E11"/>
    <mergeCell ref="D4:D5"/>
    <mergeCell ref="D10:D11"/>
  </mergeCells>
  <conditionalFormatting sqref="H3:H15 J3:J15 L3:L15">
    <cfRule type="expression" dxfId="119" priority="4">
      <formula>NOT(H3="Comment is required")</formula>
    </cfRule>
    <cfRule type="expression" dxfId="118" priority="5">
      <formula>AND(OR(G3="N/A",G3="Partial"),H3="Comment is required")</formula>
    </cfRule>
  </conditionalFormatting>
  <conditionalFormatting sqref="H4">
    <cfRule type="expression" dxfId="117" priority="3">
      <formula>G4="Yes"</formula>
    </cfRule>
  </conditionalFormatting>
  <conditionalFormatting sqref="J4">
    <cfRule type="expression" dxfId="116" priority="2">
      <formula>I4="Yes"</formula>
    </cfRule>
  </conditionalFormatting>
  <conditionalFormatting sqref="L4">
    <cfRule type="expression" dxfId="115" priority="1">
      <formula>K4="Yes"</formula>
    </cfRule>
  </conditionalFormatting>
  <dataValidations count="2">
    <dataValidation type="list" showInputMessage="1" showErrorMessage="1" sqref="G3:G15 I3:I15 K3:K15" xr:uid="{00000000-0002-0000-0C00-000000000000}">
      <formula1>"Yes, No, Partial, N/A"</formula1>
    </dataValidation>
    <dataValidation showInputMessage="1" showErrorMessage="1" sqref="J3:J15 H3:H15 L11:L15" xr:uid="{00000000-0002-0000-0C00-000001000000}"/>
  </dataValidations>
  <hyperlinks>
    <hyperlink ref="B3" r:id="rId1" xr:uid="{00000000-0004-0000-0C00-000000000000}"/>
    <hyperlink ref="B4:B5" r:id="rId2" display="AU-2" xr:uid="{00000000-0004-0000-0C00-000001000000}"/>
    <hyperlink ref="B6" r:id="rId3" xr:uid="{00000000-0004-0000-0C00-000002000000}"/>
    <hyperlink ref="B7" r:id="rId4" xr:uid="{00000000-0004-0000-0C00-000003000000}"/>
    <hyperlink ref="B8" r:id="rId5" xr:uid="{00000000-0004-0000-0C00-000004000000}"/>
    <hyperlink ref="B9" r:id="rId6" xr:uid="{00000000-0004-0000-0C00-000005000000}"/>
    <hyperlink ref="B10:B11" r:id="rId7" display="AU-7" xr:uid="{00000000-0004-0000-0C00-000006000000}"/>
    <hyperlink ref="B12" r:id="rId8" xr:uid="{00000000-0004-0000-0C00-000007000000}"/>
    <hyperlink ref="B13" r:id="rId9" xr:uid="{00000000-0004-0000-0C00-000008000000}"/>
    <hyperlink ref="B14" r:id="rId10" xr:uid="{00000000-0004-0000-0C00-000009000000}"/>
    <hyperlink ref="B15" r:id="rId11" xr:uid="{00000000-0004-0000-0C00-00000A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19"/>
  <sheetViews>
    <sheetView showGridLines="0" zoomScaleNormal="100" workbookViewId="0">
      <pane xSplit="2" ySplit="2" topLeftCell="E3" activePane="bottomRight" state="frozen"/>
      <selection activeCell="D20" sqref="D20"/>
      <selection pane="topRight" activeCell="D20" sqref="D20"/>
      <selection pane="bottomLeft" activeCell="D20" sqref="D20"/>
      <selection pane="bottomRight" activeCell="K3" sqref="K3:K5"/>
    </sheetView>
  </sheetViews>
  <sheetFormatPr defaultRowHeight="14.4" x14ac:dyDescent="0.3"/>
  <cols>
    <col min="1" max="1" width="17.5546875" customWidth="1"/>
    <col min="2" max="2" width="21.5546875" customWidth="1"/>
    <col min="3" max="3" width="19" customWidth="1"/>
    <col min="4" max="4" width="19" style="14" hidden="1" customWidth="1"/>
    <col min="5" max="5" width="25.6640625" customWidth="1"/>
    <col min="6" max="6" width="49.6640625" customWidth="1"/>
    <col min="7" max="7" width="15.6640625" customWidth="1"/>
    <col min="8" max="8" width="20.6640625" style="14" customWidth="1"/>
    <col min="9" max="9" width="15.6640625" style="14" customWidth="1"/>
    <col min="10" max="10" width="20.6640625" style="14" customWidth="1"/>
    <col min="11" max="11" width="15.6640625" style="14" customWidth="1"/>
    <col min="12" max="12" width="20.6640625" customWidth="1"/>
  </cols>
  <sheetData>
    <row r="1" spans="1:12" ht="50.1" customHeight="1" x14ac:dyDescent="0.3">
      <c r="A1" s="3" t="s">
        <v>77</v>
      </c>
      <c r="B1" s="3" t="s">
        <v>120</v>
      </c>
      <c r="C1" s="3" t="s">
        <v>200</v>
      </c>
      <c r="D1" s="3" t="s">
        <v>1221</v>
      </c>
      <c r="E1" s="3" t="s">
        <v>78</v>
      </c>
      <c r="F1" s="3" t="s">
        <v>201</v>
      </c>
      <c r="G1" s="3" t="str">
        <f>Scope!$B$4 &amp; " Response:"</f>
        <v>Client -server application hosted at the data center  Response:</v>
      </c>
      <c r="H1" s="3" t="str">
        <f>Scope!$B$4 &amp;" Comments:"</f>
        <v>Client -server application hosted at the data center  Comments:</v>
      </c>
      <c r="I1" s="3" t="str">
        <f>Scope!$D$4 &amp; " Response:"</f>
        <v xml:space="preserve"> Response:</v>
      </c>
      <c r="J1" s="3" t="str">
        <f>Scope!$D$4 &amp; " Comments:"</f>
        <v xml:space="preserve"> Comments:</v>
      </c>
      <c r="K1" s="3" t="str">
        <f>Scope!$F$4 &amp; " Response:"</f>
        <v xml:space="preserve"> Response:</v>
      </c>
      <c r="L1" s="3" t="str">
        <f>Scope!$F$4 &amp; " Comments:"</f>
        <v xml:space="preserve"> Comments:</v>
      </c>
    </row>
    <row r="2" spans="1:12" ht="15.6" x14ac:dyDescent="0.3">
      <c r="A2" s="294" t="s">
        <v>380</v>
      </c>
      <c r="B2" s="294"/>
      <c r="C2" s="294"/>
      <c r="D2" s="294"/>
      <c r="E2" s="294"/>
      <c r="F2" s="294"/>
      <c r="G2" s="294"/>
      <c r="H2" s="294"/>
      <c r="I2" s="294"/>
      <c r="J2" s="294"/>
      <c r="K2" s="294"/>
      <c r="L2" s="294"/>
    </row>
    <row r="3" spans="1:12" ht="68.400000000000006" x14ac:dyDescent="0.3">
      <c r="A3" s="51" t="s">
        <v>381</v>
      </c>
      <c r="B3" s="215" t="s">
        <v>382</v>
      </c>
      <c r="C3" s="52" t="s">
        <v>383</v>
      </c>
      <c r="D3" s="96" t="s">
        <v>1240</v>
      </c>
      <c r="E3" s="51" t="s">
        <v>384</v>
      </c>
      <c r="F3" s="52" t="s">
        <v>385</v>
      </c>
      <c r="G3" s="35"/>
      <c r="H3" s="203" t="s">
        <v>1347</v>
      </c>
      <c r="I3" s="35"/>
      <c r="J3" s="203" t="s">
        <v>1347</v>
      </c>
      <c r="K3" s="35"/>
      <c r="L3" s="203" t="s">
        <v>1347</v>
      </c>
    </row>
    <row r="4" spans="1:12" ht="34.200000000000003" x14ac:dyDescent="0.3">
      <c r="A4" s="51" t="s">
        <v>386</v>
      </c>
      <c r="B4" s="293" t="s">
        <v>387</v>
      </c>
      <c r="C4" s="280" t="s">
        <v>388</v>
      </c>
      <c r="D4" s="282" t="s">
        <v>1242</v>
      </c>
      <c r="E4" s="281" t="s">
        <v>389</v>
      </c>
      <c r="F4" s="36" t="s">
        <v>390</v>
      </c>
      <c r="G4" s="35"/>
      <c r="H4" s="203" t="s">
        <v>1347</v>
      </c>
      <c r="I4" s="35"/>
      <c r="J4" s="203" t="s">
        <v>1347</v>
      </c>
      <c r="K4" s="35"/>
      <c r="L4" s="203" t="s">
        <v>1347</v>
      </c>
    </row>
    <row r="5" spans="1:12" ht="45.6" x14ac:dyDescent="0.3">
      <c r="A5" s="51" t="s">
        <v>391</v>
      </c>
      <c r="B5" s="293"/>
      <c r="C5" s="280"/>
      <c r="D5" s="290"/>
      <c r="E5" s="281"/>
      <c r="F5" s="36" t="s">
        <v>392</v>
      </c>
      <c r="G5" s="35"/>
      <c r="H5" s="203" t="s">
        <v>1347</v>
      </c>
      <c r="I5" s="35"/>
      <c r="J5" s="203" t="s">
        <v>1347</v>
      </c>
      <c r="K5" s="35"/>
      <c r="L5" s="203" t="s">
        <v>1347</v>
      </c>
    </row>
    <row r="6" spans="1:12" ht="34.200000000000003" x14ac:dyDescent="0.3">
      <c r="A6" s="51" t="s">
        <v>393</v>
      </c>
      <c r="B6" s="293"/>
      <c r="C6" s="280"/>
      <c r="D6" s="283"/>
      <c r="E6" s="281"/>
      <c r="F6" s="36" t="s">
        <v>394</v>
      </c>
      <c r="G6" s="35"/>
      <c r="H6" s="203" t="s">
        <v>1347</v>
      </c>
      <c r="I6" s="35"/>
      <c r="J6" s="203" t="s">
        <v>1347</v>
      </c>
      <c r="K6" s="35"/>
      <c r="L6" s="203" t="s">
        <v>1347</v>
      </c>
    </row>
    <row r="7" spans="1:12" ht="22.8" x14ac:dyDescent="0.3">
      <c r="A7" s="51" t="s">
        <v>395</v>
      </c>
      <c r="B7" s="293" t="s">
        <v>396</v>
      </c>
      <c r="C7" s="280" t="s">
        <v>397</v>
      </c>
      <c r="D7" s="282" t="s">
        <v>1243</v>
      </c>
      <c r="E7" s="281" t="s">
        <v>398</v>
      </c>
      <c r="F7" s="52" t="s">
        <v>399</v>
      </c>
      <c r="G7" s="35"/>
      <c r="H7" s="203" t="s">
        <v>1347</v>
      </c>
      <c r="I7" s="35"/>
      <c r="J7" s="203" t="s">
        <v>1347</v>
      </c>
      <c r="K7" s="35"/>
      <c r="L7" s="203" t="s">
        <v>1347</v>
      </c>
    </row>
    <row r="8" spans="1:12" ht="22.8" x14ac:dyDescent="0.3">
      <c r="A8" s="51" t="s">
        <v>400</v>
      </c>
      <c r="B8" s="293"/>
      <c r="C8" s="280"/>
      <c r="D8" s="290"/>
      <c r="E8" s="281"/>
      <c r="F8" s="37" t="s">
        <v>401</v>
      </c>
      <c r="G8" s="35"/>
      <c r="H8" s="203" t="s">
        <v>1347</v>
      </c>
      <c r="I8" s="35"/>
      <c r="J8" s="203" t="s">
        <v>1347</v>
      </c>
      <c r="K8" s="35"/>
      <c r="L8" s="203" t="s">
        <v>1347</v>
      </c>
    </row>
    <row r="9" spans="1:12" ht="22.8" x14ac:dyDescent="0.3">
      <c r="A9" s="51" t="s">
        <v>402</v>
      </c>
      <c r="B9" s="293"/>
      <c r="C9" s="280"/>
      <c r="D9" s="283"/>
      <c r="E9" s="281"/>
      <c r="F9" s="37" t="s">
        <v>403</v>
      </c>
      <c r="G9" s="35"/>
      <c r="H9" s="203" t="s">
        <v>1347</v>
      </c>
      <c r="I9" s="35"/>
      <c r="J9" s="203" t="s">
        <v>1347</v>
      </c>
      <c r="K9" s="35"/>
      <c r="L9" s="203" t="s">
        <v>1347</v>
      </c>
    </row>
    <row r="10" spans="1:12" ht="22.8" x14ac:dyDescent="0.3">
      <c r="A10" s="51" t="s">
        <v>404</v>
      </c>
      <c r="B10" s="213" t="s">
        <v>405</v>
      </c>
      <c r="C10" s="52"/>
      <c r="D10" s="96" t="s">
        <v>1244</v>
      </c>
      <c r="E10" s="51" t="s">
        <v>406</v>
      </c>
      <c r="F10" s="36" t="s">
        <v>407</v>
      </c>
      <c r="G10" s="35"/>
      <c r="H10" s="203" t="s">
        <v>1347</v>
      </c>
      <c r="I10" s="35"/>
      <c r="J10" s="203" t="s">
        <v>1347</v>
      </c>
      <c r="K10" s="35"/>
      <c r="L10" s="203" t="s">
        <v>1347</v>
      </c>
    </row>
    <row r="11" spans="1:12" ht="34.200000000000003" x14ac:dyDescent="0.3">
      <c r="A11" s="51" t="s">
        <v>408</v>
      </c>
      <c r="B11" s="293" t="s">
        <v>409</v>
      </c>
      <c r="C11" s="280" t="s">
        <v>410</v>
      </c>
      <c r="D11" s="282" t="s">
        <v>1245</v>
      </c>
      <c r="E11" s="281" t="s">
        <v>411</v>
      </c>
      <c r="F11" s="36" t="s">
        <v>412</v>
      </c>
      <c r="G11" s="35"/>
      <c r="H11" s="203" t="s">
        <v>1347</v>
      </c>
      <c r="I11" s="35"/>
      <c r="J11" s="203" t="s">
        <v>1347</v>
      </c>
      <c r="K11" s="35"/>
      <c r="L11" s="203" t="s">
        <v>1347</v>
      </c>
    </row>
    <row r="12" spans="1:12" ht="22.8" x14ac:dyDescent="0.3">
      <c r="A12" s="51" t="s">
        <v>413</v>
      </c>
      <c r="B12" s="293"/>
      <c r="C12" s="280"/>
      <c r="D12" s="283"/>
      <c r="E12" s="281"/>
      <c r="F12" s="38" t="s">
        <v>414</v>
      </c>
      <c r="G12" s="35"/>
      <c r="H12" s="203" t="s">
        <v>1347</v>
      </c>
      <c r="I12" s="35"/>
      <c r="J12" s="203" t="s">
        <v>1347</v>
      </c>
      <c r="K12" s="35"/>
      <c r="L12" s="203" t="s">
        <v>1347</v>
      </c>
    </row>
    <row r="13" spans="1:12" ht="22.8" x14ac:dyDescent="0.3">
      <c r="A13" s="51" t="s">
        <v>415</v>
      </c>
      <c r="B13" s="293" t="s">
        <v>416</v>
      </c>
      <c r="C13" s="280" t="s">
        <v>417</v>
      </c>
      <c r="D13" s="282" t="s">
        <v>1246</v>
      </c>
      <c r="E13" s="281" t="s">
        <v>418</v>
      </c>
      <c r="F13" s="37" t="s">
        <v>419</v>
      </c>
      <c r="G13" s="35"/>
      <c r="H13" s="203" t="s">
        <v>1347</v>
      </c>
      <c r="I13" s="35"/>
      <c r="J13" s="203" t="s">
        <v>1347</v>
      </c>
      <c r="K13" s="35"/>
      <c r="L13" s="203" t="s">
        <v>1347</v>
      </c>
    </row>
    <row r="14" spans="1:12" x14ac:dyDescent="0.3">
      <c r="A14" s="51" t="s">
        <v>420</v>
      </c>
      <c r="B14" s="293"/>
      <c r="C14" s="280"/>
      <c r="D14" s="290"/>
      <c r="E14" s="281"/>
      <c r="F14" s="52" t="s">
        <v>421</v>
      </c>
      <c r="G14" s="35"/>
      <c r="H14" s="203" t="s">
        <v>1347</v>
      </c>
      <c r="I14" s="35"/>
      <c r="J14" s="203" t="s">
        <v>1347</v>
      </c>
      <c r="K14" s="35"/>
      <c r="L14" s="203" t="s">
        <v>1347</v>
      </c>
    </row>
    <row r="15" spans="1:12" ht="22.8" x14ac:dyDescent="0.3">
      <c r="A15" s="51" t="s">
        <v>422</v>
      </c>
      <c r="B15" s="293"/>
      <c r="C15" s="280"/>
      <c r="D15" s="290"/>
      <c r="E15" s="281"/>
      <c r="F15" s="37" t="s">
        <v>423</v>
      </c>
      <c r="G15" s="35"/>
      <c r="H15" s="203" t="s">
        <v>1347</v>
      </c>
      <c r="I15" s="35"/>
      <c r="J15" s="203" t="s">
        <v>1347</v>
      </c>
      <c r="K15" s="35"/>
      <c r="L15" s="203" t="s">
        <v>1347</v>
      </c>
    </row>
    <row r="16" spans="1:12" ht="22.8" x14ac:dyDescent="0.3">
      <c r="A16" s="51" t="s">
        <v>424</v>
      </c>
      <c r="B16" s="293"/>
      <c r="C16" s="280"/>
      <c r="D16" s="283"/>
      <c r="E16" s="281"/>
      <c r="F16" s="52" t="s">
        <v>425</v>
      </c>
      <c r="G16" s="35"/>
      <c r="H16" s="203" t="s">
        <v>1347</v>
      </c>
      <c r="I16" s="35"/>
      <c r="J16" s="203" t="s">
        <v>1347</v>
      </c>
      <c r="K16" s="35"/>
      <c r="L16" s="203" t="s">
        <v>1347</v>
      </c>
    </row>
    <row r="17" spans="1:12" ht="22.8" x14ac:dyDescent="0.3">
      <c r="A17" s="51" t="s">
        <v>426</v>
      </c>
      <c r="B17" s="213" t="s">
        <v>427</v>
      </c>
      <c r="C17" s="51"/>
      <c r="D17" s="51"/>
      <c r="E17" s="51" t="s">
        <v>428</v>
      </c>
      <c r="F17" s="52" t="s">
        <v>429</v>
      </c>
      <c r="G17" s="35"/>
      <c r="H17" s="203" t="s">
        <v>1347</v>
      </c>
      <c r="I17" s="35"/>
      <c r="J17" s="203" t="s">
        <v>1347</v>
      </c>
      <c r="K17" s="35"/>
      <c r="L17" s="203" t="s">
        <v>1347</v>
      </c>
    </row>
    <row r="18" spans="1:12" ht="34.200000000000003" x14ac:dyDescent="0.3">
      <c r="A18" s="51" t="s">
        <v>430</v>
      </c>
      <c r="B18" s="293" t="s">
        <v>431</v>
      </c>
      <c r="C18" s="281"/>
      <c r="D18" s="281"/>
      <c r="E18" s="281" t="s">
        <v>432</v>
      </c>
      <c r="F18" s="52" t="s">
        <v>433</v>
      </c>
      <c r="G18" s="35"/>
      <c r="H18" s="203" t="s">
        <v>1347</v>
      </c>
      <c r="I18" s="35"/>
      <c r="J18" s="203" t="s">
        <v>1347</v>
      </c>
      <c r="K18" s="35"/>
      <c r="L18" s="203" t="s">
        <v>1347</v>
      </c>
    </row>
    <row r="19" spans="1:12" ht="22.8" x14ac:dyDescent="0.3">
      <c r="A19" s="51" t="s">
        <v>434</v>
      </c>
      <c r="B19" s="293"/>
      <c r="C19" s="281"/>
      <c r="D19" s="281"/>
      <c r="E19" s="281"/>
      <c r="F19" s="37" t="s">
        <v>435</v>
      </c>
      <c r="G19" s="35"/>
      <c r="H19" s="203" t="s">
        <v>1347</v>
      </c>
      <c r="I19" s="35"/>
      <c r="J19" s="203" t="s">
        <v>1347</v>
      </c>
      <c r="K19" s="35"/>
      <c r="L19" s="203" t="s">
        <v>1347</v>
      </c>
    </row>
  </sheetData>
  <sheetProtection algorithmName="SHA-512" hashValue="x7GTrndiw25E9pyUORjJeYdEqfOdH328/n7zgAMD9F+jGJf4mKigAjemoyj9TXR6yMjBDS2Yc+6A5gNyzrM34g==" saltValue="YA166k6As2fo4gtUWAYk9Q==" spinCount="100000" sheet="1" selectLockedCells="1"/>
  <mergeCells count="21">
    <mergeCell ref="B18:B19"/>
    <mergeCell ref="C18:C19"/>
    <mergeCell ref="E4:E6"/>
    <mergeCell ref="E7:E9"/>
    <mergeCell ref="E11:E12"/>
    <mergeCell ref="E13:E16"/>
    <mergeCell ref="E18:E19"/>
    <mergeCell ref="B11:B12"/>
    <mergeCell ref="C11:C12"/>
    <mergeCell ref="B13:B16"/>
    <mergeCell ref="C13:C16"/>
    <mergeCell ref="D11:D12"/>
    <mergeCell ref="D13:D16"/>
    <mergeCell ref="D18:D19"/>
    <mergeCell ref="A2:L2"/>
    <mergeCell ref="B4:B6"/>
    <mergeCell ref="C4:C6"/>
    <mergeCell ref="B7:B9"/>
    <mergeCell ref="C7:C9"/>
    <mergeCell ref="D4:D6"/>
    <mergeCell ref="D7:D9"/>
  </mergeCells>
  <conditionalFormatting sqref="F3">
    <cfRule type="expression" dxfId="114" priority="28">
      <formula>NOT(OR(G2="Yes",G2=""))</formula>
    </cfRule>
  </conditionalFormatting>
  <conditionalFormatting sqref="H3:H11 H14 H16:H19 L3:L11 J3:J11 J14 J16:J19 L16:L19 L14">
    <cfRule type="expression" dxfId="113" priority="25">
      <formula>NOT(H3="Comment is required")</formula>
    </cfRule>
    <cfRule type="expression" dxfId="112" priority="26">
      <formula>AND(OR(G3="N/A",G3="Partial"),H3="Comment is required")</formula>
    </cfRule>
  </conditionalFormatting>
  <conditionalFormatting sqref="H12">
    <cfRule type="expression" dxfId="111" priority="23">
      <formula>NOT(H12="Comment is required")</formula>
    </cfRule>
    <cfRule type="expression" dxfId="110" priority="24">
      <formula>AND(OR(G12="N/A",G12="Partial"),H12="Comment is required")</formula>
    </cfRule>
  </conditionalFormatting>
  <conditionalFormatting sqref="H12">
    <cfRule type="expression" dxfId="109" priority="22">
      <formula>G12="Yes"</formula>
    </cfRule>
  </conditionalFormatting>
  <conditionalFormatting sqref="H15 H13">
    <cfRule type="expression" dxfId="108" priority="20">
      <formula>NOT(H13="Comment is required")</formula>
    </cfRule>
    <cfRule type="expression" dxfId="107" priority="21">
      <formula>AND(OR(G13="N/A",G13="Partial"),H13="Comment is required")</formula>
    </cfRule>
  </conditionalFormatting>
  <conditionalFormatting sqref="H15 H13">
    <cfRule type="expression" dxfId="106" priority="19">
      <formula>G13="Yes"</formula>
    </cfRule>
  </conditionalFormatting>
  <conditionalFormatting sqref="J12">
    <cfRule type="expression" dxfId="105" priority="17">
      <formula>NOT(J12="Comment is required")</formula>
    </cfRule>
    <cfRule type="expression" dxfId="104" priority="18">
      <formula>AND(OR(I12="N/A",I12="Partial"),J12="Comment is required")</formula>
    </cfRule>
  </conditionalFormatting>
  <conditionalFormatting sqref="J12">
    <cfRule type="expression" dxfId="103" priority="16">
      <formula>I12="Yes"</formula>
    </cfRule>
  </conditionalFormatting>
  <conditionalFormatting sqref="J13">
    <cfRule type="expression" dxfId="102" priority="14">
      <formula>NOT(J13="Comment is required")</formula>
    </cfRule>
    <cfRule type="expression" dxfId="101" priority="15">
      <formula>AND(OR(I13="N/A",I13="Partial"),J13="Comment is required")</formula>
    </cfRule>
  </conditionalFormatting>
  <conditionalFormatting sqref="J13">
    <cfRule type="expression" dxfId="100" priority="13">
      <formula>I13="Yes"</formula>
    </cfRule>
  </conditionalFormatting>
  <conditionalFormatting sqref="J15">
    <cfRule type="expression" dxfId="99" priority="11">
      <formula>NOT(J15="Comment is required")</formula>
    </cfRule>
    <cfRule type="expression" dxfId="98" priority="12">
      <formula>AND(OR(I15="N/A",I15="Partial"),J15="Comment is required")</formula>
    </cfRule>
  </conditionalFormatting>
  <conditionalFormatting sqref="J15">
    <cfRule type="expression" dxfId="97" priority="10">
      <formula>I15="Yes"</formula>
    </cfRule>
  </conditionalFormatting>
  <conditionalFormatting sqref="L15">
    <cfRule type="expression" dxfId="96" priority="8">
      <formula>NOT(L15="Comment is required")</formula>
    </cfRule>
    <cfRule type="expression" dxfId="95" priority="9">
      <formula>AND(OR(K15="N/A",K15="Partial"),L15="Comment is required")</formula>
    </cfRule>
  </conditionalFormatting>
  <conditionalFormatting sqref="L15">
    <cfRule type="expression" dxfId="94" priority="7">
      <formula>K15="Yes"</formula>
    </cfRule>
  </conditionalFormatting>
  <conditionalFormatting sqref="L13">
    <cfRule type="expression" dxfId="93" priority="5">
      <formula>NOT(L13="Comment is required")</formula>
    </cfRule>
    <cfRule type="expression" dxfId="92" priority="6">
      <formula>AND(OR(K13="N/A",K13="Partial"),L13="Comment is required")</formula>
    </cfRule>
  </conditionalFormatting>
  <conditionalFormatting sqref="L13">
    <cfRule type="expression" dxfId="91" priority="4">
      <formula>K13="Yes"</formula>
    </cfRule>
  </conditionalFormatting>
  <conditionalFormatting sqref="L12">
    <cfRule type="expression" dxfId="90" priority="2">
      <formula>NOT(L12="Comment is required")</formula>
    </cfRule>
    <cfRule type="expression" dxfId="89" priority="3">
      <formula>AND(OR(K12="N/A",K12="Partial"),L12="Comment is required")</formula>
    </cfRule>
  </conditionalFormatting>
  <conditionalFormatting sqref="L12">
    <cfRule type="expression" dxfId="88" priority="1">
      <formula>K12="Yes"</formula>
    </cfRule>
  </conditionalFormatting>
  <dataValidations count="2">
    <dataValidation type="list" showInputMessage="1" showErrorMessage="1" sqref="I3:I19 G3:G19 K3:K19" xr:uid="{00000000-0002-0000-0D00-000000000000}">
      <formula1>"Yes, No, Partial, N/A"</formula1>
    </dataValidation>
    <dataValidation showInputMessage="1" showErrorMessage="1" sqref="H15:H19 L3:L19 J3:J19" xr:uid="{00000000-0002-0000-0D00-000001000000}"/>
  </dataValidations>
  <hyperlinks>
    <hyperlink ref="B3" r:id="rId1" xr:uid="{00000000-0004-0000-0D00-000000000000}"/>
    <hyperlink ref="B4:B6" r:id="rId2" display="CA-2" xr:uid="{00000000-0004-0000-0D00-000001000000}"/>
    <hyperlink ref="B7:B9" r:id="rId3" display="CA-3" xr:uid="{00000000-0004-0000-0D00-000002000000}"/>
    <hyperlink ref="B10" r:id="rId4" xr:uid="{00000000-0004-0000-0D00-000003000000}"/>
    <hyperlink ref="B11:B12" r:id="rId5" display="CA-6" xr:uid="{00000000-0004-0000-0D00-000004000000}"/>
    <hyperlink ref="B13:B16" r:id="rId6" display="CA-7" xr:uid="{00000000-0004-0000-0D00-000005000000}"/>
    <hyperlink ref="B17" r:id="rId7" xr:uid="{00000000-0004-0000-0D00-000006000000}"/>
    <hyperlink ref="B18:B19" r:id="rId8" display="CA-9" xr:uid="{00000000-0004-0000-0D00-000007000000}"/>
  </hyperlinks>
  <pageMargins left="0.7" right="0.7" top="0.75" bottom="0.75" header="0.3" footer="0.3"/>
  <pageSetup orientation="portrait" horizontalDpi="0" verticalDpi="0" r:id="rId9"/>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29"/>
  <sheetViews>
    <sheetView showGridLines="0" zoomScaleNormal="100" workbookViewId="0">
      <pane xSplit="2" ySplit="2" topLeftCell="C3" activePane="bottomRight" state="frozen"/>
      <selection activeCell="D19" sqref="D19:D22"/>
      <selection pane="topRight" activeCell="D19" sqref="D19:D22"/>
      <selection pane="bottomLeft" activeCell="D19" sqref="D19:D22"/>
      <selection pane="bottomRight" activeCell="G3" sqref="G3"/>
    </sheetView>
  </sheetViews>
  <sheetFormatPr defaultColWidth="9" defaultRowHeight="14.4" x14ac:dyDescent="0.3"/>
  <cols>
    <col min="1" max="1" width="17.5546875" style="14" customWidth="1"/>
    <col min="2" max="2" width="20.44140625" style="14" customWidth="1"/>
    <col min="3" max="3" width="18.5546875" style="14" customWidth="1"/>
    <col min="4" max="4" width="27.109375" style="14" hidden="1" customWidth="1"/>
    <col min="5" max="5" width="24.6640625" style="14" customWidth="1"/>
    <col min="6" max="6" width="55.6640625" style="14" customWidth="1"/>
    <col min="7" max="7" width="15.6640625" style="14" customWidth="1"/>
    <col min="8" max="8" width="20.6640625" style="14" customWidth="1"/>
    <col min="9" max="9" width="15.6640625" style="14" customWidth="1"/>
    <col min="10" max="10" width="20.6640625" style="14" customWidth="1"/>
    <col min="11" max="11" width="15.6640625" style="14" customWidth="1"/>
    <col min="12" max="12" width="20.6640625" style="14" customWidth="1"/>
    <col min="13" max="16384" width="9" style="14"/>
  </cols>
  <sheetData>
    <row r="1" spans="1:12" ht="50.1" customHeight="1" x14ac:dyDescent="0.3">
      <c r="A1" s="3" t="s">
        <v>77</v>
      </c>
      <c r="B1" s="3" t="s">
        <v>120</v>
      </c>
      <c r="C1" s="3" t="s">
        <v>200</v>
      </c>
      <c r="D1" s="3" t="s">
        <v>1221</v>
      </c>
      <c r="E1" s="3" t="s">
        <v>78</v>
      </c>
      <c r="F1" s="3" t="s">
        <v>201</v>
      </c>
      <c r="G1" s="3" t="str">
        <f>Scope!$B$4 &amp; " Response:"</f>
        <v>Client -server application hosted at the data center  Response:</v>
      </c>
      <c r="H1" s="3" t="str">
        <f>Scope!$B$4 &amp;" Comments:"</f>
        <v>Client -server application hosted at the data center  Comments:</v>
      </c>
      <c r="I1" s="3" t="str">
        <f>Scope!$D$4 &amp; " Response:"</f>
        <v xml:space="preserve"> Response:</v>
      </c>
      <c r="J1" s="3" t="str">
        <f>Scope!$D$4 &amp; " Comments:"</f>
        <v xml:space="preserve"> Comments:</v>
      </c>
      <c r="K1" s="3" t="str">
        <f>Scope!$F$4 &amp; " Response:"</f>
        <v xml:space="preserve"> Response:</v>
      </c>
      <c r="L1" s="3" t="str">
        <f>Scope!$F$4 &amp; " Comments:"</f>
        <v xml:space="preserve"> Comments:</v>
      </c>
    </row>
    <row r="2" spans="1:12" ht="15.6" x14ac:dyDescent="0.3">
      <c r="A2" s="294" t="s">
        <v>436</v>
      </c>
      <c r="B2" s="294"/>
      <c r="C2" s="294"/>
      <c r="D2" s="294"/>
      <c r="E2" s="294"/>
      <c r="F2" s="294"/>
      <c r="G2" s="294"/>
      <c r="H2" s="294"/>
      <c r="I2" s="294"/>
      <c r="J2" s="294"/>
      <c r="K2" s="294"/>
      <c r="L2" s="294"/>
    </row>
    <row r="3" spans="1:12" ht="68.400000000000006" x14ac:dyDescent="0.3">
      <c r="A3" s="183" t="s">
        <v>437</v>
      </c>
      <c r="B3" s="215" t="s">
        <v>438</v>
      </c>
      <c r="C3" s="185"/>
      <c r="D3" s="183" t="s">
        <v>1247</v>
      </c>
      <c r="E3" s="183" t="s">
        <v>439</v>
      </c>
      <c r="F3" s="185" t="s">
        <v>440</v>
      </c>
      <c r="G3" s="35"/>
      <c r="H3" s="203" t="s">
        <v>1347</v>
      </c>
      <c r="I3" s="35"/>
      <c r="J3" s="203" t="s">
        <v>1347</v>
      </c>
      <c r="K3" s="35"/>
      <c r="L3" s="203" t="s">
        <v>1347</v>
      </c>
    </row>
    <row r="4" spans="1:12" ht="34.200000000000003" x14ac:dyDescent="0.3">
      <c r="A4" s="183" t="s">
        <v>441</v>
      </c>
      <c r="B4" s="213" t="s">
        <v>442</v>
      </c>
      <c r="C4" s="185"/>
      <c r="D4" s="183" t="s">
        <v>1248</v>
      </c>
      <c r="E4" s="183" t="s">
        <v>443</v>
      </c>
      <c r="F4" s="36" t="s">
        <v>444</v>
      </c>
      <c r="G4" s="35"/>
      <c r="H4" s="203" t="s">
        <v>1347</v>
      </c>
      <c r="I4" s="35"/>
      <c r="J4" s="203" t="s">
        <v>1347</v>
      </c>
      <c r="K4" s="35"/>
      <c r="L4" s="203" t="s">
        <v>1347</v>
      </c>
    </row>
    <row r="5" spans="1:12" ht="24" customHeight="1" x14ac:dyDescent="0.3">
      <c r="A5" s="183" t="s">
        <v>445</v>
      </c>
      <c r="B5" s="293" t="s">
        <v>446</v>
      </c>
      <c r="C5" s="281"/>
      <c r="D5" s="282"/>
      <c r="E5" s="281" t="s">
        <v>447</v>
      </c>
      <c r="F5" s="38" t="s">
        <v>448</v>
      </c>
      <c r="G5" s="35"/>
      <c r="H5" s="203" t="s">
        <v>1347</v>
      </c>
      <c r="I5" s="35"/>
      <c r="J5" s="203" t="s">
        <v>1347</v>
      </c>
      <c r="K5" s="35"/>
      <c r="L5" s="203" t="s">
        <v>1347</v>
      </c>
    </row>
    <row r="6" spans="1:12" ht="22.8" x14ac:dyDescent="0.3">
      <c r="A6" s="183" t="s">
        <v>449</v>
      </c>
      <c r="B6" s="293"/>
      <c r="C6" s="281"/>
      <c r="D6" s="290"/>
      <c r="E6" s="281"/>
      <c r="F6" s="38" t="s">
        <v>450</v>
      </c>
      <c r="G6" s="35"/>
      <c r="H6" s="203" t="s">
        <v>1347</v>
      </c>
      <c r="I6" s="35"/>
      <c r="J6" s="203" t="s">
        <v>1347</v>
      </c>
      <c r="K6" s="35"/>
      <c r="L6" s="203" t="s">
        <v>1347</v>
      </c>
    </row>
    <row r="7" spans="1:12" x14ac:dyDescent="0.3">
      <c r="A7" s="183" t="s">
        <v>451</v>
      </c>
      <c r="B7" s="293"/>
      <c r="C7" s="281"/>
      <c r="D7" s="290"/>
      <c r="E7" s="281"/>
      <c r="F7" s="38" t="s">
        <v>452</v>
      </c>
      <c r="G7" s="35"/>
      <c r="H7" s="203" t="s">
        <v>1347</v>
      </c>
      <c r="I7" s="35"/>
      <c r="J7" s="203" t="s">
        <v>1347</v>
      </c>
      <c r="K7" s="35"/>
      <c r="L7" s="203" t="s">
        <v>1347</v>
      </c>
    </row>
    <row r="8" spans="1:12" x14ac:dyDescent="0.3">
      <c r="A8" s="183" t="s">
        <v>453</v>
      </c>
      <c r="B8" s="293"/>
      <c r="C8" s="281"/>
      <c r="D8" s="290"/>
      <c r="E8" s="281"/>
      <c r="F8" s="38" t="s">
        <v>454</v>
      </c>
      <c r="G8" s="35"/>
      <c r="H8" s="203" t="s">
        <v>1347</v>
      </c>
      <c r="I8" s="35"/>
      <c r="J8" s="203" t="s">
        <v>1347</v>
      </c>
      <c r="K8" s="35"/>
      <c r="L8" s="203" t="s">
        <v>1347</v>
      </c>
    </row>
    <row r="9" spans="1:12" x14ac:dyDescent="0.3">
      <c r="A9" s="183" t="s">
        <v>455</v>
      </c>
      <c r="B9" s="293"/>
      <c r="C9" s="281"/>
      <c r="D9" s="290"/>
      <c r="E9" s="281"/>
      <c r="F9" s="38" t="s">
        <v>456</v>
      </c>
      <c r="G9" s="35"/>
      <c r="H9" s="203" t="s">
        <v>1347</v>
      </c>
      <c r="I9" s="35"/>
      <c r="J9" s="203" t="s">
        <v>1347</v>
      </c>
      <c r="K9" s="35"/>
      <c r="L9" s="203" t="s">
        <v>1347</v>
      </c>
    </row>
    <row r="10" spans="1:12" ht="22.8" x14ac:dyDescent="0.3">
      <c r="A10" s="183" t="s">
        <v>457</v>
      </c>
      <c r="B10" s="293"/>
      <c r="C10" s="281"/>
      <c r="D10" s="283"/>
      <c r="E10" s="281"/>
      <c r="F10" s="38" t="s">
        <v>458</v>
      </c>
      <c r="G10" s="35"/>
      <c r="H10" s="203" t="s">
        <v>1347</v>
      </c>
      <c r="I10" s="35"/>
      <c r="J10" s="203" t="s">
        <v>1347</v>
      </c>
      <c r="K10" s="35"/>
      <c r="L10" s="203" t="s">
        <v>1347</v>
      </c>
    </row>
    <row r="11" spans="1:12" ht="22.8" x14ac:dyDescent="0.3">
      <c r="A11" s="183" t="s">
        <v>459</v>
      </c>
      <c r="B11" s="213" t="s">
        <v>460</v>
      </c>
      <c r="C11" s="185"/>
      <c r="D11" s="183"/>
      <c r="E11" s="183" t="s">
        <v>461</v>
      </c>
      <c r="F11" s="36" t="s">
        <v>462</v>
      </c>
      <c r="G11" s="35"/>
      <c r="H11" s="203" t="s">
        <v>1347</v>
      </c>
      <c r="I11" s="35"/>
      <c r="J11" s="203" t="s">
        <v>1347</v>
      </c>
      <c r="K11" s="35"/>
      <c r="L11" s="203" t="s">
        <v>1347</v>
      </c>
    </row>
    <row r="12" spans="1:12" ht="34.200000000000003" x14ac:dyDescent="0.3">
      <c r="A12" s="183" t="s">
        <v>463</v>
      </c>
      <c r="B12" s="213" t="s">
        <v>464</v>
      </c>
      <c r="C12" s="185"/>
      <c r="D12" s="183"/>
      <c r="E12" s="183" t="s">
        <v>465</v>
      </c>
      <c r="F12" s="38" t="s">
        <v>466</v>
      </c>
      <c r="G12" s="35"/>
      <c r="H12" s="203" t="s">
        <v>1347</v>
      </c>
      <c r="I12" s="35"/>
      <c r="J12" s="203" t="s">
        <v>1347</v>
      </c>
      <c r="K12" s="35"/>
      <c r="L12" s="203" t="s">
        <v>1347</v>
      </c>
    </row>
    <row r="13" spans="1:12" ht="22.8" x14ac:dyDescent="0.3">
      <c r="A13" s="183" t="s">
        <v>467</v>
      </c>
      <c r="B13" s="293" t="s">
        <v>468</v>
      </c>
      <c r="C13" s="280"/>
      <c r="D13" s="282"/>
      <c r="E13" s="281" t="s">
        <v>469</v>
      </c>
      <c r="F13" s="36" t="s">
        <v>470</v>
      </c>
      <c r="G13" s="35"/>
      <c r="H13" s="203" t="s">
        <v>1347</v>
      </c>
      <c r="I13" s="35"/>
      <c r="J13" s="203" t="s">
        <v>1347</v>
      </c>
      <c r="K13" s="35"/>
      <c r="L13" s="203" t="s">
        <v>1347</v>
      </c>
    </row>
    <row r="14" spans="1:12" ht="22.8" x14ac:dyDescent="0.3">
      <c r="A14" s="183" t="s">
        <v>471</v>
      </c>
      <c r="B14" s="293"/>
      <c r="C14" s="280"/>
      <c r="D14" s="290"/>
      <c r="E14" s="281"/>
      <c r="F14" s="36" t="s">
        <v>472</v>
      </c>
      <c r="G14" s="35"/>
      <c r="H14" s="203" t="s">
        <v>1347</v>
      </c>
      <c r="I14" s="35"/>
      <c r="J14" s="203" t="s">
        <v>1347</v>
      </c>
      <c r="K14" s="35"/>
      <c r="L14" s="203" t="s">
        <v>1347</v>
      </c>
    </row>
    <row r="15" spans="1:12" ht="22.8" x14ac:dyDescent="0.3">
      <c r="A15" s="183" t="s">
        <v>473</v>
      </c>
      <c r="B15" s="293"/>
      <c r="C15" s="280"/>
      <c r="D15" s="283"/>
      <c r="E15" s="281"/>
      <c r="F15" s="40" t="s">
        <v>474</v>
      </c>
      <c r="G15" s="35"/>
      <c r="H15" s="203" t="s">
        <v>1347</v>
      </c>
      <c r="I15" s="35"/>
      <c r="J15" s="203" t="s">
        <v>1347</v>
      </c>
      <c r="K15" s="35"/>
      <c r="L15" s="203" t="s">
        <v>1347</v>
      </c>
    </row>
    <row r="16" spans="1:12" ht="22.8" x14ac:dyDescent="0.3">
      <c r="A16" s="183" t="s">
        <v>475</v>
      </c>
      <c r="B16" s="213" t="s">
        <v>476</v>
      </c>
      <c r="C16" s="185"/>
      <c r="D16" s="183" t="s">
        <v>1249</v>
      </c>
      <c r="E16" s="183" t="s">
        <v>477</v>
      </c>
      <c r="F16" s="40" t="s">
        <v>478</v>
      </c>
      <c r="G16" s="35"/>
      <c r="H16" s="203" t="s">
        <v>1347</v>
      </c>
      <c r="I16" s="35"/>
      <c r="J16" s="203" t="s">
        <v>1347</v>
      </c>
      <c r="K16" s="35"/>
      <c r="L16" s="203" t="s">
        <v>1347</v>
      </c>
    </row>
    <row r="17" spans="1:12" ht="24" customHeight="1" x14ac:dyDescent="0.3">
      <c r="A17" s="183" t="s">
        <v>479</v>
      </c>
      <c r="B17" s="293" t="s">
        <v>480</v>
      </c>
      <c r="C17" s="280" t="s">
        <v>481</v>
      </c>
      <c r="D17" s="282"/>
      <c r="E17" s="281" t="s">
        <v>482</v>
      </c>
      <c r="F17" s="36" t="s">
        <v>483</v>
      </c>
      <c r="G17" s="35"/>
      <c r="H17" s="203" t="s">
        <v>1347</v>
      </c>
      <c r="I17" s="35"/>
      <c r="J17" s="203" t="s">
        <v>1347</v>
      </c>
      <c r="K17" s="35"/>
      <c r="L17" s="203" t="s">
        <v>1347</v>
      </c>
    </row>
    <row r="18" spans="1:12" ht="22.8" x14ac:dyDescent="0.3">
      <c r="A18" s="183" t="s">
        <v>484</v>
      </c>
      <c r="B18" s="293"/>
      <c r="C18" s="280"/>
      <c r="D18" s="283"/>
      <c r="E18" s="281"/>
      <c r="F18" s="36" t="s">
        <v>485</v>
      </c>
      <c r="G18" s="35"/>
      <c r="H18" s="203" t="s">
        <v>1347</v>
      </c>
      <c r="I18" s="35"/>
      <c r="J18" s="203" t="s">
        <v>1347</v>
      </c>
      <c r="K18" s="35"/>
      <c r="L18" s="203" t="s">
        <v>1347</v>
      </c>
    </row>
    <row r="19" spans="1:12" ht="36" customHeight="1" x14ac:dyDescent="0.3">
      <c r="A19" s="183" t="s">
        <v>486</v>
      </c>
      <c r="B19" s="293" t="s">
        <v>487</v>
      </c>
      <c r="C19" s="281"/>
      <c r="D19" s="282" t="s">
        <v>1250</v>
      </c>
      <c r="E19" s="281" t="s">
        <v>488</v>
      </c>
      <c r="F19" s="40" t="s">
        <v>489</v>
      </c>
      <c r="G19" s="35"/>
      <c r="H19" s="203" t="s">
        <v>1347</v>
      </c>
      <c r="I19" s="35"/>
      <c r="J19" s="203" t="s">
        <v>1347</v>
      </c>
      <c r="K19" s="35"/>
      <c r="L19" s="203" t="s">
        <v>1347</v>
      </c>
    </row>
    <row r="20" spans="1:12" ht="22.8" x14ac:dyDescent="0.3">
      <c r="A20" s="183" t="s">
        <v>490</v>
      </c>
      <c r="B20" s="293"/>
      <c r="C20" s="281"/>
      <c r="D20" s="290"/>
      <c r="E20" s="281"/>
      <c r="F20" s="40" t="s">
        <v>491</v>
      </c>
      <c r="G20" s="35"/>
      <c r="H20" s="203" t="s">
        <v>1347</v>
      </c>
      <c r="I20" s="35"/>
      <c r="J20" s="203" t="s">
        <v>1347</v>
      </c>
      <c r="K20" s="35"/>
      <c r="L20" s="203" t="s">
        <v>1347</v>
      </c>
    </row>
    <row r="21" spans="1:12" ht="22.8" x14ac:dyDescent="0.3">
      <c r="A21" s="183" t="s">
        <v>492</v>
      </c>
      <c r="B21" s="293"/>
      <c r="C21" s="281"/>
      <c r="D21" s="290"/>
      <c r="E21" s="281"/>
      <c r="F21" s="40" t="s">
        <v>493</v>
      </c>
      <c r="G21" s="35"/>
      <c r="H21" s="203" t="s">
        <v>1347</v>
      </c>
      <c r="I21" s="35"/>
      <c r="J21" s="203" t="s">
        <v>1347</v>
      </c>
      <c r="K21" s="35"/>
      <c r="L21" s="203" t="s">
        <v>1347</v>
      </c>
    </row>
    <row r="22" spans="1:12" ht="22.8" x14ac:dyDescent="0.3">
      <c r="A22" s="183" t="s">
        <v>494</v>
      </c>
      <c r="B22" s="293"/>
      <c r="C22" s="281"/>
      <c r="D22" s="283"/>
      <c r="E22" s="281"/>
      <c r="F22" s="40" t="s">
        <v>495</v>
      </c>
      <c r="G22" s="35"/>
      <c r="H22" s="203" t="s">
        <v>1347</v>
      </c>
      <c r="I22" s="35"/>
      <c r="J22" s="203" t="s">
        <v>1347</v>
      </c>
      <c r="K22" s="35"/>
      <c r="L22" s="203" t="s">
        <v>1347</v>
      </c>
    </row>
    <row r="23" spans="1:12" ht="22.8" x14ac:dyDescent="0.3">
      <c r="A23" s="183" t="s">
        <v>496</v>
      </c>
      <c r="B23" s="213" t="s">
        <v>497</v>
      </c>
      <c r="C23" s="185"/>
      <c r="D23" s="183"/>
      <c r="E23" s="183" t="s">
        <v>498</v>
      </c>
      <c r="F23" s="185" t="s">
        <v>499</v>
      </c>
      <c r="G23" s="35"/>
      <c r="H23" s="203" t="s">
        <v>1347</v>
      </c>
      <c r="I23" s="35"/>
      <c r="J23" s="203" t="s">
        <v>1347</v>
      </c>
      <c r="K23" s="35"/>
      <c r="L23" s="203" t="s">
        <v>1347</v>
      </c>
    </row>
    <row r="24" spans="1:12" x14ac:dyDescent="0.3">
      <c r="A24" s="183" t="s">
        <v>500</v>
      </c>
      <c r="B24" s="213" t="s">
        <v>501</v>
      </c>
      <c r="C24" s="183"/>
      <c r="D24" s="183"/>
      <c r="E24" s="183" t="s">
        <v>502</v>
      </c>
      <c r="F24" s="185" t="s">
        <v>503</v>
      </c>
      <c r="G24" s="35"/>
      <c r="H24" s="203" t="s">
        <v>1347</v>
      </c>
      <c r="I24" s="35"/>
      <c r="J24" s="203" t="s">
        <v>1347</v>
      </c>
      <c r="K24" s="35"/>
      <c r="L24" s="203" t="s">
        <v>1347</v>
      </c>
    </row>
    <row r="25" spans="1:12" ht="22.8" x14ac:dyDescent="0.3">
      <c r="A25" s="186" t="s">
        <v>1294</v>
      </c>
      <c r="B25" s="282" t="s">
        <v>48</v>
      </c>
      <c r="C25" s="282"/>
      <c r="D25" s="282"/>
      <c r="E25" s="183" t="s">
        <v>1295</v>
      </c>
      <c r="F25" s="190" t="s">
        <v>1296</v>
      </c>
      <c r="G25" s="35"/>
      <c r="H25" s="203" t="s">
        <v>1347</v>
      </c>
      <c r="I25" s="35"/>
      <c r="J25" s="203" t="s">
        <v>1347</v>
      </c>
      <c r="K25" s="35"/>
      <c r="L25" s="203" t="s">
        <v>1347</v>
      </c>
    </row>
    <row r="26" spans="1:12" ht="22.8" x14ac:dyDescent="0.3">
      <c r="A26" s="186" t="s">
        <v>1297</v>
      </c>
      <c r="B26" s="283"/>
      <c r="C26" s="283"/>
      <c r="D26" s="283"/>
      <c r="E26" s="183" t="s">
        <v>1298</v>
      </c>
      <c r="F26" s="190" t="s">
        <v>1299</v>
      </c>
      <c r="G26" s="35"/>
      <c r="H26" s="203" t="s">
        <v>1347</v>
      </c>
      <c r="I26" s="35"/>
      <c r="J26" s="203" t="s">
        <v>1347</v>
      </c>
      <c r="K26" s="35"/>
      <c r="L26" s="203" t="s">
        <v>1347</v>
      </c>
    </row>
    <row r="27" spans="1:12" ht="34.200000000000003" x14ac:dyDescent="0.3">
      <c r="A27" s="186" t="s">
        <v>1300</v>
      </c>
      <c r="B27" s="183" t="s">
        <v>48</v>
      </c>
      <c r="C27" s="183"/>
      <c r="D27" s="183"/>
      <c r="E27" s="202" t="s">
        <v>1301</v>
      </c>
      <c r="F27" s="190" t="s">
        <v>1302</v>
      </c>
      <c r="G27" s="35"/>
      <c r="H27" s="203" t="s">
        <v>1347</v>
      </c>
      <c r="I27" s="35"/>
      <c r="J27" s="203" t="s">
        <v>1347</v>
      </c>
      <c r="K27" s="35"/>
      <c r="L27" s="203" t="s">
        <v>1347</v>
      </c>
    </row>
    <row r="28" spans="1:12" ht="34.200000000000003" x14ac:dyDescent="0.3">
      <c r="A28" s="189" t="s">
        <v>1361</v>
      </c>
      <c r="B28" s="189" t="s">
        <v>48</v>
      </c>
      <c r="C28" s="189"/>
      <c r="D28" s="189"/>
      <c r="E28" s="295" t="s">
        <v>1360</v>
      </c>
      <c r="F28" s="190" t="s">
        <v>1366</v>
      </c>
      <c r="G28" s="35"/>
      <c r="H28" s="203" t="s">
        <v>1347</v>
      </c>
      <c r="I28" s="35"/>
      <c r="J28" s="203" t="s">
        <v>1347</v>
      </c>
      <c r="K28" s="35"/>
      <c r="L28" s="203" t="s">
        <v>1347</v>
      </c>
    </row>
    <row r="29" spans="1:12" ht="22.8" x14ac:dyDescent="0.3">
      <c r="A29" s="189" t="s">
        <v>1362</v>
      </c>
      <c r="B29" s="189" t="s">
        <v>48</v>
      </c>
      <c r="C29" s="189"/>
      <c r="D29" s="189"/>
      <c r="E29" s="295"/>
      <c r="F29" s="190" t="s">
        <v>1367</v>
      </c>
      <c r="G29" s="35"/>
      <c r="H29" s="203" t="s">
        <v>1347</v>
      </c>
      <c r="I29" s="35"/>
      <c r="J29" s="203" t="s">
        <v>1347</v>
      </c>
      <c r="K29" s="35"/>
      <c r="L29" s="203" t="s">
        <v>1347</v>
      </c>
    </row>
  </sheetData>
  <sheetProtection algorithmName="SHA-512" hashValue="8erFTFCrqU6qeKikIwPMeOlGelRPVbkdskG9wwIUPuFB2PP28uWOtheaPO8z5vksbu107vl97eN6LX8oAuHhuw==" saltValue="u2kOCR89zb0Ym+IO0oSdkA==" spinCount="100000" sheet="1" selectLockedCells="1"/>
  <mergeCells count="21">
    <mergeCell ref="A2:L2"/>
    <mergeCell ref="B5:B10"/>
    <mergeCell ref="C5:C10"/>
    <mergeCell ref="D5:D10"/>
    <mergeCell ref="E5:E10"/>
    <mergeCell ref="B13:B15"/>
    <mergeCell ref="C13:C15"/>
    <mergeCell ref="D13:D15"/>
    <mergeCell ref="E13:E15"/>
    <mergeCell ref="B17:B18"/>
    <mergeCell ref="C17:C18"/>
    <mergeCell ref="D17:D18"/>
    <mergeCell ref="E17:E18"/>
    <mergeCell ref="E28:E29"/>
    <mergeCell ref="B19:B22"/>
    <mergeCell ref="C19:C22"/>
    <mergeCell ref="D19:D22"/>
    <mergeCell ref="E19:E22"/>
    <mergeCell ref="B25:B26"/>
    <mergeCell ref="C25:C26"/>
    <mergeCell ref="D25:D26"/>
  </mergeCells>
  <conditionalFormatting sqref="J3:J24 H3:H24 H26 J26 H29 J29">
    <cfRule type="expression" dxfId="87" priority="12">
      <formula>NOT(H3="Comment is required")</formula>
    </cfRule>
    <cfRule type="expression" dxfId="86" priority="13">
      <formula>AND(OR(G3="N/A",G3="Partial"),H3="Comment is required")</formula>
    </cfRule>
  </conditionalFormatting>
  <conditionalFormatting sqref="L3:L24 L26 L29">
    <cfRule type="expression" dxfId="85" priority="10">
      <formula>NOT(L3="Comment is required")</formula>
    </cfRule>
    <cfRule type="expression" dxfId="84" priority="11">
      <formula>AND(OR(K3="N/A",K3="Partial"),L3="Comment is required")</formula>
    </cfRule>
  </conditionalFormatting>
  <conditionalFormatting sqref="L28 J28 H28 L25 J25 H25">
    <cfRule type="expression" dxfId="83" priority="8">
      <formula>NOT(H25="Comment is required")</formula>
    </cfRule>
    <cfRule type="expression" dxfId="82" priority="9">
      <formula>AND(OR(G25="N/A",G25="Partial"),H25="Comment is required")</formula>
    </cfRule>
  </conditionalFormatting>
  <conditionalFormatting sqref="L28 J28 H28 L25 J25 H25">
    <cfRule type="expression" dxfId="81" priority="7">
      <formula>G25="Yes"</formula>
    </cfRule>
  </conditionalFormatting>
  <conditionalFormatting sqref="H27">
    <cfRule type="expression" dxfId="80" priority="5">
      <formula>NOT(H27="Comment is required")</formula>
    </cfRule>
    <cfRule type="expression" dxfId="79" priority="6">
      <formula>AND(OR(G27="N/A",G27="Partial"),H27="Comment is required")</formula>
    </cfRule>
  </conditionalFormatting>
  <conditionalFormatting sqref="H27">
    <cfRule type="expression" dxfId="78" priority="4">
      <formula>G27="Yes"</formula>
    </cfRule>
  </conditionalFormatting>
  <conditionalFormatting sqref="L27 J27">
    <cfRule type="expression" dxfId="77" priority="2">
      <formula>NOT(J27="Comment is required")</formula>
    </cfRule>
    <cfRule type="expression" dxfId="76" priority="3">
      <formula>AND(OR(I27="N/A",I27="Partial"),J27="Comment is required")</formula>
    </cfRule>
  </conditionalFormatting>
  <conditionalFormatting sqref="L27 J27">
    <cfRule type="expression" dxfId="75" priority="1">
      <formula>I27="Yes"</formula>
    </cfRule>
  </conditionalFormatting>
  <dataValidations count="2">
    <dataValidation type="list" showInputMessage="1" showErrorMessage="1" sqref="I3:I28 G3:G28 K3:K28" xr:uid="{00000000-0002-0000-0E00-000000000000}">
      <formula1>"Yes, No, Partial, N/A"</formula1>
    </dataValidation>
    <dataValidation showInputMessage="1" showErrorMessage="1" sqref="J3:J29 H3:H29 L3:L29" xr:uid="{00000000-0002-0000-0E00-000001000000}"/>
  </dataValidations>
  <hyperlinks>
    <hyperlink ref="B3" r:id="rId1" xr:uid="{00000000-0004-0000-0E00-000000000000}"/>
    <hyperlink ref="B4" r:id="rId2" xr:uid="{00000000-0004-0000-0E00-000001000000}"/>
    <hyperlink ref="B5:B10" r:id="rId3" display="CM-3" xr:uid="{00000000-0004-0000-0E00-000002000000}"/>
    <hyperlink ref="B11" r:id="rId4" xr:uid="{00000000-0004-0000-0E00-000003000000}"/>
    <hyperlink ref="B12" r:id="rId5" xr:uid="{00000000-0004-0000-0E00-000004000000}"/>
    <hyperlink ref="B13:B15" r:id="rId6" display="CM-6" xr:uid="{00000000-0004-0000-0E00-000005000000}"/>
    <hyperlink ref="B16" r:id="rId7" xr:uid="{00000000-0004-0000-0E00-000006000000}"/>
    <hyperlink ref="B17:B18" r:id="rId8" display="CM-8" xr:uid="{00000000-0004-0000-0E00-000007000000}"/>
    <hyperlink ref="B19:B22" r:id="rId9" display="CM-9" xr:uid="{00000000-0004-0000-0E00-000008000000}"/>
    <hyperlink ref="B23" r:id="rId10" xr:uid="{00000000-0004-0000-0E00-000009000000}"/>
    <hyperlink ref="B24" r:id="rId11" xr:uid="{00000000-0004-0000-0E00-00000A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15"/>
  <sheetViews>
    <sheetView showGridLines="0" zoomScaleNormal="100" workbookViewId="0">
      <pane xSplit="2" ySplit="2" topLeftCell="E3" activePane="bottomRight" state="frozen"/>
      <selection activeCell="D19" sqref="D19:D22"/>
      <selection pane="topRight" activeCell="D19" sqref="D19:D22"/>
      <selection pane="bottomLeft" activeCell="D19" sqref="D19:D22"/>
      <selection pane="bottomRight" activeCell="G3" sqref="G3"/>
    </sheetView>
  </sheetViews>
  <sheetFormatPr defaultColWidth="9" defaultRowHeight="14.4" x14ac:dyDescent="0.3"/>
  <cols>
    <col min="1" max="1" width="17.5546875" style="14" customWidth="1"/>
    <col min="2" max="2" width="20.33203125" style="14" customWidth="1"/>
    <col min="3" max="3" width="20.109375" style="14" customWidth="1"/>
    <col min="4" max="4" width="20.109375" style="14" hidden="1" customWidth="1"/>
    <col min="5" max="5" width="20.33203125" style="14" customWidth="1"/>
    <col min="6" max="6" width="54.5546875" style="14" bestFit="1" customWidth="1"/>
    <col min="7" max="7" width="15.6640625" style="14" customWidth="1"/>
    <col min="8" max="8" width="20.6640625" style="14" customWidth="1"/>
    <col min="9" max="9" width="15.6640625" style="14" customWidth="1"/>
    <col min="10" max="10" width="20.6640625" style="14" customWidth="1"/>
    <col min="11" max="11" width="15.6640625" style="14" customWidth="1"/>
    <col min="12" max="12" width="20.6640625" style="14" customWidth="1"/>
    <col min="13" max="16384" width="9" style="14"/>
  </cols>
  <sheetData>
    <row r="1" spans="1:12" ht="50.1" customHeight="1" x14ac:dyDescent="0.3">
      <c r="A1" s="3" t="s">
        <v>77</v>
      </c>
      <c r="B1" s="3" t="s">
        <v>120</v>
      </c>
      <c r="C1" s="3" t="s">
        <v>200</v>
      </c>
      <c r="D1" s="3" t="s">
        <v>1221</v>
      </c>
      <c r="E1" s="3" t="s">
        <v>78</v>
      </c>
      <c r="F1" s="3" t="s">
        <v>201</v>
      </c>
      <c r="G1" s="3" t="str">
        <f>Scope!$B$4 &amp; " Response:"</f>
        <v>Client -server application hosted at the data center  Response:</v>
      </c>
      <c r="H1" s="3" t="str">
        <f>Scope!$B$4 &amp;" Comments:"</f>
        <v>Client -server application hosted at the data center  Comments:</v>
      </c>
      <c r="I1" s="3" t="str">
        <f>Scope!$D$4 &amp; " Response:"</f>
        <v xml:space="preserve"> Response:</v>
      </c>
      <c r="J1" s="3" t="str">
        <f>Scope!$D$4 &amp; " Comments:"</f>
        <v xml:space="preserve"> Comments:</v>
      </c>
      <c r="K1" s="3" t="str">
        <f>Scope!$F$4 &amp; " Response:"</f>
        <v xml:space="preserve"> Response:</v>
      </c>
      <c r="L1" s="3" t="str">
        <f>Scope!$F$4 &amp; " Comments:"</f>
        <v xml:space="preserve"> Comments:</v>
      </c>
    </row>
    <row r="2" spans="1:12" ht="15.6" x14ac:dyDescent="0.3">
      <c r="A2" s="294" t="s">
        <v>504</v>
      </c>
      <c r="B2" s="294"/>
      <c r="C2" s="294"/>
      <c r="D2" s="294"/>
      <c r="E2" s="294"/>
      <c r="F2" s="294"/>
      <c r="G2" s="294"/>
      <c r="H2" s="294"/>
      <c r="I2" s="294"/>
      <c r="J2" s="294"/>
      <c r="K2" s="294"/>
      <c r="L2" s="294"/>
    </row>
    <row r="3" spans="1:12" ht="68.400000000000006" x14ac:dyDescent="0.3">
      <c r="A3" s="183" t="s">
        <v>505</v>
      </c>
      <c r="B3" s="215" t="s">
        <v>506</v>
      </c>
      <c r="C3" s="185" t="s">
        <v>507</v>
      </c>
      <c r="D3" s="183" t="s">
        <v>1240</v>
      </c>
      <c r="E3" s="183" t="s">
        <v>508</v>
      </c>
      <c r="F3" s="185" t="s">
        <v>509</v>
      </c>
      <c r="G3" s="35"/>
      <c r="H3" s="203" t="s">
        <v>1347</v>
      </c>
      <c r="I3" s="35"/>
      <c r="J3" s="203" t="s">
        <v>1347</v>
      </c>
      <c r="K3" s="35"/>
      <c r="L3" s="203" t="s">
        <v>1347</v>
      </c>
    </row>
    <row r="4" spans="1:12" ht="24" customHeight="1" x14ac:dyDescent="0.3">
      <c r="A4" s="183" t="s">
        <v>510</v>
      </c>
      <c r="B4" s="279" t="s">
        <v>511</v>
      </c>
      <c r="C4" s="280" t="s">
        <v>512</v>
      </c>
      <c r="D4" s="282" t="s">
        <v>1251</v>
      </c>
      <c r="E4" s="281" t="s">
        <v>513</v>
      </c>
      <c r="F4" s="36" t="s">
        <v>514</v>
      </c>
      <c r="G4" s="35"/>
      <c r="H4" s="203" t="s">
        <v>1347</v>
      </c>
      <c r="I4" s="35"/>
      <c r="J4" s="203" t="s">
        <v>1347</v>
      </c>
      <c r="K4" s="35"/>
      <c r="L4" s="203" t="s">
        <v>1347</v>
      </c>
    </row>
    <row r="5" spans="1:12" ht="148.19999999999999" x14ac:dyDescent="0.3">
      <c r="A5" s="183" t="s">
        <v>515</v>
      </c>
      <c r="B5" s="279"/>
      <c r="C5" s="280"/>
      <c r="D5" s="283"/>
      <c r="E5" s="281"/>
      <c r="F5" s="36" t="s">
        <v>516</v>
      </c>
      <c r="G5" s="35"/>
      <c r="H5" s="203" t="s">
        <v>1347</v>
      </c>
      <c r="I5" s="35"/>
      <c r="J5" s="203" t="s">
        <v>1347</v>
      </c>
      <c r="K5" s="35"/>
      <c r="L5" s="203" t="s">
        <v>1347</v>
      </c>
    </row>
    <row r="6" spans="1:12" ht="22.8" x14ac:dyDescent="0.3">
      <c r="A6" s="183" t="s">
        <v>517</v>
      </c>
      <c r="B6" s="215" t="s">
        <v>518</v>
      </c>
      <c r="C6" s="185" t="s">
        <v>519</v>
      </c>
      <c r="D6" s="183" t="s">
        <v>1252</v>
      </c>
      <c r="E6" s="183" t="s">
        <v>520</v>
      </c>
      <c r="F6" s="36" t="s">
        <v>521</v>
      </c>
      <c r="G6" s="35"/>
      <c r="H6" s="203" t="s">
        <v>1347</v>
      </c>
      <c r="I6" s="35"/>
      <c r="J6" s="203" t="s">
        <v>1347</v>
      </c>
      <c r="K6" s="35"/>
      <c r="L6" s="203" t="s">
        <v>1347</v>
      </c>
    </row>
    <row r="7" spans="1:12" ht="34.200000000000003" x14ac:dyDescent="0.3">
      <c r="A7" s="183" t="s">
        <v>522</v>
      </c>
      <c r="B7" s="215" t="s">
        <v>523</v>
      </c>
      <c r="C7" s="185" t="s">
        <v>519</v>
      </c>
      <c r="D7" s="183"/>
      <c r="E7" s="183" t="s">
        <v>524</v>
      </c>
      <c r="F7" s="36" t="s">
        <v>525</v>
      </c>
      <c r="G7" s="35"/>
      <c r="H7" s="203" t="s">
        <v>1347</v>
      </c>
      <c r="I7" s="35"/>
      <c r="J7" s="203" t="s">
        <v>1347</v>
      </c>
      <c r="K7" s="35"/>
      <c r="L7" s="203" t="s">
        <v>1347</v>
      </c>
    </row>
    <row r="8" spans="1:12" ht="34.200000000000003" x14ac:dyDescent="0.3">
      <c r="A8" s="183" t="s">
        <v>526</v>
      </c>
      <c r="B8" s="279" t="s">
        <v>527</v>
      </c>
      <c r="C8" s="280" t="s">
        <v>528</v>
      </c>
      <c r="D8" s="281"/>
      <c r="E8" s="281" t="s">
        <v>529</v>
      </c>
      <c r="F8" s="36" t="s">
        <v>530</v>
      </c>
      <c r="G8" s="35"/>
      <c r="H8" s="203" t="s">
        <v>1347</v>
      </c>
      <c r="I8" s="35"/>
      <c r="J8" s="203" t="s">
        <v>1347</v>
      </c>
      <c r="K8" s="35"/>
      <c r="L8" s="203" t="s">
        <v>1347</v>
      </c>
    </row>
    <row r="9" spans="1:12" ht="22.8" x14ac:dyDescent="0.3">
      <c r="A9" s="183" t="s">
        <v>531</v>
      </c>
      <c r="B9" s="279"/>
      <c r="C9" s="280"/>
      <c r="D9" s="281"/>
      <c r="E9" s="281"/>
      <c r="F9" s="36" t="s">
        <v>532</v>
      </c>
      <c r="G9" s="35"/>
      <c r="H9" s="203" t="s">
        <v>1347</v>
      </c>
      <c r="I9" s="35"/>
      <c r="J9" s="203" t="s">
        <v>1347</v>
      </c>
      <c r="K9" s="35"/>
      <c r="L9" s="203" t="s">
        <v>1347</v>
      </c>
    </row>
    <row r="10" spans="1:12" ht="45.6" x14ac:dyDescent="0.3">
      <c r="A10" s="183" t="s">
        <v>533</v>
      </c>
      <c r="B10" s="279" t="s">
        <v>534</v>
      </c>
      <c r="C10" s="280" t="s">
        <v>528</v>
      </c>
      <c r="D10" s="281"/>
      <c r="E10" s="281" t="s">
        <v>535</v>
      </c>
      <c r="F10" s="36" t="s">
        <v>536</v>
      </c>
      <c r="G10" s="35"/>
      <c r="H10" s="203" t="s">
        <v>1347</v>
      </c>
      <c r="I10" s="35"/>
      <c r="J10" s="203" t="s">
        <v>1347</v>
      </c>
      <c r="K10" s="35"/>
      <c r="L10" s="203" t="s">
        <v>1347</v>
      </c>
    </row>
    <row r="11" spans="1:12" ht="22.8" x14ac:dyDescent="0.3">
      <c r="A11" s="183" t="s">
        <v>537</v>
      </c>
      <c r="B11" s="279"/>
      <c r="C11" s="280"/>
      <c r="D11" s="281"/>
      <c r="E11" s="281"/>
      <c r="F11" s="36" t="s">
        <v>538</v>
      </c>
      <c r="G11" s="35"/>
      <c r="H11" s="203" t="s">
        <v>1347</v>
      </c>
      <c r="I11" s="35"/>
      <c r="J11" s="203" t="s">
        <v>1347</v>
      </c>
      <c r="K11" s="35"/>
      <c r="L11" s="203" t="s">
        <v>1347</v>
      </c>
    </row>
    <row r="12" spans="1:12" ht="22.8" x14ac:dyDescent="0.3">
      <c r="A12" s="183" t="s">
        <v>539</v>
      </c>
      <c r="B12" s="215" t="s">
        <v>540</v>
      </c>
      <c r="C12" s="185" t="s">
        <v>541</v>
      </c>
      <c r="D12" s="183"/>
      <c r="E12" s="183" t="s">
        <v>542</v>
      </c>
      <c r="F12" s="36" t="s">
        <v>543</v>
      </c>
      <c r="G12" s="35"/>
      <c r="H12" s="203" t="s">
        <v>1347</v>
      </c>
      <c r="I12" s="35"/>
      <c r="J12" s="203" t="s">
        <v>1347</v>
      </c>
      <c r="K12" s="35"/>
      <c r="L12" s="203" t="s">
        <v>1347</v>
      </c>
    </row>
    <row r="13" spans="1:12" ht="22.8" x14ac:dyDescent="0.3">
      <c r="A13" s="183" t="s">
        <v>544</v>
      </c>
      <c r="B13" s="293" t="s">
        <v>545</v>
      </c>
      <c r="C13" s="280" t="s">
        <v>546</v>
      </c>
      <c r="D13" s="281"/>
      <c r="E13" s="281" t="s">
        <v>547</v>
      </c>
      <c r="F13" s="36" t="s">
        <v>548</v>
      </c>
      <c r="G13" s="35"/>
      <c r="H13" s="203" t="s">
        <v>1347</v>
      </c>
      <c r="I13" s="35"/>
      <c r="J13" s="203" t="s">
        <v>1347</v>
      </c>
      <c r="K13" s="35"/>
      <c r="L13" s="203" t="s">
        <v>1347</v>
      </c>
    </row>
    <row r="14" spans="1:12" ht="22.8" x14ac:dyDescent="0.3">
      <c r="A14" s="183" t="s">
        <v>549</v>
      </c>
      <c r="B14" s="293"/>
      <c r="C14" s="280"/>
      <c r="D14" s="281"/>
      <c r="E14" s="281"/>
      <c r="F14" s="36" t="s">
        <v>550</v>
      </c>
      <c r="G14" s="35"/>
      <c r="H14" s="203" t="s">
        <v>1347</v>
      </c>
      <c r="I14" s="35"/>
      <c r="J14" s="203" t="s">
        <v>1347</v>
      </c>
      <c r="K14" s="35"/>
      <c r="L14" s="203" t="s">
        <v>1347</v>
      </c>
    </row>
    <row r="15" spans="1:12" ht="34.200000000000003" x14ac:dyDescent="0.3">
      <c r="A15" s="183" t="s">
        <v>551</v>
      </c>
      <c r="B15" s="213" t="s">
        <v>552</v>
      </c>
      <c r="C15" s="185" t="s">
        <v>553</v>
      </c>
      <c r="D15" s="183"/>
      <c r="E15" s="183" t="s">
        <v>554</v>
      </c>
      <c r="F15" s="36" t="s">
        <v>555</v>
      </c>
      <c r="G15" s="35"/>
      <c r="H15" s="203" t="s">
        <v>1347</v>
      </c>
      <c r="I15" s="35"/>
      <c r="J15" s="203" t="s">
        <v>1347</v>
      </c>
      <c r="K15" s="35"/>
      <c r="L15" s="203" t="s">
        <v>1347</v>
      </c>
    </row>
  </sheetData>
  <sheetProtection algorithmName="SHA-512" hashValue="CaDMZu2NKM92hh2aTont93nXR+HmrXrPtHKfYGBXdG3Q0N3D1QiSPtnU/8pox8RJrRd8R/OzqKK2M63eeA/iOw==" saltValue="3hXL8BgCgjZq1imOUDXBnA==" spinCount="100000" sheet="1" selectLockedCells="1"/>
  <mergeCells count="17">
    <mergeCell ref="A2:L2"/>
    <mergeCell ref="B4:B5"/>
    <mergeCell ref="C4:C5"/>
    <mergeCell ref="D4:D5"/>
    <mergeCell ref="E4:E5"/>
    <mergeCell ref="B13:B14"/>
    <mergeCell ref="C13:C14"/>
    <mergeCell ref="D13:D14"/>
    <mergeCell ref="E13:E14"/>
    <mergeCell ref="B8:B9"/>
    <mergeCell ref="C8:C9"/>
    <mergeCell ref="D8:D9"/>
    <mergeCell ref="E8:E9"/>
    <mergeCell ref="B10:B11"/>
    <mergeCell ref="C10:C11"/>
    <mergeCell ref="D10:D11"/>
    <mergeCell ref="E10:E11"/>
  </mergeCells>
  <conditionalFormatting sqref="F3">
    <cfRule type="expression" dxfId="74" priority="4">
      <formula>NOT(OR(G2="Yes",G2=""))</formula>
    </cfRule>
  </conditionalFormatting>
  <conditionalFormatting sqref="L3:L15 J3:J15 H3:H15">
    <cfRule type="expression" dxfId="73" priority="1">
      <formula>NOT(H3="Comment is required")</formula>
    </cfRule>
    <cfRule type="expression" dxfId="72" priority="2">
      <formula>AND(OR(G3="N/A",G3="Partial"),H3="Comment is required")</formula>
    </cfRule>
  </conditionalFormatting>
  <dataValidations count="2">
    <dataValidation type="list" showInputMessage="1" showErrorMessage="1" sqref="K3:K15 G3:G15 I3:I15" xr:uid="{00000000-0002-0000-0F00-000000000000}">
      <formula1>"Yes, No, Partial, N/A"</formula1>
    </dataValidation>
    <dataValidation showInputMessage="1" showErrorMessage="1" sqref="H3:H15 J3:J15 L3:L15" xr:uid="{00000000-0002-0000-0F00-000001000000}"/>
  </dataValidations>
  <hyperlinks>
    <hyperlink ref="B3" r:id="rId1" xr:uid="{00000000-0004-0000-0F00-000000000000}"/>
    <hyperlink ref="B4:B5" r:id="rId2" display="CP-2" xr:uid="{00000000-0004-0000-0F00-000001000000}"/>
    <hyperlink ref="B6" r:id="rId3" xr:uid="{00000000-0004-0000-0F00-000002000000}"/>
    <hyperlink ref="B7" r:id="rId4" xr:uid="{00000000-0004-0000-0F00-000003000000}"/>
    <hyperlink ref="B8:B9" r:id="rId5" display="CP-6" xr:uid="{00000000-0004-0000-0F00-000004000000}"/>
    <hyperlink ref="B10:B11" r:id="rId6" display="CP-7" xr:uid="{00000000-0004-0000-0F00-000005000000}"/>
    <hyperlink ref="B12" r:id="rId7" xr:uid="{00000000-0004-0000-0F00-000006000000}"/>
    <hyperlink ref="B13:B14" r:id="rId8" display="CP-9" xr:uid="{00000000-0004-0000-0F00-000007000000}"/>
    <hyperlink ref="B15" r:id="rId9" xr:uid="{00000000-0004-0000-0F00-000008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21"/>
  <sheetViews>
    <sheetView showGridLines="0" zoomScaleNormal="100" workbookViewId="0">
      <pane xSplit="2" ySplit="2" topLeftCell="C3" activePane="bottomRight" state="frozen"/>
      <selection activeCell="D19" sqref="D19:D22"/>
      <selection pane="topRight" activeCell="D19" sqref="D19:D22"/>
      <selection pane="bottomLeft" activeCell="D19" sqref="D19:D22"/>
      <selection pane="bottomRight" activeCell="G4" sqref="G4"/>
    </sheetView>
  </sheetViews>
  <sheetFormatPr defaultColWidth="9" defaultRowHeight="14.4" x14ac:dyDescent="0.3"/>
  <cols>
    <col min="1" max="1" width="17.5546875" style="14" customWidth="1"/>
    <col min="2" max="2" width="19.6640625" style="14" customWidth="1"/>
    <col min="3" max="3" width="21.6640625" style="14" customWidth="1"/>
    <col min="4" max="4" width="21.6640625" style="14" hidden="1" customWidth="1"/>
    <col min="5" max="5" width="19.6640625" style="14" customWidth="1"/>
    <col min="6" max="6" width="59.6640625" style="14" customWidth="1"/>
    <col min="7" max="7" width="15.6640625" style="14" customWidth="1"/>
    <col min="8" max="8" width="20.6640625" style="14" customWidth="1"/>
    <col min="9" max="9" width="15.6640625" style="14" customWidth="1"/>
    <col min="10" max="10" width="20.6640625" style="14" customWidth="1"/>
    <col min="11" max="11" width="15.6640625" style="14" customWidth="1"/>
    <col min="12" max="12" width="20.6640625" style="14" customWidth="1"/>
    <col min="13" max="16384" width="9" style="14"/>
  </cols>
  <sheetData>
    <row r="1" spans="1:12" ht="50.1" customHeight="1" x14ac:dyDescent="0.3">
      <c r="A1" s="3" t="s">
        <v>77</v>
      </c>
      <c r="B1" s="3" t="s">
        <v>120</v>
      </c>
      <c r="C1" s="3" t="s">
        <v>200</v>
      </c>
      <c r="D1" s="3" t="s">
        <v>1221</v>
      </c>
      <c r="E1" s="3" t="s">
        <v>78</v>
      </c>
      <c r="F1" s="3" t="s">
        <v>201</v>
      </c>
      <c r="G1" s="3" t="str">
        <f>Scope!$B$4 &amp; " Response:"</f>
        <v>Client -server application hosted at the data center  Response:</v>
      </c>
      <c r="H1" s="3" t="str">
        <f>Scope!$B$4 &amp;" Comments:"</f>
        <v>Client -server application hosted at the data center  Comments:</v>
      </c>
      <c r="I1" s="3" t="str">
        <f>Scope!$D$4 &amp; " Response:"</f>
        <v xml:space="preserve"> Response:</v>
      </c>
      <c r="J1" s="3" t="str">
        <f>Scope!$D$4 &amp; " Comments:"</f>
        <v xml:space="preserve"> Comments:</v>
      </c>
      <c r="K1" s="3" t="str">
        <f>Scope!$F$4 &amp; " Response:"</f>
        <v xml:space="preserve"> Response:</v>
      </c>
      <c r="L1" s="3" t="str">
        <f>Scope!$F$4 &amp; " Comments:"</f>
        <v xml:space="preserve"> Comments:</v>
      </c>
    </row>
    <row r="2" spans="1:12" ht="15.6" x14ac:dyDescent="0.3">
      <c r="A2" s="294" t="s">
        <v>556</v>
      </c>
      <c r="B2" s="294"/>
      <c r="C2" s="294"/>
      <c r="D2" s="294"/>
      <c r="E2" s="294"/>
      <c r="F2" s="294"/>
      <c r="G2" s="294"/>
      <c r="H2" s="294"/>
      <c r="I2" s="294"/>
      <c r="J2" s="294"/>
      <c r="K2" s="294"/>
      <c r="L2" s="294"/>
    </row>
    <row r="3" spans="1:12" ht="24" customHeight="1" x14ac:dyDescent="0.3">
      <c r="A3" s="183" t="s">
        <v>557</v>
      </c>
      <c r="B3" s="279" t="s">
        <v>558</v>
      </c>
      <c r="C3" s="280"/>
      <c r="D3" s="282" t="s">
        <v>1253</v>
      </c>
      <c r="E3" s="281" t="s">
        <v>559</v>
      </c>
      <c r="F3" s="38" t="s">
        <v>560</v>
      </c>
      <c r="G3" s="35"/>
      <c r="H3" s="203" t="s">
        <v>1347</v>
      </c>
      <c r="I3" s="35"/>
      <c r="J3" s="203" t="s">
        <v>1347</v>
      </c>
      <c r="K3" s="35"/>
      <c r="L3" s="203" t="s">
        <v>1347</v>
      </c>
    </row>
    <row r="4" spans="1:12" ht="22.8" x14ac:dyDescent="0.3">
      <c r="A4" s="183" t="s">
        <v>561</v>
      </c>
      <c r="B4" s="279"/>
      <c r="C4" s="280"/>
      <c r="D4" s="283"/>
      <c r="E4" s="281"/>
      <c r="F4" s="185" t="s">
        <v>562</v>
      </c>
      <c r="G4" s="35"/>
      <c r="H4" s="203" t="s">
        <v>1347</v>
      </c>
      <c r="I4" s="35"/>
      <c r="J4" s="203" t="s">
        <v>1347</v>
      </c>
      <c r="K4" s="35"/>
      <c r="L4" s="203" t="s">
        <v>1347</v>
      </c>
    </row>
    <row r="5" spans="1:12" ht="45.6" x14ac:dyDescent="0.3">
      <c r="A5" s="183" t="s">
        <v>563</v>
      </c>
      <c r="B5" s="215" t="s">
        <v>564</v>
      </c>
      <c r="C5" s="185" t="s">
        <v>565</v>
      </c>
      <c r="D5" s="183" t="s">
        <v>1254</v>
      </c>
      <c r="E5" s="183" t="s">
        <v>566</v>
      </c>
      <c r="F5" s="36" t="s">
        <v>567</v>
      </c>
      <c r="G5" s="35"/>
      <c r="H5" s="203" t="s">
        <v>1347</v>
      </c>
      <c r="I5" s="35"/>
      <c r="J5" s="203" t="s">
        <v>1347</v>
      </c>
      <c r="K5" s="35"/>
      <c r="L5" s="203" t="s">
        <v>1347</v>
      </c>
    </row>
    <row r="6" spans="1:12" ht="34.200000000000003" x14ac:dyDescent="0.3">
      <c r="A6" s="183" t="s">
        <v>568</v>
      </c>
      <c r="B6" s="213" t="s">
        <v>569</v>
      </c>
      <c r="C6" s="185" t="s">
        <v>570</v>
      </c>
      <c r="D6" s="183" t="s">
        <v>1255</v>
      </c>
      <c r="E6" s="183" t="s">
        <v>571</v>
      </c>
      <c r="F6" s="36" t="s">
        <v>572</v>
      </c>
      <c r="G6" s="35"/>
      <c r="H6" s="203" t="s">
        <v>1347</v>
      </c>
      <c r="I6" s="35"/>
      <c r="J6" s="203" t="s">
        <v>1347</v>
      </c>
      <c r="K6" s="35"/>
      <c r="L6" s="203" t="s">
        <v>1347</v>
      </c>
    </row>
    <row r="7" spans="1:12" ht="22.8" x14ac:dyDescent="0.3">
      <c r="A7" s="183" t="s">
        <v>573</v>
      </c>
      <c r="B7" s="293" t="s">
        <v>574</v>
      </c>
      <c r="C7" s="280" t="s">
        <v>565</v>
      </c>
      <c r="D7" s="282" t="s">
        <v>1256</v>
      </c>
      <c r="E7" s="281" t="s">
        <v>575</v>
      </c>
      <c r="F7" s="36" t="s">
        <v>576</v>
      </c>
      <c r="G7" s="35"/>
      <c r="H7" s="203" t="s">
        <v>1347</v>
      </c>
      <c r="I7" s="35"/>
      <c r="J7" s="203" t="s">
        <v>1347</v>
      </c>
      <c r="K7" s="35"/>
      <c r="L7" s="203" t="s">
        <v>1347</v>
      </c>
    </row>
    <row r="8" spans="1:12" x14ac:dyDescent="0.3">
      <c r="A8" s="183" t="s">
        <v>577</v>
      </c>
      <c r="B8" s="293"/>
      <c r="C8" s="280"/>
      <c r="D8" s="290"/>
      <c r="E8" s="281"/>
      <c r="F8" s="36" t="s">
        <v>578</v>
      </c>
      <c r="G8" s="35"/>
      <c r="H8" s="203" t="s">
        <v>1347</v>
      </c>
      <c r="I8" s="35"/>
      <c r="J8" s="203" t="s">
        <v>1347</v>
      </c>
      <c r="K8" s="35"/>
      <c r="L8" s="203" t="s">
        <v>1347</v>
      </c>
    </row>
    <row r="9" spans="1:12" ht="22.8" x14ac:dyDescent="0.3">
      <c r="A9" s="183" t="s">
        <v>579</v>
      </c>
      <c r="B9" s="293"/>
      <c r="C9" s="280"/>
      <c r="D9" s="283"/>
      <c r="E9" s="281"/>
      <c r="F9" s="36" t="s">
        <v>580</v>
      </c>
      <c r="G9" s="35"/>
      <c r="H9" s="203" t="s">
        <v>1347</v>
      </c>
      <c r="I9" s="35"/>
      <c r="J9" s="203" t="s">
        <v>1347</v>
      </c>
      <c r="K9" s="35"/>
      <c r="L9" s="203" t="s">
        <v>1347</v>
      </c>
    </row>
    <row r="10" spans="1:12" ht="22.8" x14ac:dyDescent="0.3">
      <c r="A10" s="183" t="s">
        <v>581</v>
      </c>
      <c r="B10" s="293" t="s">
        <v>582</v>
      </c>
      <c r="C10" s="280" t="s">
        <v>583</v>
      </c>
      <c r="D10" s="282" t="s">
        <v>1257</v>
      </c>
      <c r="E10" s="281" t="s">
        <v>584</v>
      </c>
      <c r="F10" s="36" t="s">
        <v>585</v>
      </c>
      <c r="G10" s="35"/>
      <c r="H10" s="203" t="s">
        <v>1347</v>
      </c>
      <c r="I10" s="35"/>
      <c r="J10" s="203" t="s">
        <v>1347</v>
      </c>
      <c r="K10" s="35"/>
      <c r="L10" s="203" t="s">
        <v>1347</v>
      </c>
    </row>
    <row r="11" spans="1:12" ht="114" x14ac:dyDescent="0.3">
      <c r="A11" s="183" t="s">
        <v>586</v>
      </c>
      <c r="B11" s="293"/>
      <c r="C11" s="280"/>
      <c r="D11" s="290"/>
      <c r="E11" s="281"/>
      <c r="F11" s="38" t="s">
        <v>1335</v>
      </c>
      <c r="G11" s="35"/>
      <c r="H11" s="203" t="s">
        <v>1347</v>
      </c>
      <c r="I11" s="35"/>
      <c r="J11" s="203" t="s">
        <v>1347</v>
      </c>
      <c r="K11" s="35"/>
      <c r="L11" s="203" t="s">
        <v>1347</v>
      </c>
    </row>
    <row r="12" spans="1:12" ht="22.8" x14ac:dyDescent="0.3">
      <c r="A12" s="183" t="s">
        <v>587</v>
      </c>
      <c r="B12" s="293"/>
      <c r="C12" s="280"/>
      <c r="D12" s="290"/>
      <c r="E12" s="281"/>
      <c r="F12" s="36" t="s">
        <v>588</v>
      </c>
      <c r="G12" s="35"/>
      <c r="H12" s="203" t="s">
        <v>1347</v>
      </c>
      <c r="I12" s="35"/>
      <c r="J12" s="203" t="s">
        <v>1347</v>
      </c>
      <c r="K12" s="35"/>
      <c r="L12" s="203" t="s">
        <v>1347</v>
      </c>
    </row>
    <row r="13" spans="1:12" ht="22.8" x14ac:dyDescent="0.3">
      <c r="A13" s="183" t="s">
        <v>589</v>
      </c>
      <c r="B13" s="293"/>
      <c r="C13" s="280"/>
      <c r="D13" s="290"/>
      <c r="E13" s="281"/>
      <c r="F13" s="36" t="s">
        <v>590</v>
      </c>
      <c r="G13" s="35"/>
      <c r="H13" s="203" t="s">
        <v>1347</v>
      </c>
      <c r="I13" s="35"/>
      <c r="J13" s="203" t="s">
        <v>1347</v>
      </c>
      <c r="K13" s="35"/>
      <c r="L13" s="203" t="s">
        <v>1347</v>
      </c>
    </row>
    <row r="14" spans="1:12" ht="22.8" x14ac:dyDescent="0.3">
      <c r="A14" s="183" t="s">
        <v>591</v>
      </c>
      <c r="B14" s="293"/>
      <c r="C14" s="280"/>
      <c r="D14" s="290"/>
      <c r="E14" s="281"/>
      <c r="F14" s="36" t="s">
        <v>592</v>
      </c>
      <c r="G14" s="35"/>
      <c r="H14" s="203" t="s">
        <v>1347</v>
      </c>
      <c r="I14" s="35"/>
      <c r="J14" s="203" t="s">
        <v>1347</v>
      </c>
      <c r="K14" s="35"/>
      <c r="L14" s="203" t="s">
        <v>1347</v>
      </c>
    </row>
    <row r="15" spans="1:12" ht="22.8" x14ac:dyDescent="0.3">
      <c r="A15" s="183" t="s">
        <v>593</v>
      </c>
      <c r="B15" s="293"/>
      <c r="C15" s="280"/>
      <c r="D15" s="290"/>
      <c r="E15" s="281"/>
      <c r="F15" s="36" t="s">
        <v>594</v>
      </c>
      <c r="G15" s="35"/>
      <c r="H15" s="203" t="s">
        <v>1347</v>
      </c>
      <c r="I15" s="35"/>
      <c r="J15" s="203" t="s">
        <v>1347</v>
      </c>
      <c r="K15" s="35"/>
      <c r="L15" s="203" t="s">
        <v>1347</v>
      </c>
    </row>
    <row r="16" spans="1:12" ht="22.8" x14ac:dyDescent="0.3">
      <c r="A16" s="183" t="s">
        <v>595</v>
      </c>
      <c r="B16" s="293"/>
      <c r="C16" s="280"/>
      <c r="D16" s="290"/>
      <c r="E16" s="281"/>
      <c r="F16" s="36" t="s">
        <v>596</v>
      </c>
      <c r="G16" s="35"/>
      <c r="H16" s="203" t="s">
        <v>1347</v>
      </c>
      <c r="I16" s="35"/>
      <c r="J16" s="203" t="s">
        <v>1347</v>
      </c>
      <c r="K16" s="35"/>
      <c r="L16" s="203" t="s">
        <v>1347</v>
      </c>
    </row>
    <row r="17" spans="1:12" ht="22.8" x14ac:dyDescent="0.3">
      <c r="A17" s="183" t="s">
        <v>597</v>
      </c>
      <c r="B17" s="293"/>
      <c r="C17" s="280"/>
      <c r="D17" s="290"/>
      <c r="E17" s="281"/>
      <c r="F17" s="36" t="s">
        <v>598</v>
      </c>
      <c r="G17" s="35"/>
      <c r="H17" s="203" t="s">
        <v>1347</v>
      </c>
      <c r="I17" s="35"/>
      <c r="J17" s="203" t="s">
        <v>1347</v>
      </c>
      <c r="K17" s="35"/>
      <c r="L17" s="203" t="s">
        <v>1347</v>
      </c>
    </row>
    <row r="18" spans="1:12" x14ac:dyDescent="0.3">
      <c r="A18" s="183" t="s">
        <v>599</v>
      </c>
      <c r="B18" s="293"/>
      <c r="C18" s="280"/>
      <c r="D18" s="283"/>
      <c r="E18" s="281"/>
      <c r="F18" s="36" t="s">
        <v>600</v>
      </c>
      <c r="G18" s="35"/>
      <c r="H18" s="203" t="s">
        <v>1347</v>
      </c>
      <c r="I18" s="35"/>
      <c r="J18" s="203" t="s">
        <v>1347</v>
      </c>
      <c r="K18" s="35"/>
      <c r="L18" s="203" t="s">
        <v>1347</v>
      </c>
    </row>
    <row r="19" spans="1:12" ht="22.8" x14ac:dyDescent="0.3">
      <c r="A19" s="183" t="s">
        <v>601</v>
      </c>
      <c r="B19" s="215" t="s">
        <v>602</v>
      </c>
      <c r="C19" s="185" t="s">
        <v>583</v>
      </c>
      <c r="D19" s="183" t="s">
        <v>1258</v>
      </c>
      <c r="E19" s="183" t="s">
        <v>603</v>
      </c>
      <c r="F19" s="36" t="s">
        <v>604</v>
      </c>
      <c r="G19" s="35"/>
      <c r="H19" s="203" t="s">
        <v>1347</v>
      </c>
      <c r="I19" s="35"/>
      <c r="J19" s="203" t="s">
        <v>1347</v>
      </c>
      <c r="K19" s="35"/>
      <c r="L19" s="203" t="s">
        <v>1347</v>
      </c>
    </row>
    <row r="20" spans="1:12" ht="34.200000000000003" x14ac:dyDescent="0.3">
      <c r="A20" s="183" t="s">
        <v>605</v>
      </c>
      <c r="B20" s="215" t="s">
        <v>606</v>
      </c>
      <c r="C20" s="185" t="s">
        <v>583</v>
      </c>
      <c r="D20" s="183" t="s">
        <v>1259</v>
      </c>
      <c r="E20" s="183" t="s">
        <v>607</v>
      </c>
      <c r="F20" s="36" t="s">
        <v>608</v>
      </c>
      <c r="G20" s="35"/>
      <c r="H20" s="203" t="s">
        <v>1347</v>
      </c>
      <c r="I20" s="35"/>
      <c r="J20" s="203" t="s">
        <v>1347</v>
      </c>
      <c r="K20" s="35"/>
      <c r="L20" s="203" t="s">
        <v>1347</v>
      </c>
    </row>
    <row r="21" spans="1:12" ht="34.200000000000003" x14ac:dyDescent="0.3">
      <c r="A21" s="183" t="s">
        <v>609</v>
      </c>
      <c r="B21" s="215" t="s">
        <v>610</v>
      </c>
      <c r="C21" s="185"/>
      <c r="D21" s="183"/>
      <c r="E21" s="183" t="s">
        <v>611</v>
      </c>
      <c r="F21" s="36" t="s">
        <v>612</v>
      </c>
      <c r="G21" s="35"/>
      <c r="H21" s="203" t="s">
        <v>1347</v>
      </c>
      <c r="I21" s="35"/>
      <c r="J21" s="203" t="s">
        <v>1347</v>
      </c>
      <c r="K21" s="35"/>
      <c r="L21" s="203" t="s">
        <v>1347</v>
      </c>
    </row>
  </sheetData>
  <sheetProtection algorithmName="SHA-512" hashValue="4D1XHha8Crn62fAQswB7H14kPMCseT9D6UVJsYmlduxkqsQDe6ydkZ4Go5G/Ijagn9G+enS1zJP8tlUSpsD5vw==" saltValue="a57eMqnIZJZfIZjyhsWgFA==" spinCount="100000" sheet="1" selectLockedCells="1"/>
  <mergeCells count="13">
    <mergeCell ref="A2:L2"/>
    <mergeCell ref="B3:B4"/>
    <mergeCell ref="C3:C4"/>
    <mergeCell ref="D3:D4"/>
    <mergeCell ref="E3:E4"/>
    <mergeCell ref="B7:B9"/>
    <mergeCell ref="C7:C9"/>
    <mergeCell ref="D7:D9"/>
    <mergeCell ref="E7:E9"/>
    <mergeCell ref="B10:B18"/>
    <mergeCell ref="C10:C18"/>
    <mergeCell ref="D10:D18"/>
    <mergeCell ref="E10:E18"/>
  </mergeCells>
  <conditionalFormatting sqref="L4:L21 J4:J21 H4:H21">
    <cfRule type="expression" dxfId="71" priority="7">
      <formula>NOT(H4="Comment is required")</formula>
    </cfRule>
    <cfRule type="expression" dxfId="70" priority="8">
      <formula>AND(OR(G4="N/A",G4="Partial"),H4="Comment is required")</formula>
    </cfRule>
  </conditionalFormatting>
  <conditionalFormatting sqref="L3 J3 H3">
    <cfRule type="expression" dxfId="69" priority="2">
      <formula>NOT(H3="Comment is required")</formula>
    </cfRule>
    <cfRule type="expression" dxfId="68" priority="3">
      <formula>AND(OR(G3="N/A",G3="Partial"),H3="Comment is required")</formula>
    </cfRule>
  </conditionalFormatting>
  <conditionalFormatting sqref="L3 J3 H3">
    <cfRule type="expression" dxfId="67" priority="1">
      <formula>G3="No"</formula>
    </cfRule>
  </conditionalFormatting>
  <dataValidations count="2">
    <dataValidation type="list" showInputMessage="1" showErrorMessage="1" sqref="I3:I21 G3:G21 K3:K21" xr:uid="{00000000-0002-0000-1000-000000000000}">
      <formula1>"Yes, No, Partial, N/A"</formula1>
    </dataValidation>
    <dataValidation showInputMessage="1" showErrorMessage="1" sqref="H3:H21 J3:J21 L3:L21" xr:uid="{00000000-0002-0000-1000-000001000000}"/>
  </dataValidations>
  <hyperlinks>
    <hyperlink ref="B3:B4" r:id="rId1" display="IA-1" xr:uid="{00000000-0004-0000-1000-000000000000}"/>
    <hyperlink ref="B5" r:id="rId2" xr:uid="{00000000-0004-0000-1000-000001000000}"/>
    <hyperlink ref="B6" r:id="rId3" xr:uid="{00000000-0004-0000-1000-000002000000}"/>
    <hyperlink ref="B7:B9" r:id="rId4" display="IA-4" xr:uid="{00000000-0004-0000-1000-000003000000}"/>
    <hyperlink ref="B10:B18" r:id="rId5" display="IA-5" xr:uid="{00000000-0004-0000-1000-000004000000}"/>
    <hyperlink ref="B19" r:id="rId6" xr:uid="{00000000-0004-0000-1000-000005000000}"/>
    <hyperlink ref="B20" r:id="rId7" xr:uid="{00000000-0004-0000-1000-000006000000}"/>
    <hyperlink ref="B21" r:id="rId8" xr:uid="{00000000-0004-0000-1000-000007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14"/>
  <sheetViews>
    <sheetView showGridLines="0" zoomScaleNormal="100" workbookViewId="0">
      <pane xSplit="2" ySplit="2" topLeftCell="C3" activePane="bottomRight" state="frozen"/>
      <selection activeCell="D19" sqref="D19:D22"/>
      <selection pane="topRight" activeCell="D19" sqref="D19:D22"/>
      <selection pane="bottomLeft" activeCell="D19" sqref="D19:D22"/>
      <selection pane="bottomRight" activeCell="G3" sqref="G3"/>
    </sheetView>
  </sheetViews>
  <sheetFormatPr defaultColWidth="9" defaultRowHeight="14.4" x14ac:dyDescent="0.3"/>
  <cols>
    <col min="1" max="1" width="17.5546875" style="14" customWidth="1"/>
    <col min="2" max="2" width="17.6640625" style="14" bestFit="1" customWidth="1"/>
    <col min="3" max="3" width="18.44140625" style="14" bestFit="1" customWidth="1"/>
    <col min="4" max="4" width="18.44140625" style="14" hidden="1" customWidth="1"/>
    <col min="5" max="5" width="23.109375" style="14" bestFit="1" customWidth="1"/>
    <col min="6" max="6" width="50" style="14" customWidth="1"/>
    <col min="7" max="7" width="15.6640625" style="14" customWidth="1"/>
    <col min="8" max="8" width="20.6640625" style="14" customWidth="1"/>
    <col min="9" max="9" width="15.6640625" style="14" customWidth="1"/>
    <col min="10" max="10" width="20.6640625" style="14" customWidth="1"/>
    <col min="11" max="11" width="15.6640625" style="14" customWidth="1"/>
    <col min="12" max="12" width="20.6640625" style="14" customWidth="1"/>
    <col min="13" max="16384" width="9" style="14"/>
  </cols>
  <sheetData>
    <row r="1" spans="1:12" ht="50.1" customHeight="1" x14ac:dyDescent="0.3">
      <c r="A1" s="3" t="s">
        <v>77</v>
      </c>
      <c r="B1" s="3" t="s">
        <v>120</v>
      </c>
      <c r="C1" s="3" t="s">
        <v>200</v>
      </c>
      <c r="D1" s="3" t="s">
        <v>1221</v>
      </c>
      <c r="E1" s="3" t="s">
        <v>78</v>
      </c>
      <c r="F1" s="3" t="s">
        <v>201</v>
      </c>
      <c r="G1" s="3" t="str">
        <f>Scope!$B$4 &amp; " Response:"</f>
        <v>Client -server application hosted at the data center  Response:</v>
      </c>
      <c r="H1" s="3" t="str">
        <f>Scope!$B$4 &amp;" Comments:"</f>
        <v>Client -server application hosted at the data center  Comments:</v>
      </c>
      <c r="I1" s="3" t="str">
        <f>Scope!$D$4 &amp; " Response:"</f>
        <v xml:space="preserve"> Response:</v>
      </c>
      <c r="J1" s="3" t="str">
        <f>Scope!$D$4 &amp; " Comments:"</f>
        <v xml:space="preserve"> Comments:</v>
      </c>
      <c r="K1" s="3" t="str">
        <f>Scope!$F$4 &amp; " Response:"</f>
        <v xml:space="preserve"> Response:</v>
      </c>
      <c r="L1" s="3" t="str">
        <f>Scope!$F$4 &amp; " Comments:"</f>
        <v xml:space="preserve"> Comments:</v>
      </c>
    </row>
    <row r="2" spans="1:12" ht="15.6" x14ac:dyDescent="0.3">
      <c r="A2" s="294" t="s">
        <v>613</v>
      </c>
      <c r="B2" s="294"/>
      <c r="C2" s="294"/>
      <c r="D2" s="294"/>
      <c r="E2" s="294"/>
      <c r="F2" s="294"/>
      <c r="G2" s="294"/>
      <c r="H2" s="294"/>
      <c r="I2" s="294"/>
      <c r="J2" s="294"/>
      <c r="K2" s="294"/>
      <c r="L2" s="294"/>
    </row>
    <row r="3" spans="1:12" ht="68.400000000000006" x14ac:dyDescent="0.3">
      <c r="A3" s="183" t="s">
        <v>614</v>
      </c>
      <c r="B3" s="213" t="s">
        <v>615</v>
      </c>
      <c r="C3" s="41" t="s">
        <v>616</v>
      </c>
      <c r="D3" s="183" t="s">
        <v>1240</v>
      </c>
      <c r="E3" s="183" t="s">
        <v>617</v>
      </c>
      <c r="F3" s="185" t="s">
        <v>618</v>
      </c>
      <c r="G3" s="35"/>
      <c r="H3" s="203" t="s">
        <v>1347</v>
      </c>
      <c r="I3" s="35"/>
      <c r="J3" s="203" t="s">
        <v>1347</v>
      </c>
      <c r="K3" s="35"/>
      <c r="L3" s="203" t="s">
        <v>1347</v>
      </c>
    </row>
    <row r="4" spans="1:12" x14ac:dyDescent="0.3">
      <c r="A4" s="183" t="s">
        <v>619</v>
      </c>
      <c r="B4" s="293" t="s">
        <v>620</v>
      </c>
      <c r="C4" s="296" t="s">
        <v>616</v>
      </c>
      <c r="D4" s="282" t="s">
        <v>1252</v>
      </c>
      <c r="E4" s="281" t="s">
        <v>621</v>
      </c>
      <c r="F4" s="36" t="s">
        <v>622</v>
      </c>
      <c r="G4" s="35"/>
      <c r="H4" s="203" t="s">
        <v>1347</v>
      </c>
      <c r="I4" s="35"/>
      <c r="J4" s="203" t="s">
        <v>1347</v>
      </c>
      <c r="K4" s="35"/>
      <c r="L4" s="203" t="s">
        <v>1347</v>
      </c>
    </row>
    <row r="5" spans="1:12" ht="22.8" x14ac:dyDescent="0.3">
      <c r="A5" s="183" t="s">
        <v>623</v>
      </c>
      <c r="B5" s="293"/>
      <c r="C5" s="296"/>
      <c r="D5" s="283"/>
      <c r="E5" s="281"/>
      <c r="F5" s="36" t="s">
        <v>624</v>
      </c>
      <c r="G5" s="35"/>
      <c r="H5" s="203" t="s">
        <v>1347</v>
      </c>
      <c r="I5" s="35"/>
      <c r="J5" s="203" t="s">
        <v>1347</v>
      </c>
      <c r="K5" s="35"/>
      <c r="L5" s="203" t="s">
        <v>1347</v>
      </c>
    </row>
    <row r="6" spans="1:12" x14ac:dyDescent="0.3">
      <c r="A6" s="183" t="s">
        <v>625</v>
      </c>
      <c r="B6" s="293" t="s">
        <v>626</v>
      </c>
      <c r="C6" s="296" t="s">
        <v>616</v>
      </c>
      <c r="D6" s="297"/>
      <c r="E6" s="281" t="s">
        <v>627</v>
      </c>
      <c r="F6" s="36" t="s">
        <v>628</v>
      </c>
      <c r="G6" s="35"/>
      <c r="H6" s="203" t="s">
        <v>1347</v>
      </c>
      <c r="I6" s="35"/>
      <c r="J6" s="203" t="s">
        <v>1347</v>
      </c>
      <c r="K6" s="35"/>
      <c r="L6" s="203" t="s">
        <v>1347</v>
      </c>
    </row>
    <row r="7" spans="1:12" x14ac:dyDescent="0.3">
      <c r="A7" s="183" t="s">
        <v>629</v>
      </c>
      <c r="B7" s="293"/>
      <c r="C7" s="296"/>
      <c r="D7" s="298"/>
      <c r="E7" s="281"/>
      <c r="F7" s="36" t="s">
        <v>630</v>
      </c>
      <c r="G7" s="35"/>
      <c r="H7" s="203" t="s">
        <v>1347</v>
      </c>
      <c r="I7" s="35"/>
      <c r="J7" s="203" t="s">
        <v>1347</v>
      </c>
      <c r="K7" s="35"/>
      <c r="L7" s="203" t="s">
        <v>1347</v>
      </c>
    </row>
    <row r="8" spans="1:12" x14ac:dyDescent="0.3">
      <c r="A8" s="183" t="s">
        <v>631</v>
      </c>
      <c r="B8" s="293" t="s">
        <v>632</v>
      </c>
      <c r="C8" s="296" t="s">
        <v>633</v>
      </c>
      <c r="D8" s="282" t="s">
        <v>1260</v>
      </c>
      <c r="E8" s="281" t="s">
        <v>634</v>
      </c>
      <c r="F8" s="36" t="s">
        <v>635</v>
      </c>
      <c r="G8" s="35"/>
      <c r="H8" s="203" t="s">
        <v>1347</v>
      </c>
      <c r="I8" s="35"/>
      <c r="J8" s="203" t="s">
        <v>1347</v>
      </c>
      <c r="K8" s="35"/>
      <c r="L8" s="203" t="s">
        <v>1347</v>
      </c>
    </row>
    <row r="9" spans="1:12" ht="22.8" x14ac:dyDescent="0.3">
      <c r="A9" s="183" t="s">
        <v>636</v>
      </c>
      <c r="B9" s="293"/>
      <c r="C9" s="296"/>
      <c r="D9" s="283"/>
      <c r="E9" s="281"/>
      <c r="F9" s="36" t="s">
        <v>637</v>
      </c>
      <c r="G9" s="35"/>
      <c r="H9" s="203" t="s">
        <v>1347</v>
      </c>
      <c r="I9" s="35"/>
      <c r="J9" s="203" t="s">
        <v>1347</v>
      </c>
      <c r="K9" s="35"/>
      <c r="L9" s="203" t="s">
        <v>1347</v>
      </c>
    </row>
    <row r="10" spans="1:12" ht="34.200000000000003" x14ac:dyDescent="0.3">
      <c r="A10" s="183" t="s">
        <v>638</v>
      </c>
      <c r="B10" s="213" t="s">
        <v>639</v>
      </c>
      <c r="C10" s="187" t="s">
        <v>640</v>
      </c>
      <c r="D10" s="183"/>
      <c r="E10" s="183" t="s">
        <v>641</v>
      </c>
      <c r="F10" s="36" t="s">
        <v>642</v>
      </c>
      <c r="G10" s="35"/>
      <c r="H10" s="203" t="s">
        <v>1347</v>
      </c>
      <c r="I10" s="35"/>
      <c r="J10" s="203" t="s">
        <v>1347</v>
      </c>
      <c r="K10" s="35"/>
      <c r="L10" s="203" t="s">
        <v>1347</v>
      </c>
    </row>
    <row r="11" spans="1:12" ht="45.6" x14ac:dyDescent="0.3">
      <c r="A11" s="183" t="s">
        <v>643</v>
      </c>
      <c r="B11" s="213" t="s">
        <v>644</v>
      </c>
      <c r="C11" s="187" t="s">
        <v>645</v>
      </c>
      <c r="D11" s="183" t="s">
        <v>1261</v>
      </c>
      <c r="E11" s="183" t="s">
        <v>646</v>
      </c>
      <c r="F11" s="36" t="s">
        <v>647</v>
      </c>
      <c r="G11" s="35"/>
      <c r="H11" s="203" t="s">
        <v>1347</v>
      </c>
      <c r="I11" s="35"/>
      <c r="J11" s="203" t="s">
        <v>1347</v>
      </c>
      <c r="K11" s="35"/>
      <c r="L11" s="203" t="s">
        <v>1347</v>
      </c>
    </row>
    <row r="12" spans="1:12" ht="22.8" x14ac:dyDescent="0.3">
      <c r="A12" s="183" t="s">
        <v>648</v>
      </c>
      <c r="B12" s="213" t="s">
        <v>649</v>
      </c>
      <c r="C12" s="187" t="s">
        <v>650</v>
      </c>
      <c r="D12" s="183" t="s">
        <v>1261</v>
      </c>
      <c r="E12" s="183" t="s">
        <v>651</v>
      </c>
      <c r="F12" s="36" t="s">
        <v>652</v>
      </c>
      <c r="G12" s="35"/>
      <c r="H12" s="203" t="s">
        <v>1347</v>
      </c>
      <c r="I12" s="35"/>
      <c r="J12" s="203" t="s">
        <v>1347</v>
      </c>
      <c r="K12" s="35"/>
      <c r="L12" s="203" t="s">
        <v>1347</v>
      </c>
    </row>
    <row r="13" spans="1:12" ht="22.8" x14ac:dyDescent="0.3">
      <c r="A13" s="183" t="s">
        <v>653</v>
      </c>
      <c r="B13" s="213" t="s">
        <v>654</v>
      </c>
      <c r="C13" s="187"/>
      <c r="D13" s="183"/>
      <c r="E13" s="183" t="s">
        <v>655</v>
      </c>
      <c r="F13" s="36" t="s">
        <v>656</v>
      </c>
      <c r="G13" s="35"/>
      <c r="H13" s="203" t="s">
        <v>1347</v>
      </c>
      <c r="I13" s="35"/>
      <c r="J13" s="203" t="s">
        <v>1347</v>
      </c>
      <c r="K13" s="35"/>
      <c r="L13" s="203" t="s">
        <v>1347</v>
      </c>
    </row>
    <row r="14" spans="1:12" ht="22.8" x14ac:dyDescent="0.3">
      <c r="A14" s="183" t="s">
        <v>657</v>
      </c>
      <c r="B14" s="213" t="s">
        <v>658</v>
      </c>
      <c r="C14" s="187"/>
      <c r="D14" s="183"/>
      <c r="E14" s="183" t="s">
        <v>659</v>
      </c>
      <c r="F14" s="38" t="s">
        <v>660</v>
      </c>
      <c r="G14" s="35"/>
      <c r="H14" s="203" t="s">
        <v>1347</v>
      </c>
      <c r="I14" s="35"/>
      <c r="J14" s="203" t="s">
        <v>1347</v>
      </c>
      <c r="K14" s="35"/>
      <c r="L14" s="203" t="s">
        <v>1347</v>
      </c>
    </row>
  </sheetData>
  <sheetProtection algorithmName="SHA-512" hashValue="VCnjWofY3tlF4l0IiDdWd3kzH+hq15FLhxcU3CuNuWAatkbSW97U8olLFnTejnKVa47l0qXqKTU5m3GY5qoGWw==" saltValue="E25n/MxBmGVibgzotmnU5A==" spinCount="100000" sheet="1" selectLockedCells="1"/>
  <mergeCells count="13">
    <mergeCell ref="A2:L2"/>
    <mergeCell ref="B4:B5"/>
    <mergeCell ref="C4:C5"/>
    <mergeCell ref="D4:D5"/>
    <mergeCell ref="E4:E5"/>
    <mergeCell ref="B6:B7"/>
    <mergeCell ref="C6:C7"/>
    <mergeCell ref="D6:D7"/>
    <mergeCell ref="E6:E7"/>
    <mergeCell ref="B8:B9"/>
    <mergeCell ref="C8:C9"/>
    <mergeCell ref="D8:D9"/>
    <mergeCell ref="E8:E9"/>
  </mergeCells>
  <conditionalFormatting sqref="F3">
    <cfRule type="expression" dxfId="66" priority="13">
      <formula>NOT(OR(G2="Yes",G2=""))</formula>
    </cfRule>
  </conditionalFormatting>
  <conditionalFormatting sqref="J3:J14 L3:L14 H3:H14">
    <cfRule type="expression" dxfId="65" priority="10">
      <formula>NOT(H3="Comment is required")</formula>
    </cfRule>
    <cfRule type="expression" dxfId="64" priority="11">
      <formula>AND(OR(G3="N/A",G3="Partial"),H3="Comment is required")</formula>
    </cfRule>
  </conditionalFormatting>
  <dataValidations count="2">
    <dataValidation type="list" showInputMessage="1" showErrorMessage="1" sqref="I3:I14 G3:G14 K3:K14" xr:uid="{00000000-0002-0000-1100-000000000000}">
      <formula1>"Yes, No, Partial, N/A"</formula1>
    </dataValidation>
    <dataValidation showInputMessage="1" showErrorMessage="1" sqref="L3:L14 J3:J14 H3:H14" xr:uid="{00000000-0002-0000-1100-000001000000}"/>
  </dataValidations>
  <hyperlinks>
    <hyperlink ref="B3" r:id="rId1" xr:uid="{00000000-0004-0000-1100-000000000000}"/>
    <hyperlink ref="B4:B5" r:id="rId2" display="IR-2" xr:uid="{00000000-0004-0000-1100-000001000000}"/>
    <hyperlink ref="B6:B7" r:id="rId3" display="IR-3" xr:uid="{00000000-0004-0000-1100-000002000000}"/>
    <hyperlink ref="B8:B9" r:id="rId4" display="IR-4" xr:uid="{00000000-0004-0000-1100-000003000000}"/>
    <hyperlink ref="B10" r:id="rId5" xr:uid="{00000000-0004-0000-1100-000004000000}"/>
    <hyperlink ref="B11" r:id="rId6" xr:uid="{00000000-0004-0000-1100-000005000000}"/>
    <hyperlink ref="B12" r:id="rId7" xr:uid="{00000000-0004-0000-1100-000006000000}"/>
    <hyperlink ref="B13" r:id="rId8" xr:uid="{00000000-0004-0000-1100-000007000000}"/>
    <hyperlink ref="B14" r:id="rId9" xr:uid="{00000000-0004-0000-1100-000008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19"/>
  <sheetViews>
    <sheetView showGridLines="0" zoomScaleNormal="100" workbookViewId="0">
      <pane xSplit="2" ySplit="2" topLeftCell="C3" activePane="bottomRight" state="frozen"/>
      <selection activeCell="D19" sqref="D19:D22"/>
      <selection pane="topRight" activeCell="D19" sqref="D19:D22"/>
      <selection pane="bottomLeft" activeCell="D19" sqref="D19:D22"/>
      <selection pane="bottomRight" activeCell="G3" sqref="G3"/>
    </sheetView>
  </sheetViews>
  <sheetFormatPr defaultColWidth="9" defaultRowHeight="14.4" x14ac:dyDescent="0.3"/>
  <cols>
    <col min="1" max="2" width="17.5546875" style="14" customWidth="1"/>
    <col min="3" max="3" width="16.109375" style="14" customWidth="1"/>
    <col min="4" max="4" width="20.6640625" style="14" hidden="1" customWidth="1"/>
    <col min="5" max="5" width="26.33203125" style="14" bestFit="1" customWidth="1"/>
    <col min="6" max="6" width="58.88671875" style="14" customWidth="1"/>
    <col min="7" max="7" width="15.6640625" style="14" customWidth="1"/>
    <col min="8" max="8" width="20.6640625" style="14" customWidth="1"/>
    <col min="9" max="9" width="15.6640625" style="14" customWidth="1"/>
    <col min="10" max="10" width="20.6640625" style="14" customWidth="1"/>
    <col min="11" max="11" width="15.6640625" style="14" customWidth="1"/>
    <col min="12" max="12" width="20.6640625" style="14" customWidth="1"/>
    <col min="13" max="16384" width="9" style="14"/>
  </cols>
  <sheetData>
    <row r="1" spans="1:12" ht="50.1" customHeight="1" x14ac:dyDescent="0.3">
      <c r="A1" s="3" t="s">
        <v>77</v>
      </c>
      <c r="B1" s="3" t="s">
        <v>120</v>
      </c>
      <c r="C1" s="3" t="s">
        <v>200</v>
      </c>
      <c r="D1" s="3" t="s">
        <v>1221</v>
      </c>
      <c r="E1" s="3" t="s">
        <v>78</v>
      </c>
      <c r="F1" s="3" t="s">
        <v>201</v>
      </c>
      <c r="G1" s="3" t="str">
        <f>Scope!$B$4 &amp; " Response:"</f>
        <v>Client -server application hosted at the data center  Response:</v>
      </c>
      <c r="H1" s="3" t="str">
        <f>Scope!$B$4 &amp;" Comments:"</f>
        <v>Client -server application hosted at the data center  Comments:</v>
      </c>
      <c r="I1" s="3" t="str">
        <f>Scope!$D$4 &amp; " Response:"</f>
        <v xml:space="preserve"> Response:</v>
      </c>
      <c r="J1" s="3" t="str">
        <f>Scope!$D$4 &amp; " Comments:"</f>
        <v xml:space="preserve"> Comments:</v>
      </c>
      <c r="K1" s="3" t="str">
        <f>Scope!$F$4 &amp; " Response:"</f>
        <v xml:space="preserve"> Response:</v>
      </c>
      <c r="L1" s="3" t="str">
        <f>Scope!$F$4 &amp; " Comments:"</f>
        <v xml:space="preserve"> Comments:</v>
      </c>
    </row>
    <row r="2" spans="1:12" ht="15.6" x14ac:dyDescent="0.3">
      <c r="A2" s="294" t="s">
        <v>661</v>
      </c>
      <c r="B2" s="294"/>
      <c r="C2" s="294"/>
      <c r="D2" s="294"/>
      <c r="E2" s="294"/>
      <c r="F2" s="294"/>
      <c r="G2" s="294"/>
      <c r="H2" s="294"/>
      <c r="I2" s="294"/>
      <c r="J2" s="294"/>
      <c r="K2" s="294"/>
      <c r="L2" s="294"/>
    </row>
    <row r="3" spans="1:12" ht="68.400000000000006" x14ac:dyDescent="0.3">
      <c r="A3" s="183" t="s">
        <v>662</v>
      </c>
      <c r="B3" s="215" t="s">
        <v>663</v>
      </c>
      <c r="C3" s="185" t="s">
        <v>664</v>
      </c>
      <c r="D3" s="183" t="s">
        <v>1240</v>
      </c>
      <c r="E3" s="183" t="s">
        <v>665</v>
      </c>
      <c r="F3" s="185" t="s">
        <v>666</v>
      </c>
      <c r="G3" s="35"/>
      <c r="H3" s="201" t="s">
        <v>1347</v>
      </c>
      <c r="I3" s="35"/>
      <c r="J3" s="201" t="s">
        <v>1347</v>
      </c>
      <c r="K3" s="35"/>
      <c r="L3" s="201" t="s">
        <v>1347</v>
      </c>
    </row>
    <row r="4" spans="1:12" ht="22.8" x14ac:dyDescent="0.3">
      <c r="A4" s="188" t="s">
        <v>667</v>
      </c>
      <c r="B4" s="299" t="s">
        <v>1351</v>
      </c>
      <c r="C4" s="280" t="s">
        <v>664</v>
      </c>
      <c r="D4" s="302" t="s">
        <v>1262</v>
      </c>
      <c r="E4" s="301" t="s">
        <v>668</v>
      </c>
      <c r="F4" s="36" t="s">
        <v>669</v>
      </c>
      <c r="G4" s="35"/>
      <c r="H4" s="201" t="s">
        <v>1347</v>
      </c>
      <c r="I4" s="35"/>
      <c r="J4" s="201" t="s">
        <v>1347</v>
      </c>
      <c r="K4" s="35"/>
      <c r="L4" s="201" t="s">
        <v>1347</v>
      </c>
    </row>
    <row r="5" spans="1:12" x14ac:dyDescent="0.3">
      <c r="A5" s="188" t="s">
        <v>670</v>
      </c>
      <c r="B5" s="299"/>
      <c r="C5" s="300"/>
      <c r="D5" s="303"/>
      <c r="E5" s="301"/>
      <c r="F5" s="36" t="s">
        <v>671</v>
      </c>
      <c r="G5" s="35"/>
      <c r="H5" s="201" t="s">
        <v>1347</v>
      </c>
      <c r="I5" s="35"/>
      <c r="J5" s="201" t="s">
        <v>1347</v>
      </c>
      <c r="K5" s="35"/>
      <c r="L5" s="201" t="s">
        <v>1347</v>
      </c>
    </row>
    <row r="6" spans="1:12" ht="22.8" x14ac:dyDescent="0.3">
      <c r="A6" s="188" t="s">
        <v>672</v>
      </c>
      <c r="B6" s="299"/>
      <c r="C6" s="300"/>
      <c r="D6" s="303"/>
      <c r="E6" s="301"/>
      <c r="F6" s="36" t="s">
        <v>673</v>
      </c>
      <c r="G6" s="35"/>
      <c r="H6" s="201" t="s">
        <v>1347</v>
      </c>
      <c r="I6" s="35"/>
      <c r="J6" s="201" t="s">
        <v>1347</v>
      </c>
      <c r="K6" s="35"/>
      <c r="L6" s="201" t="s">
        <v>1347</v>
      </c>
    </row>
    <row r="7" spans="1:12" ht="34.200000000000003" x14ac:dyDescent="0.3">
      <c r="A7" s="188" t="s">
        <v>674</v>
      </c>
      <c r="B7" s="299"/>
      <c r="C7" s="300"/>
      <c r="D7" s="303"/>
      <c r="E7" s="301"/>
      <c r="F7" s="36" t="s">
        <v>675</v>
      </c>
      <c r="G7" s="35"/>
      <c r="H7" s="201" t="s">
        <v>1347</v>
      </c>
      <c r="I7" s="35"/>
      <c r="J7" s="201" t="s">
        <v>1347</v>
      </c>
      <c r="K7" s="35"/>
      <c r="L7" s="201" t="s">
        <v>1347</v>
      </c>
    </row>
    <row r="8" spans="1:12" ht="45.6" x14ac:dyDescent="0.3">
      <c r="A8" s="188" t="s">
        <v>676</v>
      </c>
      <c r="B8" s="299"/>
      <c r="C8" s="300"/>
      <c r="D8" s="304"/>
      <c r="E8" s="301"/>
      <c r="F8" s="36" t="s">
        <v>677</v>
      </c>
      <c r="G8" s="35"/>
      <c r="H8" s="201" t="s">
        <v>1347</v>
      </c>
      <c r="I8" s="35"/>
      <c r="J8" s="201" t="s">
        <v>1347</v>
      </c>
      <c r="K8" s="35"/>
      <c r="L8" s="201" t="s">
        <v>1347</v>
      </c>
    </row>
    <row r="9" spans="1:12" ht="22.8" x14ac:dyDescent="0.3">
      <c r="A9" s="183" t="s">
        <v>678</v>
      </c>
      <c r="B9" s="215" t="s">
        <v>679</v>
      </c>
      <c r="C9" s="185"/>
      <c r="D9" s="183"/>
      <c r="E9" s="183" t="s">
        <v>680</v>
      </c>
      <c r="F9" s="38" t="s">
        <v>681</v>
      </c>
      <c r="G9" s="35"/>
      <c r="H9" s="201" t="s">
        <v>1347</v>
      </c>
      <c r="I9" s="35"/>
      <c r="J9" s="201" t="s">
        <v>1347</v>
      </c>
      <c r="K9" s="35"/>
      <c r="L9" s="201" t="s">
        <v>1347</v>
      </c>
    </row>
    <row r="10" spans="1:12" ht="34.200000000000003" x14ac:dyDescent="0.3">
      <c r="A10" s="183" t="s">
        <v>682</v>
      </c>
      <c r="B10" s="293" t="s">
        <v>683</v>
      </c>
      <c r="C10" s="280"/>
      <c r="D10" s="282" t="s">
        <v>1262</v>
      </c>
      <c r="E10" s="281" t="s">
        <v>684</v>
      </c>
      <c r="F10" s="36" t="s">
        <v>685</v>
      </c>
      <c r="G10" s="35"/>
      <c r="H10" s="201" t="s">
        <v>1347</v>
      </c>
      <c r="I10" s="35"/>
      <c r="J10" s="201" t="s">
        <v>1347</v>
      </c>
      <c r="K10" s="35"/>
      <c r="L10" s="201" t="s">
        <v>1347</v>
      </c>
    </row>
    <row r="11" spans="1:12" ht="22.8" x14ac:dyDescent="0.3">
      <c r="A11" s="183" t="s">
        <v>686</v>
      </c>
      <c r="B11" s="293"/>
      <c r="C11" s="280"/>
      <c r="D11" s="290"/>
      <c r="E11" s="281"/>
      <c r="F11" s="38" t="s">
        <v>687</v>
      </c>
      <c r="G11" s="35"/>
      <c r="H11" s="201" t="s">
        <v>1347</v>
      </c>
      <c r="I11" s="35"/>
      <c r="J11" s="201" t="s">
        <v>1347</v>
      </c>
      <c r="K11" s="35"/>
      <c r="L11" s="201" t="s">
        <v>1347</v>
      </c>
    </row>
    <row r="12" spans="1:12" ht="22.8" x14ac:dyDescent="0.3">
      <c r="A12" s="183" t="s">
        <v>688</v>
      </c>
      <c r="B12" s="293"/>
      <c r="C12" s="280"/>
      <c r="D12" s="290"/>
      <c r="E12" s="281"/>
      <c r="F12" s="38" t="s">
        <v>689</v>
      </c>
      <c r="G12" s="35"/>
      <c r="H12" s="201" t="s">
        <v>1347</v>
      </c>
      <c r="I12" s="35"/>
      <c r="J12" s="201" t="s">
        <v>1347</v>
      </c>
      <c r="K12" s="35"/>
      <c r="L12" s="201" t="s">
        <v>1347</v>
      </c>
    </row>
    <row r="13" spans="1:12" x14ac:dyDescent="0.3">
      <c r="A13" s="183" t="s">
        <v>690</v>
      </c>
      <c r="B13" s="293"/>
      <c r="C13" s="280"/>
      <c r="D13" s="290"/>
      <c r="E13" s="281"/>
      <c r="F13" s="38" t="s">
        <v>691</v>
      </c>
      <c r="G13" s="35"/>
      <c r="H13" s="201" t="s">
        <v>1347</v>
      </c>
      <c r="I13" s="35"/>
      <c r="J13" s="201" t="s">
        <v>1347</v>
      </c>
      <c r="K13" s="35"/>
      <c r="L13" s="201" t="s">
        <v>1347</v>
      </c>
    </row>
    <row r="14" spans="1:12" ht="22.8" x14ac:dyDescent="0.3">
      <c r="A14" s="183" t="s">
        <v>692</v>
      </c>
      <c r="B14" s="293"/>
      <c r="C14" s="280"/>
      <c r="D14" s="283"/>
      <c r="E14" s="281"/>
      <c r="F14" s="38" t="s">
        <v>693</v>
      </c>
      <c r="G14" s="35"/>
      <c r="H14" s="201" t="s">
        <v>1347</v>
      </c>
      <c r="I14" s="35"/>
      <c r="J14" s="201" t="s">
        <v>1347</v>
      </c>
      <c r="K14" s="35"/>
      <c r="L14" s="201" t="s">
        <v>1347</v>
      </c>
    </row>
    <row r="15" spans="1:12" x14ac:dyDescent="0.3">
      <c r="A15" s="188" t="s">
        <v>694</v>
      </c>
      <c r="B15" s="299" t="s">
        <v>1352</v>
      </c>
      <c r="C15" s="280" t="s">
        <v>695</v>
      </c>
      <c r="D15" s="281"/>
      <c r="E15" s="301" t="s">
        <v>696</v>
      </c>
      <c r="F15" s="36" t="s">
        <v>697</v>
      </c>
      <c r="G15" s="35"/>
      <c r="H15" s="201" t="s">
        <v>1347</v>
      </c>
      <c r="I15" s="35"/>
      <c r="J15" s="201" t="s">
        <v>1347</v>
      </c>
      <c r="K15" s="35"/>
      <c r="L15" s="201" t="s">
        <v>1347</v>
      </c>
    </row>
    <row r="16" spans="1:12" ht="22.8" x14ac:dyDescent="0.3">
      <c r="A16" s="188" t="s">
        <v>698</v>
      </c>
      <c r="B16" s="299"/>
      <c r="C16" s="300"/>
      <c r="D16" s="281"/>
      <c r="E16" s="301"/>
      <c r="F16" s="36" t="s">
        <v>699</v>
      </c>
      <c r="G16" s="35"/>
      <c r="H16" s="201" t="s">
        <v>1347</v>
      </c>
      <c r="I16" s="35"/>
      <c r="J16" s="201" t="s">
        <v>1347</v>
      </c>
      <c r="K16" s="35"/>
      <c r="L16" s="201" t="s">
        <v>1347</v>
      </c>
    </row>
    <row r="17" spans="1:12" ht="34.200000000000003" x14ac:dyDescent="0.3">
      <c r="A17" s="188" t="s">
        <v>700</v>
      </c>
      <c r="B17" s="299"/>
      <c r="C17" s="300"/>
      <c r="D17" s="281"/>
      <c r="E17" s="301"/>
      <c r="F17" s="36" t="s">
        <v>701</v>
      </c>
      <c r="G17" s="35"/>
      <c r="H17" s="201" t="s">
        <v>1347</v>
      </c>
      <c r="I17" s="35"/>
      <c r="J17" s="201" t="s">
        <v>1347</v>
      </c>
      <c r="K17" s="35"/>
      <c r="L17" s="201" t="s">
        <v>1347</v>
      </c>
    </row>
    <row r="18" spans="1:12" ht="45.6" x14ac:dyDescent="0.3">
      <c r="A18" s="183" t="s">
        <v>702</v>
      </c>
      <c r="B18" s="215" t="s">
        <v>703</v>
      </c>
      <c r="C18" s="185" t="s">
        <v>664</v>
      </c>
      <c r="D18" s="183"/>
      <c r="E18" s="183" t="s">
        <v>704</v>
      </c>
      <c r="F18" s="40" t="s">
        <v>705</v>
      </c>
      <c r="G18" s="35"/>
      <c r="H18" s="201" t="s">
        <v>1347</v>
      </c>
      <c r="I18" s="35"/>
      <c r="J18" s="201" t="s">
        <v>1347</v>
      </c>
      <c r="K18" s="35"/>
      <c r="L18" s="201" t="s">
        <v>1347</v>
      </c>
    </row>
    <row r="19" spans="1:12" x14ac:dyDescent="0.3">
      <c r="D19" s="184"/>
    </row>
  </sheetData>
  <sheetProtection algorithmName="SHA-512" hashValue="ruVwV/OTcZ6rNk3dqJRhbfeg57VuBsASWRPY8Ql0P0gnXfqh/tvqb1rdyYcOBJtc5ZWW3mLWfXbtvYfiMTnnZA==" saltValue="g5qIXey+T9UKoY9cSQcuow==" spinCount="100000" sheet="1" selectLockedCells="1"/>
  <mergeCells count="13">
    <mergeCell ref="A2:L2"/>
    <mergeCell ref="B4:B8"/>
    <mergeCell ref="C4:C8"/>
    <mergeCell ref="D4:D8"/>
    <mergeCell ref="E4:E8"/>
    <mergeCell ref="B10:B14"/>
    <mergeCell ref="C10:C14"/>
    <mergeCell ref="D10:D14"/>
    <mergeCell ref="E10:E14"/>
    <mergeCell ref="B15:B17"/>
    <mergeCell ref="C15:C17"/>
    <mergeCell ref="D15:D17"/>
    <mergeCell ref="E15:E17"/>
  </mergeCells>
  <conditionalFormatting sqref="L3:L18 J3:J18 H3:H18">
    <cfRule type="expression" dxfId="63" priority="1">
      <formula>NOT(H3="Comment is required")</formula>
    </cfRule>
    <cfRule type="expression" dxfId="62" priority="2">
      <formula>AND(OR(G3="N/A",G3="Partial"),H3="Comment is required")</formula>
    </cfRule>
  </conditionalFormatting>
  <dataValidations count="2">
    <dataValidation type="list" showInputMessage="1" showErrorMessage="1" sqref="I3:I18 G3:G18 K3:K18" xr:uid="{00000000-0002-0000-1200-000000000000}">
      <formula1>"Yes, No, Partial, N/A"</formula1>
    </dataValidation>
    <dataValidation showInputMessage="1" showErrorMessage="1" sqref="H3:H18 J3:J18 L3:L18" xr:uid="{00000000-0002-0000-1200-000001000000}"/>
  </dataValidations>
  <hyperlinks>
    <hyperlink ref="B3" r:id="rId1" xr:uid="{00000000-0004-0000-1200-000000000000}"/>
    <hyperlink ref="B4:B8" r:id="rId2" display="MA-2" xr:uid="{00000000-0004-0000-1200-000001000000}"/>
    <hyperlink ref="B9" r:id="rId3" xr:uid="{00000000-0004-0000-1200-000002000000}"/>
    <hyperlink ref="B10:B14" r:id="rId4" display="MA-4" xr:uid="{00000000-0004-0000-1200-000003000000}"/>
    <hyperlink ref="B15:B17" r:id="rId5" display="MA-5" xr:uid="{00000000-0004-0000-1200-000004000000}"/>
    <hyperlink ref="B18" r:id="rId6" xr:uid="{00000000-0004-0000-1200-000005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L12"/>
  <sheetViews>
    <sheetView showGridLines="0" zoomScaleNormal="100" workbookViewId="0">
      <pane xSplit="2" ySplit="2" topLeftCell="C3" activePane="bottomRight" state="frozen"/>
      <selection activeCell="D19" sqref="D19:D22"/>
      <selection pane="topRight" activeCell="D19" sqref="D19:D22"/>
      <selection pane="bottomLeft" activeCell="D19" sqref="D19:D22"/>
      <selection pane="bottomRight" activeCell="G3" sqref="G3"/>
    </sheetView>
  </sheetViews>
  <sheetFormatPr defaultColWidth="9" defaultRowHeight="14.4" x14ac:dyDescent="0.3"/>
  <cols>
    <col min="1" max="1" width="17.5546875" style="14" customWidth="1"/>
    <col min="2" max="2" width="18.5546875" style="14" customWidth="1"/>
    <col min="3" max="3" width="18.88671875" style="14" customWidth="1"/>
    <col min="4" max="4" width="18.88671875" style="14" hidden="1" customWidth="1"/>
    <col min="5" max="5" width="25.109375" style="14" customWidth="1"/>
    <col min="6" max="6" width="52.6640625" style="14" customWidth="1"/>
    <col min="7" max="7" width="15.6640625" style="14" customWidth="1"/>
    <col min="8" max="8" width="20.6640625" style="14" customWidth="1"/>
    <col min="9" max="9" width="15.6640625" style="14" customWidth="1"/>
    <col min="10" max="10" width="20.6640625" style="14" customWidth="1"/>
    <col min="11" max="11" width="15.6640625" style="14" customWidth="1"/>
    <col min="12" max="12" width="20.6640625" style="14" customWidth="1"/>
    <col min="13" max="16384" width="9" style="14"/>
  </cols>
  <sheetData>
    <row r="1" spans="1:12" ht="50.1" customHeight="1" x14ac:dyDescent="0.3">
      <c r="A1" s="3" t="s">
        <v>77</v>
      </c>
      <c r="B1" s="3" t="s">
        <v>120</v>
      </c>
      <c r="C1" s="3" t="s">
        <v>200</v>
      </c>
      <c r="D1" s="3" t="s">
        <v>1221</v>
      </c>
      <c r="E1" s="3" t="s">
        <v>78</v>
      </c>
      <c r="F1" s="3" t="s">
        <v>201</v>
      </c>
      <c r="G1" s="3" t="str">
        <f>Scope!$B$4 &amp; " Response:"</f>
        <v>Client -server application hosted at the data center  Response:</v>
      </c>
      <c r="H1" s="3" t="str">
        <f>Scope!$B$4 &amp;" Comments:"</f>
        <v>Client -server application hosted at the data center  Comments:</v>
      </c>
      <c r="I1" s="3" t="str">
        <f>Scope!$D$4 &amp; " Response:"</f>
        <v xml:space="preserve"> Response:</v>
      </c>
      <c r="J1" s="3" t="str">
        <f>Scope!$D$4 &amp; " Comments:"</f>
        <v xml:space="preserve"> Comments:</v>
      </c>
      <c r="K1" s="3" t="str">
        <f>Scope!$F$4 &amp; " Response:"</f>
        <v xml:space="preserve"> Response:</v>
      </c>
      <c r="L1" s="3" t="str">
        <f>Scope!$F$4 &amp; " Comments:"</f>
        <v xml:space="preserve"> Comments:</v>
      </c>
    </row>
    <row r="2" spans="1:12" ht="15.6" x14ac:dyDescent="0.3">
      <c r="A2" s="294" t="s">
        <v>706</v>
      </c>
      <c r="B2" s="294"/>
      <c r="C2" s="294"/>
      <c r="D2" s="294"/>
      <c r="E2" s="294"/>
      <c r="F2" s="294"/>
      <c r="G2" s="294"/>
      <c r="H2" s="294"/>
      <c r="I2" s="294"/>
      <c r="J2" s="294"/>
      <c r="K2" s="294"/>
      <c r="L2" s="294"/>
    </row>
    <row r="3" spans="1:12" ht="22.8" x14ac:dyDescent="0.3">
      <c r="A3" s="183" t="s">
        <v>707</v>
      </c>
      <c r="B3" s="215" t="s">
        <v>708</v>
      </c>
      <c r="C3" s="185" t="s">
        <v>709</v>
      </c>
      <c r="D3" s="282" t="s">
        <v>1263</v>
      </c>
      <c r="E3" s="183" t="s">
        <v>706</v>
      </c>
      <c r="F3" s="185" t="s">
        <v>1120</v>
      </c>
      <c r="G3" s="35"/>
      <c r="H3" s="201" t="s">
        <v>1347</v>
      </c>
      <c r="I3" s="35"/>
      <c r="J3" s="201" t="s">
        <v>1347</v>
      </c>
      <c r="K3" s="35"/>
      <c r="L3" s="201" t="s">
        <v>1347</v>
      </c>
    </row>
    <row r="4" spans="1:12" ht="22.8" x14ac:dyDescent="0.3">
      <c r="A4" s="183" t="s">
        <v>710</v>
      </c>
      <c r="B4" s="215" t="s">
        <v>708</v>
      </c>
      <c r="C4" s="185" t="s">
        <v>709</v>
      </c>
      <c r="D4" s="283"/>
      <c r="E4" s="183" t="s">
        <v>711</v>
      </c>
      <c r="F4" s="185" t="s">
        <v>712</v>
      </c>
      <c r="G4" s="35"/>
      <c r="H4" s="201" t="s">
        <v>1347</v>
      </c>
      <c r="I4" s="35"/>
      <c r="J4" s="201" t="s">
        <v>1347</v>
      </c>
      <c r="K4" s="35"/>
      <c r="L4" s="201" t="s">
        <v>1347</v>
      </c>
    </row>
    <row r="5" spans="1:12" ht="57" x14ac:dyDescent="0.3">
      <c r="A5" s="183" t="s">
        <v>713</v>
      </c>
      <c r="B5" s="215" t="s">
        <v>714</v>
      </c>
      <c r="C5" s="185" t="s">
        <v>715</v>
      </c>
      <c r="D5" s="183"/>
      <c r="E5" s="183" t="s">
        <v>716</v>
      </c>
      <c r="F5" s="36" t="s">
        <v>717</v>
      </c>
      <c r="G5" s="35"/>
      <c r="H5" s="201" t="s">
        <v>1347</v>
      </c>
      <c r="I5" s="35"/>
      <c r="J5" s="201" t="s">
        <v>1347</v>
      </c>
      <c r="K5" s="35"/>
      <c r="L5" s="201" t="s">
        <v>1347</v>
      </c>
    </row>
    <row r="6" spans="1:12" ht="45.6" x14ac:dyDescent="0.3">
      <c r="A6" s="183" t="s">
        <v>718</v>
      </c>
      <c r="B6" s="213" t="s">
        <v>719</v>
      </c>
      <c r="C6" s="185" t="s">
        <v>720</v>
      </c>
      <c r="D6" s="183"/>
      <c r="E6" s="183" t="s">
        <v>721</v>
      </c>
      <c r="F6" s="36" t="s">
        <v>722</v>
      </c>
      <c r="G6" s="35"/>
      <c r="H6" s="201" t="s">
        <v>1347</v>
      </c>
      <c r="I6" s="35"/>
      <c r="J6" s="201" t="s">
        <v>1347</v>
      </c>
      <c r="K6" s="35"/>
      <c r="L6" s="201" t="s">
        <v>1347</v>
      </c>
    </row>
    <row r="7" spans="1:12" ht="45.6" x14ac:dyDescent="0.3">
      <c r="A7" s="183" t="s">
        <v>723</v>
      </c>
      <c r="B7" s="213" t="s">
        <v>724</v>
      </c>
      <c r="C7" s="185" t="s">
        <v>725</v>
      </c>
      <c r="D7" s="183"/>
      <c r="E7" s="183" t="s">
        <v>726</v>
      </c>
      <c r="F7" s="36" t="s">
        <v>727</v>
      </c>
      <c r="G7" s="35"/>
      <c r="H7" s="201" t="s">
        <v>1347</v>
      </c>
      <c r="I7" s="35"/>
      <c r="J7" s="201" t="s">
        <v>1347</v>
      </c>
      <c r="K7" s="35"/>
      <c r="L7" s="201" t="s">
        <v>1347</v>
      </c>
    </row>
    <row r="8" spans="1:12" ht="22.8" x14ac:dyDescent="0.3">
      <c r="A8" s="188" t="s">
        <v>728</v>
      </c>
      <c r="B8" s="305" t="s">
        <v>729</v>
      </c>
      <c r="C8" s="280" t="s">
        <v>730</v>
      </c>
      <c r="D8" s="281"/>
      <c r="E8" s="306" t="s">
        <v>731</v>
      </c>
      <c r="F8" s="36" t="s">
        <v>732</v>
      </c>
      <c r="G8" s="35"/>
      <c r="H8" s="201" t="s">
        <v>1347</v>
      </c>
      <c r="I8" s="35"/>
      <c r="J8" s="201" t="s">
        <v>1347</v>
      </c>
      <c r="K8" s="35"/>
      <c r="L8" s="201" t="s">
        <v>1347</v>
      </c>
    </row>
    <row r="9" spans="1:12" ht="34.200000000000003" x14ac:dyDescent="0.3">
      <c r="A9" s="188" t="s">
        <v>733</v>
      </c>
      <c r="B9" s="305"/>
      <c r="C9" s="300"/>
      <c r="D9" s="281"/>
      <c r="E9" s="306"/>
      <c r="F9" s="38" t="s">
        <v>734</v>
      </c>
      <c r="G9" s="35"/>
      <c r="H9" s="201" t="s">
        <v>1347</v>
      </c>
      <c r="I9" s="35"/>
      <c r="J9" s="201" t="s">
        <v>1347</v>
      </c>
      <c r="K9" s="35"/>
      <c r="L9" s="201" t="s">
        <v>1347</v>
      </c>
    </row>
    <row r="10" spans="1:12" ht="45.6" x14ac:dyDescent="0.3">
      <c r="A10" s="183" t="s">
        <v>735</v>
      </c>
      <c r="B10" s="215" t="s">
        <v>736</v>
      </c>
      <c r="C10" s="185" t="s">
        <v>737</v>
      </c>
      <c r="D10" s="183"/>
      <c r="E10" s="183" t="s">
        <v>738</v>
      </c>
      <c r="F10" s="36" t="s">
        <v>739</v>
      </c>
      <c r="G10" s="35"/>
      <c r="H10" s="201" t="s">
        <v>1347</v>
      </c>
      <c r="I10" s="35"/>
      <c r="J10" s="201" t="s">
        <v>1347</v>
      </c>
      <c r="K10" s="35"/>
      <c r="L10" s="201" t="s">
        <v>1347</v>
      </c>
    </row>
    <row r="11" spans="1:12" ht="34.200000000000003" x14ac:dyDescent="0.3">
      <c r="A11" s="183" t="s">
        <v>740</v>
      </c>
      <c r="B11" s="279" t="s">
        <v>741</v>
      </c>
      <c r="C11" s="280"/>
      <c r="D11" s="281"/>
      <c r="E11" s="281" t="s">
        <v>742</v>
      </c>
      <c r="F11" s="185" t="s">
        <v>743</v>
      </c>
      <c r="G11" s="35"/>
      <c r="H11" s="201" t="s">
        <v>1347</v>
      </c>
      <c r="I11" s="35"/>
      <c r="J11" s="201" t="s">
        <v>1347</v>
      </c>
      <c r="K11" s="35"/>
      <c r="L11" s="201" t="s">
        <v>1347</v>
      </c>
    </row>
    <row r="12" spans="1:12" ht="34.200000000000003" x14ac:dyDescent="0.3">
      <c r="A12" s="183" t="s">
        <v>744</v>
      </c>
      <c r="B12" s="279"/>
      <c r="C12" s="280"/>
      <c r="D12" s="281"/>
      <c r="E12" s="281"/>
      <c r="F12" s="185" t="s">
        <v>745</v>
      </c>
      <c r="G12" s="35"/>
      <c r="H12" s="201" t="s">
        <v>1347</v>
      </c>
      <c r="I12" s="35"/>
      <c r="J12" s="201" t="s">
        <v>1347</v>
      </c>
      <c r="K12" s="35"/>
      <c r="L12" s="201" t="s">
        <v>1347</v>
      </c>
    </row>
  </sheetData>
  <sheetProtection algorithmName="SHA-512" hashValue="FFNVBg6w+WblheakFUlyj+HVfv74cVblWYV4Q8HznOohaTzQdQlMDQXWFGRtrMQrC8bCTHNCOMIA57xPLWFtxQ==" saltValue="F+9Q9178SOsPf2mIGuql7Q==" spinCount="100000" sheet="1" selectLockedCells="1"/>
  <mergeCells count="10">
    <mergeCell ref="B11:B12"/>
    <mergeCell ref="C11:C12"/>
    <mergeCell ref="D11:D12"/>
    <mergeCell ref="E11:E12"/>
    <mergeCell ref="A2:L2"/>
    <mergeCell ref="D3:D4"/>
    <mergeCell ref="B8:B9"/>
    <mergeCell ref="C8:C9"/>
    <mergeCell ref="D8:D9"/>
    <mergeCell ref="E8:E9"/>
  </mergeCells>
  <conditionalFormatting sqref="L3:L12 J3:J12 H3:H12">
    <cfRule type="expression" dxfId="61" priority="1">
      <formula>NOT(H3="Comment is required")</formula>
    </cfRule>
    <cfRule type="expression" dxfId="60" priority="2">
      <formula>AND(OR(G3="N/A",G3="Partial"),H3="Comment is required")</formula>
    </cfRule>
  </conditionalFormatting>
  <dataValidations count="2">
    <dataValidation type="list" showInputMessage="1" showErrorMessage="1" sqref="I3:I12 G3:G12 K3:K12" xr:uid="{00000000-0002-0000-1300-000000000000}">
      <formula1>"Yes, No, Partial, N/A"</formula1>
    </dataValidation>
    <dataValidation showInputMessage="1" showErrorMessage="1" sqref="H3:H12 J3:J12 L3:L12" xr:uid="{00000000-0002-0000-1300-000001000000}"/>
  </dataValidations>
  <hyperlinks>
    <hyperlink ref="B3:B4" r:id="rId1" display="MP-1" xr:uid="{00000000-0004-0000-1300-000000000000}"/>
    <hyperlink ref="B5" r:id="rId2" xr:uid="{00000000-0004-0000-1300-000001000000}"/>
    <hyperlink ref="B6" r:id="rId3" xr:uid="{00000000-0004-0000-1300-000002000000}"/>
    <hyperlink ref="B7" r:id="rId4" xr:uid="{00000000-0004-0000-1300-000003000000}"/>
    <hyperlink ref="B8:B9" r:id="rId5" display="MP-5" xr:uid="{00000000-0004-0000-1300-000004000000}"/>
    <hyperlink ref="B10" r:id="rId6" xr:uid="{00000000-0004-0000-1300-000005000000}"/>
    <hyperlink ref="B11:B12" r:id="rId7" display="MP-7" xr:uid="{00000000-0004-0000-1300-000006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L29"/>
  <sheetViews>
    <sheetView showGridLines="0" zoomScaleNormal="100" workbookViewId="0">
      <pane xSplit="2" ySplit="2" topLeftCell="C3" activePane="bottomRight" state="frozen"/>
      <selection activeCell="D19" sqref="D19:D22"/>
      <selection pane="topRight" activeCell="D19" sqref="D19:D22"/>
      <selection pane="bottomLeft" activeCell="D19" sqref="D19:D22"/>
      <selection pane="bottomRight" activeCell="K3" sqref="K3:K29"/>
    </sheetView>
  </sheetViews>
  <sheetFormatPr defaultColWidth="9" defaultRowHeight="14.4" x14ac:dyDescent="0.3"/>
  <cols>
    <col min="1" max="1" width="17.5546875" style="14" customWidth="1"/>
    <col min="2" max="2" width="17.6640625" style="14" bestFit="1" customWidth="1"/>
    <col min="3" max="3" width="18.44140625" style="14" bestFit="1" customWidth="1"/>
    <col min="4" max="4" width="18.44140625" style="14" hidden="1" customWidth="1"/>
    <col min="5" max="5" width="22.6640625" style="14" bestFit="1" customWidth="1"/>
    <col min="6" max="6" width="56" style="14" customWidth="1"/>
    <col min="7" max="7" width="15.6640625" style="14" customWidth="1"/>
    <col min="8" max="8" width="20.6640625" style="14" customWidth="1"/>
    <col min="9" max="9" width="15.6640625" style="14" customWidth="1"/>
    <col min="10" max="10" width="20.6640625" style="14" customWidth="1"/>
    <col min="11" max="11" width="15.6640625" style="14" customWidth="1"/>
    <col min="12" max="12" width="20.6640625" style="14" customWidth="1"/>
    <col min="13" max="16384" width="9" style="14"/>
  </cols>
  <sheetData>
    <row r="1" spans="1:12" ht="50.1" customHeight="1" x14ac:dyDescent="0.3">
      <c r="A1" s="3" t="s">
        <v>77</v>
      </c>
      <c r="B1" s="3" t="s">
        <v>120</v>
      </c>
      <c r="C1" s="3" t="s">
        <v>200</v>
      </c>
      <c r="D1" s="3" t="s">
        <v>1221</v>
      </c>
      <c r="E1" s="3" t="s">
        <v>78</v>
      </c>
      <c r="F1" s="3" t="s">
        <v>201</v>
      </c>
      <c r="G1" s="3" t="str">
        <f>Scope!$B$4 &amp; " Response:"</f>
        <v>Client -server application hosted at the data center  Response:</v>
      </c>
      <c r="H1" s="3" t="str">
        <f>Scope!$B$4 &amp;" Comments:"</f>
        <v>Client -server application hosted at the data center  Comments:</v>
      </c>
      <c r="I1" s="3" t="str">
        <f>Scope!$D$4 &amp; " Response:"</f>
        <v xml:space="preserve"> Response:</v>
      </c>
      <c r="J1" s="3" t="str">
        <f>Scope!$D$4 &amp; " Comments:"</f>
        <v xml:space="preserve"> Comments:</v>
      </c>
      <c r="K1" s="3" t="str">
        <f>Scope!$F$4 &amp; " Response:"</f>
        <v xml:space="preserve"> Response:</v>
      </c>
      <c r="L1" s="3" t="str">
        <f>Scope!$F$4 &amp; " Comments:"</f>
        <v xml:space="preserve"> Comments:</v>
      </c>
    </row>
    <row r="2" spans="1:12" ht="15.6" x14ac:dyDescent="0.3">
      <c r="A2" s="294" t="s">
        <v>746</v>
      </c>
      <c r="B2" s="294"/>
      <c r="C2" s="294"/>
      <c r="D2" s="294"/>
      <c r="E2" s="294"/>
      <c r="F2" s="294"/>
      <c r="G2" s="294"/>
      <c r="H2" s="294"/>
      <c r="I2" s="294"/>
      <c r="J2" s="294"/>
      <c r="K2" s="294"/>
      <c r="L2" s="294"/>
    </row>
    <row r="3" spans="1:12" ht="68.400000000000006" x14ac:dyDescent="0.3">
      <c r="A3" s="183" t="s">
        <v>747</v>
      </c>
      <c r="B3" s="215" t="s">
        <v>748</v>
      </c>
      <c r="C3" s="185" t="s">
        <v>749</v>
      </c>
      <c r="D3" s="183" t="s">
        <v>1240</v>
      </c>
      <c r="E3" s="183" t="s">
        <v>750</v>
      </c>
      <c r="F3" s="37" t="s">
        <v>1303</v>
      </c>
      <c r="G3" s="35"/>
      <c r="H3" s="203" t="s">
        <v>1347</v>
      </c>
      <c r="I3" s="35"/>
      <c r="J3" s="203" t="s">
        <v>1347</v>
      </c>
      <c r="K3" s="35"/>
      <c r="L3" s="203" t="s">
        <v>1347</v>
      </c>
    </row>
    <row r="4" spans="1:12" ht="22.8" x14ac:dyDescent="0.3">
      <c r="A4" s="188" t="s">
        <v>751</v>
      </c>
      <c r="B4" s="299" t="s">
        <v>1353</v>
      </c>
      <c r="C4" s="280" t="s">
        <v>752</v>
      </c>
      <c r="D4" s="302" t="s">
        <v>1264</v>
      </c>
      <c r="E4" s="310" t="s">
        <v>753</v>
      </c>
      <c r="F4" s="36" t="s">
        <v>754</v>
      </c>
      <c r="G4" s="35"/>
      <c r="H4" s="201" t="s">
        <v>1347</v>
      </c>
      <c r="I4" s="35"/>
      <c r="J4" s="201" t="s">
        <v>1347</v>
      </c>
      <c r="K4" s="35"/>
      <c r="L4" s="201" t="s">
        <v>1347</v>
      </c>
    </row>
    <row r="5" spans="1:12" ht="22.8" x14ac:dyDescent="0.3">
      <c r="A5" s="188" t="s">
        <v>755</v>
      </c>
      <c r="B5" s="299"/>
      <c r="C5" s="300"/>
      <c r="D5" s="303"/>
      <c r="E5" s="310"/>
      <c r="F5" s="36" t="s">
        <v>756</v>
      </c>
      <c r="G5" s="35"/>
      <c r="H5" s="201" t="s">
        <v>1347</v>
      </c>
      <c r="I5" s="35"/>
      <c r="J5" s="201" t="s">
        <v>1347</v>
      </c>
      <c r="K5" s="35"/>
      <c r="L5" s="201" t="s">
        <v>1347</v>
      </c>
    </row>
    <row r="6" spans="1:12" x14ac:dyDescent="0.3">
      <c r="A6" s="188" t="s">
        <v>757</v>
      </c>
      <c r="B6" s="299"/>
      <c r="C6" s="300"/>
      <c r="D6" s="304"/>
      <c r="E6" s="310"/>
      <c r="F6" s="36" t="s">
        <v>758</v>
      </c>
      <c r="G6" s="35"/>
      <c r="H6" s="201" t="s">
        <v>1347</v>
      </c>
      <c r="I6" s="35"/>
      <c r="J6" s="201" t="s">
        <v>1347</v>
      </c>
      <c r="K6" s="35"/>
      <c r="L6" s="201" t="s">
        <v>1347</v>
      </c>
    </row>
    <row r="7" spans="1:12" ht="34.200000000000003" x14ac:dyDescent="0.3">
      <c r="A7" s="188" t="s">
        <v>759</v>
      </c>
      <c r="B7" s="299" t="s">
        <v>1354</v>
      </c>
      <c r="C7" s="280" t="s">
        <v>760</v>
      </c>
      <c r="D7" s="307"/>
      <c r="E7" s="301" t="s">
        <v>761</v>
      </c>
      <c r="F7" s="36" t="s">
        <v>762</v>
      </c>
      <c r="G7" s="35"/>
      <c r="H7" s="201" t="s">
        <v>1347</v>
      </c>
      <c r="I7" s="35"/>
      <c r="J7" s="201" t="s">
        <v>1347</v>
      </c>
      <c r="K7" s="35"/>
      <c r="L7" s="201" t="s">
        <v>1347</v>
      </c>
    </row>
    <row r="8" spans="1:12" ht="22.8" x14ac:dyDescent="0.3">
      <c r="A8" s="188" t="s">
        <v>763</v>
      </c>
      <c r="B8" s="299"/>
      <c r="C8" s="300"/>
      <c r="D8" s="309"/>
      <c r="E8" s="301"/>
      <c r="F8" s="36" t="s">
        <v>764</v>
      </c>
      <c r="G8" s="35"/>
      <c r="H8" s="201" t="s">
        <v>1347</v>
      </c>
      <c r="I8" s="35"/>
      <c r="J8" s="201" t="s">
        <v>1347</v>
      </c>
      <c r="K8" s="35"/>
      <c r="L8" s="201" t="s">
        <v>1347</v>
      </c>
    </row>
    <row r="9" spans="1:12" ht="34.200000000000003" x14ac:dyDescent="0.3">
      <c r="A9" s="188" t="s">
        <v>765</v>
      </c>
      <c r="B9" s="299"/>
      <c r="C9" s="300"/>
      <c r="D9" s="309"/>
      <c r="E9" s="301"/>
      <c r="F9" s="38" t="s">
        <v>766</v>
      </c>
      <c r="G9" s="35"/>
      <c r="H9" s="203" t="s">
        <v>1347</v>
      </c>
      <c r="I9" s="35"/>
      <c r="J9" s="203" t="s">
        <v>1347</v>
      </c>
      <c r="K9" s="35"/>
      <c r="L9" s="203" t="s">
        <v>1347</v>
      </c>
    </row>
    <row r="10" spans="1:12" x14ac:dyDescent="0.3">
      <c r="A10" s="188" t="s">
        <v>767</v>
      </c>
      <c r="B10" s="299"/>
      <c r="C10" s="300"/>
      <c r="D10" s="309"/>
      <c r="E10" s="301"/>
      <c r="F10" s="36" t="s">
        <v>768</v>
      </c>
      <c r="G10" s="35"/>
      <c r="H10" s="201" t="s">
        <v>1347</v>
      </c>
      <c r="I10" s="35"/>
      <c r="J10" s="201" t="s">
        <v>1347</v>
      </c>
      <c r="K10" s="35"/>
      <c r="L10" s="201" t="s">
        <v>1347</v>
      </c>
    </row>
    <row r="11" spans="1:12" x14ac:dyDescent="0.3">
      <c r="A11" s="188" t="s">
        <v>769</v>
      </c>
      <c r="B11" s="299"/>
      <c r="C11" s="300"/>
      <c r="D11" s="309"/>
      <c r="E11" s="301"/>
      <c r="F11" s="36" t="s">
        <v>770</v>
      </c>
      <c r="G11" s="35"/>
      <c r="H11" s="201" t="s">
        <v>1347</v>
      </c>
      <c r="I11" s="35"/>
      <c r="J11" s="201" t="s">
        <v>1347</v>
      </c>
      <c r="K11" s="35"/>
      <c r="L11" s="201" t="s">
        <v>1347</v>
      </c>
    </row>
    <row r="12" spans="1:12" x14ac:dyDescent="0.3">
      <c r="A12" s="188" t="s">
        <v>771</v>
      </c>
      <c r="B12" s="299"/>
      <c r="C12" s="300"/>
      <c r="D12" s="309"/>
      <c r="E12" s="301"/>
      <c r="F12" s="36" t="s">
        <v>772</v>
      </c>
      <c r="G12" s="35"/>
      <c r="H12" s="201" t="s">
        <v>1347</v>
      </c>
      <c r="I12" s="35"/>
      <c r="J12" s="201" t="s">
        <v>1347</v>
      </c>
      <c r="K12" s="35"/>
      <c r="L12" s="201" t="s">
        <v>1347</v>
      </c>
    </row>
    <row r="13" spans="1:12" ht="34.200000000000003" x14ac:dyDescent="0.3">
      <c r="A13" s="188" t="s">
        <v>773</v>
      </c>
      <c r="B13" s="299"/>
      <c r="C13" s="300"/>
      <c r="D13" s="308"/>
      <c r="E13" s="301"/>
      <c r="F13" s="36" t="s">
        <v>774</v>
      </c>
      <c r="G13" s="35"/>
      <c r="H13" s="201" t="s">
        <v>1347</v>
      </c>
      <c r="I13" s="35"/>
      <c r="J13" s="201" t="s">
        <v>1347</v>
      </c>
      <c r="K13" s="35"/>
      <c r="L13" s="201" t="s">
        <v>1347</v>
      </c>
    </row>
    <row r="14" spans="1:12" ht="45.6" x14ac:dyDescent="0.3">
      <c r="A14" s="183" t="s">
        <v>775</v>
      </c>
      <c r="B14" s="215" t="s">
        <v>776</v>
      </c>
      <c r="C14" s="185" t="s">
        <v>777</v>
      </c>
      <c r="D14" s="183"/>
      <c r="E14" s="183" t="s">
        <v>778</v>
      </c>
      <c r="F14" s="36" t="s">
        <v>779</v>
      </c>
      <c r="G14" s="35"/>
      <c r="H14" s="201" t="s">
        <v>1347</v>
      </c>
      <c r="I14" s="35"/>
      <c r="J14" s="201" t="s">
        <v>1347</v>
      </c>
      <c r="K14" s="35"/>
      <c r="L14" s="201" t="s">
        <v>1347</v>
      </c>
    </row>
    <row r="15" spans="1:12" ht="45.6" x14ac:dyDescent="0.3">
      <c r="A15" s="183" t="s">
        <v>780</v>
      </c>
      <c r="B15" s="215" t="s">
        <v>781</v>
      </c>
      <c r="C15" s="185" t="s">
        <v>782</v>
      </c>
      <c r="D15" s="183" t="s">
        <v>1265</v>
      </c>
      <c r="E15" s="183" t="s">
        <v>783</v>
      </c>
      <c r="F15" s="36" t="s">
        <v>784</v>
      </c>
      <c r="G15" s="35"/>
      <c r="H15" s="201" t="s">
        <v>1347</v>
      </c>
      <c r="I15" s="35"/>
      <c r="J15" s="201" t="s">
        <v>1347</v>
      </c>
      <c r="K15" s="35"/>
      <c r="L15" s="201" t="s">
        <v>1347</v>
      </c>
    </row>
    <row r="16" spans="1:12" ht="22.8" x14ac:dyDescent="0.3">
      <c r="A16" s="188" t="s">
        <v>785</v>
      </c>
      <c r="B16" s="299" t="s">
        <v>1355</v>
      </c>
      <c r="C16" s="280" t="s">
        <v>786</v>
      </c>
      <c r="D16" s="307"/>
      <c r="E16" s="301" t="s">
        <v>787</v>
      </c>
      <c r="F16" s="36" t="s">
        <v>788</v>
      </c>
      <c r="G16" s="35"/>
      <c r="H16" s="201" t="s">
        <v>1347</v>
      </c>
      <c r="I16" s="35"/>
      <c r="J16" s="201" t="s">
        <v>1347</v>
      </c>
      <c r="K16" s="35"/>
      <c r="L16" s="201" t="s">
        <v>1347</v>
      </c>
    </row>
    <row r="17" spans="1:12" x14ac:dyDescent="0.3">
      <c r="A17" s="188" t="s">
        <v>789</v>
      </c>
      <c r="B17" s="299"/>
      <c r="C17" s="300"/>
      <c r="D17" s="309"/>
      <c r="E17" s="301"/>
      <c r="F17" s="36" t="s">
        <v>790</v>
      </c>
      <c r="G17" s="35"/>
      <c r="H17" s="201" t="s">
        <v>1347</v>
      </c>
      <c r="I17" s="35"/>
      <c r="J17" s="201" t="s">
        <v>1347</v>
      </c>
      <c r="K17" s="35"/>
      <c r="L17" s="201" t="s">
        <v>1347</v>
      </c>
    </row>
    <row r="18" spans="1:12" ht="22.8" x14ac:dyDescent="0.3">
      <c r="A18" s="188" t="s">
        <v>791</v>
      </c>
      <c r="B18" s="299"/>
      <c r="C18" s="300"/>
      <c r="D18" s="308"/>
      <c r="E18" s="301"/>
      <c r="F18" s="36" t="s">
        <v>792</v>
      </c>
      <c r="G18" s="35"/>
      <c r="H18" s="201" t="s">
        <v>1347</v>
      </c>
      <c r="I18" s="35"/>
      <c r="J18" s="201" t="s">
        <v>1347</v>
      </c>
      <c r="K18" s="35"/>
      <c r="L18" s="201" t="s">
        <v>1347</v>
      </c>
    </row>
    <row r="19" spans="1:12" ht="22.8" x14ac:dyDescent="0.3">
      <c r="A19" s="188" t="s">
        <v>793</v>
      </c>
      <c r="B19" s="299" t="s">
        <v>1356</v>
      </c>
      <c r="C19" s="280" t="s">
        <v>786</v>
      </c>
      <c r="D19" s="307"/>
      <c r="E19" s="301" t="s">
        <v>794</v>
      </c>
      <c r="F19" s="36" t="s">
        <v>795</v>
      </c>
      <c r="G19" s="35"/>
      <c r="H19" s="201" t="s">
        <v>1347</v>
      </c>
      <c r="I19" s="35"/>
      <c r="J19" s="201" t="s">
        <v>1347</v>
      </c>
      <c r="K19" s="35"/>
      <c r="L19" s="201" t="s">
        <v>1347</v>
      </c>
    </row>
    <row r="20" spans="1:12" x14ac:dyDescent="0.3">
      <c r="A20" s="188" t="s">
        <v>796</v>
      </c>
      <c r="B20" s="299"/>
      <c r="C20" s="300"/>
      <c r="D20" s="308"/>
      <c r="E20" s="301"/>
      <c r="F20" s="36" t="s">
        <v>797</v>
      </c>
      <c r="G20" s="35"/>
      <c r="H20" s="201" t="s">
        <v>1347</v>
      </c>
      <c r="I20" s="35"/>
      <c r="J20" s="201" t="s">
        <v>1347</v>
      </c>
      <c r="K20" s="35"/>
      <c r="L20" s="201" t="s">
        <v>1347</v>
      </c>
    </row>
    <row r="21" spans="1:12" ht="22.8" x14ac:dyDescent="0.3">
      <c r="A21" s="183" t="s">
        <v>798</v>
      </c>
      <c r="B21" s="215" t="s">
        <v>799</v>
      </c>
      <c r="C21" s="185"/>
      <c r="D21" s="183"/>
      <c r="E21" s="183" t="s">
        <v>800</v>
      </c>
      <c r="F21" s="36" t="s">
        <v>801</v>
      </c>
      <c r="G21" s="35"/>
      <c r="H21" s="201" t="s">
        <v>1347</v>
      </c>
      <c r="I21" s="35"/>
      <c r="J21" s="201" t="s">
        <v>1347</v>
      </c>
      <c r="K21" s="35"/>
      <c r="L21" s="201" t="s">
        <v>1347</v>
      </c>
    </row>
    <row r="22" spans="1:12" ht="34.200000000000003" x14ac:dyDescent="0.3">
      <c r="A22" s="183" t="s">
        <v>802</v>
      </c>
      <c r="B22" s="215" t="s">
        <v>803</v>
      </c>
      <c r="C22" s="185"/>
      <c r="D22" s="183"/>
      <c r="E22" s="183" t="s">
        <v>804</v>
      </c>
      <c r="F22" s="185" t="s">
        <v>805</v>
      </c>
      <c r="G22" s="35"/>
      <c r="H22" s="201" t="s">
        <v>1347</v>
      </c>
      <c r="I22" s="35"/>
      <c r="J22" s="201" t="s">
        <v>1347</v>
      </c>
      <c r="K22" s="35"/>
      <c r="L22" s="201" t="s">
        <v>1347</v>
      </c>
    </row>
    <row r="23" spans="1:12" ht="34.200000000000003" x14ac:dyDescent="0.3">
      <c r="A23" s="183" t="s">
        <v>806</v>
      </c>
      <c r="B23" s="215" t="s">
        <v>807</v>
      </c>
      <c r="C23" s="185"/>
      <c r="D23" s="183"/>
      <c r="E23" s="183" t="s">
        <v>808</v>
      </c>
      <c r="F23" s="36" t="s">
        <v>809</v>
      </c>
      <c r="G23" s="35"/>
      <c r="H23" s="201" t="s">
        <v>1347</v>
      </c>
      <c r="I23" s="35"/>
      <c r="J23" s="201" t="s">
        <v>1347</v>
      </c>
      <c r="K23" s="35"/>
      <c r="L23" s="201" t="s">
        <v>1347</v>
      </c>
    </row>
    <row r="24" spans="1:12" ht="34.200000000000003" x14ac:dyDescent="0.3">
      <c r="A24" s="183" t="s">
        <v>810</v>
      </c>
      <c r="B24" s="215" t="s">
        <v>811</v>
      </c>
      <c r="C24" s="185"/>
      <c r="D24" s="183"/>
      <c r="E24" s="183" t="s">
        <v>812</v>
      </c>
      <c r="F24" s="36" t="s">
        <v>813</v>
      </c>
      <c r="G24" s="35"/>
      <c r="H24" s="201" t="s">
        <v>1347</v>
      </c>
      <c r="I24" s="35"/>
      <c r="J24" s="201" t="s">
        <v>1347</v>
      </c>
      <c r="K24" s="35"/>
      <c r="L24" s="201" t="s">
        <v>1347</v>
      </c>
    </row>
    <row r="25" spans="1:12" ht="22.8" x14ac:dyDescent="0.3">
      <c r="A25" s="183" t="s">
        <v>814</v>
      </c>
      <c r="B25" s="215" t="s">
        <v>815</v>
      </c>
      <c r="C25" s="185"/>
      <c r="D25" s="183"/>
      <c r="E25" s="183" t="s">
        <v>816</v>
      </c>
      <c r="F25" s="36" t="s">
        <v>817</v>
      </c>
      <c r="G25" s="35"/>
      <c r="H25" s="201" t="s">
        <v>1347</v>
      </c>
      <c r="I25" s="35"/>
      <c r="J25" s="201" t="s">
        <v>1347</v>
      </c>
      <c r="K25" s="35"/>
      <c r="L25" s="201" t="s">
        <v>1347</v>
      </c>
    </row>
    <row r="26" spans="1:12" ht="34.200000000000003" x14ac:dyDescent="0.3">
      <c r="A26" s="183" t="s">
        <v>818</v>
      </c>
      <c r="B26" s="215" t="s">
        <v>819</v>
      </c>
      <c r="C26" s="185"/>
      <c r="D26" s="183"/>
      <c r="E26" s="183" t="s">
        <v>820</v>
      </c>
      <c r="F26" s="36" t="s">
        <v>821</v>
      </c>
      <c r="G26" s="35"/>
      <c r="H26" s="201" t="s">
        <v>1347</v>
      </c>
      <c r="I26" s="35"/>
      <c r="J26" s="201" t="s">
        <v>1347</v>
      </c>
      <c r="K26" s="35"/>
      <c r="L26" s="201" t="s">
        <v>1347</v>
      </c>
    </row>
    <row r="27" spans="1:12" ht="22.8" x14ac:dyDescent="0.3">
      <c r="A27" s="183" t="s">
        <v>822</v>
      </c>
      <c r="B27" s="215" t="s">
        <v>823</v>
      </c>
      <c r="C27" s="185"/>
      <c r="D27" s="183"/>
      <c r="E27" s="183" t="s">
        <v>824</v>
      </c>
      <c r="F27" s="36" t="s">
        <v>825</v>
      </c>
      <c r="G27" s="35"/>
      <c r="H27" s="201" t="s">
        <v>1347</v>
      </c>
      <c r="I27" s="35"/>
      <c r="J27" s="201" t="s">
        <v>1347</v>
      </c>
      <c r="K27" s="35"/>
      <c r="L27" s="201" t="s">
        <v>1347</v>
      </c>
    </row>
    <row r="28" spans="1:12" ht="22.8" x14ac:dyDescent="0.3">
      <c r="A28" s="183" t="s">
        <v>826</v>
      </c>
      <c r="B28" s="215" t="s">
        <v>827</v>
      </c>
      <c r="C28" s="185" t="s">
        <v>828</v>
      </c>
      <c r="D28" s="183" t="s">
        <v>1266</v>
      </c>
      <c r="E28" s="183" t="s">
        <v>829</v>
      </c>
      <c r="F28" s="36" t="s">
        <v>830</v>
      </c>
      <c r="G28" s="35"/>
      <c r="H28" s="201" t="s">
        <v>1347</v>
      </c>
      <c r="I28" s="35"/>
      <c r="J28" s="201" t="s">
        <v>1347</v>
      </c>
      <c r="K28" s="35"/>
      <c r="L28" s="201" t="s">
        <v>1347</v>
      </c>
    </row>
    <row r="29" spans="1:12" ht="34.200000000000003" x14ac:dyDescent="0.3">
      <c r="A29" s="183" t="s">
        <v>831</v>
      </c>
      <c r="B29" s="215" t="s">
        <v>832</v>
      </c>
      <c r="C29" s="185" t="s">
        <v>833</v>
      </c>
      <c r="D29" s="183"/>
      <c r="E29" s="183" t="s">
        <v>834</v>
      </c>
      <c r="F29" s="36" t="s">
        <v>835</v>
      </c>
      <c r="G29" s="35"/>
      <c r="H29" s="201" t="s">
        <v>1347</v>
      </c>
      <c r="I29" s="35"/>
      <c r="J29" s="201" t="s">
        <v>1347</v>
      </c>
      <c r="K29" s="35"/>
      <c r="L29" s="201" t="s">
        <v>1347</v>
      </c>
    </row>
  </sheetData>
  <sheetProtection algorithmName="SHA-512" hashValue="C6vKxGM29i00wU7jBmUIN4SNJIWXBz28gwoYTfDk5a0Nn9JbR0ab8sjfnnNUAZBX9VHaGll3FexiOhfMSE/akg==" saltValue="5kWtrVWnDDCPnZdC/IJRsw==" spinCount="100000" sheet="1" selectLockedCells="1"/>
  <mergeCells count="17">
    <mergeCell ref="A2:L2"/>
    <mergeCell ref="B4:B6"/>
    <mergeCell ref="C4:C6"/>
    <mergeCell ref="D4:D6"/>
    <mergeCell ref="E4:E6"/>
    <mergeCell ref="B19:B20"/>
    <mergeCell ref="C19:C20"/>
    <mergeCell ref="D19:D20"/>
    <mergeCell ref="E19:E20"/>
    <mergeCell ref="B7:B13"/>
    <mergeCell ref="C7:C13"/>
    <mergeCell ref="D7:D13"/>
    <mergeCell ref="E7:E13"/>
    <mergeCell ref="B16:B18"/>
    <mergeCell ref="C16:C18"/>
    <mergeCell ref="D16:D18"/>
    <mergeCell ref="E16:E18"/>
  </mergeCells>
  <conditionalFormatting sqref="L4:L8 J4:J8 H4:H8 H10:H29 J10:J29 L10:L29">
    <cfRule type="expression" dxfId="59" priority="4">
      <formula>NOT(H4="Comment is required")</formula>
    </cfRule>
    <cfRule type="expression" dxfId="58" priority="5">
      <formula>AND(OR(G4="N/A",G4="Partial"),H4="Comment is required")</formula>
    </cfRule>
  </conditionalFormatting>
  <conditionalFormatting sqref="L9 J9 H9 L3 J3 H3">
    <cfRule type="expression" dxfId="57" priority="2">
      <formula>NOT(H3="Comment is required")</formula>
    </cfRule>
    <cfRule type="expression" dxfId="56" priority="3">
      <formula>AND(OR(G3="N/A",G3="Partial"),H3="Comment is required")</formula>
    </cfRule>
  </conditionalFormatting>
  <conditionalFormatting sqref="L9 J9 H9 L3 J3 H3">
    <cfRule type="expression" dxfId="55" priority="1">
      <formula>G3="Yes"</formula>
    </cfRule>
  </conditionalFormatting>
  <dataValidations count="2">
    <dataValidation type="list" showInputMessage="1" showErrorMessage="1" sqref="I3:I29 G3:G29 K3:K29" xr:uid="{00000000-0002-0000-1400-000000000000}">
      <formula1>"Yes, No, Partial, N/A"</formula1>
    </dataValidation>
    <dataValidation showInputMessage="1" showErrorMessage="1" sqref="H3:H29 J3:J29 L3:L29" xr:uid="{00000000-0002-0000-1400-000001000000}"/>
  </dataValidations>
  <hyperlinks>
    <hyperlink ref="B3" r:id="rId1" xr:uid="{00000000-0004-0000-1400-000000000000}"/>
    <hyperlink ref="B4:B6" r:id="rId2" display="PE-2" xr:uid="{00000000-0004-0000-1400-000001000000}"/>
    <hyperlink ref="B7:B13" r:id="rId3" display="PE-3" xr:uid="{00000000-0004-0000-1400-000002000000}"/>
    <hyperlink ref="B14" r:id="rId4" xr:uid="{00000000-0004-0000-1400-000003000000}"/>
    <hyperlink ref="B15" r:id="rId5" xr:uid="{00000000-0004-0000-1400-000004000000}"/>
    <hyperlink ref="B16:B18" r:id="rId6" display="PE-6" xr:uid="{00000000-0004-0000-1400-000005000000}"/>
    <hyperlink ref="B19:B20" r:id="rId7" display="PE-8" xr:uid="{00000000-0004-0000-1400-000006000000}"/>
    <hyperlink ref="B21" r:id="rId8" xr:uid="{00000000-0004-0000-1400-000007000000}"/>
    <hyperlink ref="B22" r:id="rId9" xr:uid="{00000000-0004-0000-1400-000008000000}"/>
    <hyperlink ref="B23" r:id="rId10" xr:uid="{00000000-0004-0000-1400-000009000000}"/>
    <hyperlink ref="B24" r:id="rId11" xr:uid="{00000000-0004-0000-1400-00000A000000}"/>
    <hyperlink ref="B25" r:id="rId12" xr:uid="{00000000-0004-0000-1400-00000B000000}"/>
    <hyperlink ref="B26" r:id="rId13" xr:uid="{00000000-0004-0000-1400-00000C000000}"/>
    <hyperlink ref="B27" r:id="rId14" xr:uid="{00000000-0004-0000-1400-00000D000000}"/>
    <hyperlink ref="B28" r:id="rId15" xr:uid="{00000000-0004-0000-1400-00000E000000}"/>
    <hyperlink ref="B29" r:id="rId16" xr:uid="{00000000-0004-0000-1400-00000F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L15"/>
  <sheetViews>
    <sheetView showGridLines="0" zoomScaleNormal="100" workbookViewId="0">
      <pane xSplit="2" ySplit="2" topLeftCell="C3" activePane="bottomRight" state="frozen"/>
      <selection activeCell="D19" sqref="D19:D22"/>
      <selection pane="topRight" activeCell="D19" sqref="D19:D22"/>
      <selection pane="bottomLeft" activeCell="D19" sqref="D19:D22"/>
      <selection pane="bottomRight" activeCell="G3" sqref="G3"/>
    </sheetView>
  </sheetViews>
  <sheetFormatPr defaultColWidth="9" defaultRowHeight="14.4" x14ac:dyDescent="0.3"/>
  <cols>
    <col min="1" max="1" width="17.5546875" style="14" customWidth="1"/>
    <col min="2" max="2" width="16.5546875" style="14" customWidth="1"/>
    <col min="3" max="3" width="19" style="14" customWidth="1"/>
    <col min="4" max="4" width="19" style="14" hidden="1" customWidth="1"/>
    <col min="5" max="5" width="16.5546875" style="14" customWidth="1"/>
    <col min="6" max="6" width="55.44140625" style="14" customWidth="1"/>
    <col min="7" max="7" width="15.6640625" style="14" customWidth="1"/>
    <col min="8" max="8" width="20.6640625" style="14" customWidth="1"/>
    <col min="9" max="9" width="15.6640625" style="14" customWidth="1"/>
    <col min="10" max="10" width="20.6640625" style="14" customWidth="1"/>
    <col min="11" max="11" width="15.6640625" style="14" customWidth="1"/>
    <col min="12" max="12" width="20.6640625" style="14" customWidth="1"/>
    <col min="13" max="16384" width="9" style="14"/>
  </cols>
  <sheetData>
    <row r="1" spans="1:12" ht="50.1" customHeight="1" x14ac:dyDescent="0.3">
      <c r="A1" s="3" t="s">
        <v>77</v>
      </c>
      <c r="B1" s="3" t="s">
        <v>120</v>
      </c>
      <c r="C1" s="3" t="s">
        <v>200</v>
      </c>
      <c r="D1" s="3" t="s">
        <v>1221</v>
      </c>
      <c r="E1" s="3" t="s">
        <v>78</v>
      </c>
      <c r="F1" s="3" t="s">
        <v>201</v>
      </c>
      <c r="G1" s="3" t="str">
        <f>Scope!$B$4 &amp; " Response:"</f>
        <v>Client -server application hosted at the data center  Response:</v>
      </c>
      <c r="H1" s="3" t="str">
        <f>Scope!$B$4 &amp;" Comments:"</f>
        <v>Client -server application hosted at the data center  Comments:</v>
      </c>
      <c r="I1" s="3" t="str">
        <f>Scope!$D$4 &amp; " Response:"</f>
        <v xml:space="preserve"> Response:</v>
      </c>
      <c r="J1" s="3" t="str">
        <f>Scope!$D$4 &amp; " Comments:"</f>
        <v xml:space="preserve"> Comments:</v>
      </c>
      <c r="K1" s="3" t="str">
        <f>Scope!$F$4 &amp; " Response:"</f>
        <v xml:space="preserve"> Response:</v>
      </c>
      <c r="L1" s="3" t="str">
        <f>Scope!$F$4 &amp; " Comments:"</f>
        <v xml:space="preserve"> Comments:</v>
      </c>
    </row>
    <row r="2" spans="1:12" ht="15.6" x14ac:dyDescent="0.3">
      <c r="A2" s="294" t="s">
        <v>836</v>
      </c>
      <c r="B2" s="294"/>
      <c r="C2" s="294"/>
      <c r="D2" s="294"/>
      <c r="E2" s="294"/>
      <c r="F2" s="294"/>
      <c r="G2" s="294"/>
      <c r="H2" s="294"/>
      <c r="I2" s="294"/>
      <c r="J2" s="294"/>
      <c r="K2" s="294"/>
      <c r="L2" s="294"/>
    </row>
    <row r="3" spans="1:12" ht="68.400000000000006" x14ac:dyDescent="0.3">
      <c r="A3" s="183" t="s">
        <v>837</v>
      </c>
      <c r="B3" s="215" t="s">
        <v>838</v>
      </c>
      <c r="C3" s="185" t="s">
        <v>839</v>
      </c>
      <c r="D3" s="183" t="s">
        <v>1267</v>
      </c>
      <c r="E3" s="183" t="s">
        <v>840</v>
      </c>
      <c r="F3" s="185" t="s">
        <v>841</v>
      </c>
      <c r="G3" s="35"/>
      <c r="H3" s="201" t="s">
        <v>1347</v>
      </c>
      <c r="I3" s="35"/>
      <c r="J3" s="201" t="s">
        <v>1347</v>
      </c>
      <c r="K3" s="35"/>
      <c r="L3" s="201" t="s">
        <v>1347</v>
      </c>
    </row>
    <row r="4" spans="1:12" ht="148.19999999999999" x14ac:dyDescent="0.3">
      <c r="A4" s="188" t="s">
        <v>842</v>
      </c>
      <c r="B4" s="299" t="s">
        <v>1358</v>
      </c>
      <c r="C4" s="280" t="s">
        <v>843</v>
      </c>
      <c r="D4" s="302" t="s">
        <v>1268</v>
      </c>
      <c r="E4" s="306" t="s">
        <v>1357</v>
      </c>
      <c r="F4" s="185" t="s">
        <v>845</v>
      </c>
      <c r="G4" s="35"/>
      <c r="H4" s="201" t="s">
        <v>1347</v>
      </c>
      <c r="I4" s="35"/>
      <c r="J4" s="201" t="s">
        <v>1347</v>
      </c>
      <c r="K4" s="35"/>
      <c r="L4" s="201" t="s">
        <v>1347</v>
      </c>
    </row>
    <row r="5" spans="1:12" ht="22.8" x14ac:dyDescent="0.3">
      <c r="A5" s="188" t="s">
        <v>846</v>
      </c>
      <c r="B5" s="299"/>
      <c r="C5" s="300"/>
      <c r="D5" s="303"/>
      <c r="E5" s="301"/>
      <c r="F5" s="185" t="s">
        <v>847</v>
      </c>
      <c r="G5" s="35"/>
      <c r="H5" s="201" t="s">
        <v>1347</v>
      </c>
      <c r="I5" s="35"/>
      <c r="J5" s="201" t="s">
        <v>1347</v>
      </c>
      <c r="K5" s="35"/>
      <c r="L5" s="201" t="s">
        <v>1347</v>
      </c>
    </row>
    <row r="6" spans="1:12" x14ac:dyDescent="0.3">
      <c r="A6" s="188" t="s">
        <v>848</v>
      </c>
      <c r="B6" s="299"/>
      <c r="C6" s="300"/>
      <c r="D6" s="303"/>
      <c r="E6" s="301"/>
      <c r="F6" s="185" t="s">
        <v>849</v>
      </c>
      <c r="G6" s="35"/>
      <c r="H6" s="201" t="s">
        <v>1347</v>
      </c>
      <c r="I6" s="35"/>
      <c r="J6" s="201" t="s">
        <v>1347</v>
      </c>
      <c r="K6" s="35"/>
      <c r="L6" s="201" t="s">
        <v>1347</v>
      </c>
    </row>
    <row r="7" spans="1:12" x14ac:dyDescent="0.3">
      <c r="A7" s="188" t="s">
        <v>850</v>
      </c>
      <c r="B7" s="299"/>
      <c r="C7" s="300"/>
      <c r="D7" s="303"/>
      <c r="E7" s="301"/>
      <c r="F7" s="185" t="s">
        <v>851</v>
      </c>
      <c r="G7" s="35"/>
      <c r="H7" s="201" t="s">
        <v>1347</v>
      </c>
      <c r="I7" s="35"/>
      <c r="J7" s="201" t="s">
        <v>1347</v>
      </c>
      <c r="K7" s="35"/>
      <c r="L7" s="201" t="s">
        <v>1347</v>
      </c>
    </row>
    <row r="8" spans="1:12" ht="22.8" x14ac:dyDescent="0.3">
      <c r="A8" s="188" t="s">
        <v>852</v>
      </c>
      <c r="B8" s="299"/>
      <c r="C8" s="300"/>
      <c r="D8" s="304"/>
      <c r="E8" s="301"/>
      <c r="F8" s="185" t="s">
        <v>853</v>
      </c>
      <c r="G8" s="35"/>
      <c r="H8" s="201" t="s">
        <v>1347</v>
      </c>
      <c r="I8" s="35"/>
      <c r="J8" s="201" t="s">
        <v>1347</v>
      </c>
      <c r="K8" s="35"/>
      <c r="L8" s="201" t="s">
        <v>1347</v>
      </c>
    </row>
    <row r="9" spans="1:12" ht="34.200000000000003" x14ac:dyDescent="0.3">
      <c r="A9" s="183" t="s">
        <v>854</v>
      </c>
      <c r="B9" s="279" t="s">
        <v>855</v>
      </c>
      <c r="C9" s="280"/>
      <c r="D9" s="282" t="s">
        <v>1269</v>
      </c>
      <c r="E9" s="281" t="s">
        <v>856</v>
      </c>
      <c r="F9" s="185" t="s">
        <v>857</v>
      </c>
      <c r="G9" s="35"/>
      <c r="H9" s="201" t="s">
        <v>1347</v>
      </c>
      <c r="I9" s="35"/>
      <c r="J9" s="201" t="s">
        <v>1347</v>
      </c>
      <c r="K9" s="35"/>
      <c r="L9" s="201" t="s">
        <v>1347</v>
      </c>
    </row>
    <row r="10" spans="1:12" ht="34.200000000000003" x14ac:dyDescent="0.3">
      <c r="A10" s="183" t="s">
        <v>858</v>
      </c>
      <c r="B10" s="279"/>
      <c r="C10" s="280"/>
      <c r="D10" s="290"/>
      <c r="E10" s="281"/>
      <c r="F10" s="37" t="s">
        <v>859</v>
      </c>
      <c r="G10" s="35"/>
      <c r="H10" s="203" t="s">
        <v>1347</v>
      </c>
      <c r="I10" s="35"/>
      <c r="J10" s="203" t="s">
        <v>1347</v>
      </c>
      <c r="K10" s="35"/>
      <c r="L10" s="203" t="s">
        <v>1347</v>
      </c>
    </row>
    <row r="11" spans="1:12" x14ac:dyDescent="0.3">
      <c r="A11" s="183" t="s">
        <v>860</v>
      </c>
      <c r="B11" s="279"/>
      <c r="C11" s="280"/>
      <c r="D11" s="290"/>
      <c r="E11" s="281"/>
      <c r="F11" s="185" t="s">
        <v>861</v>
      </c>
      <c r="G11" s="35"/>
      <c r="H11" s="201" t="s">
        <v>1347</v>
      </c>
      <c r="I11" s="35"/>
      <c r="J11" s="201" t="s">
        <v>1347</v>
      </c>
      <c r="K11" s="35"/>
      <c r="L11" s="201" t="s">
        <v>1347</v>
      </c>
    </row>
    <row r="12" spans="1:12" ht="22.8" x14ac:dyDescent="0.3">
      <c r="A12" s="183" t="s">
        <v>862</v>
      </c>
      <c r="B12" s="279"/>
      <c r="C12" s="280"/>
      <c r="D12" s="283"/>
      <c r="E12" s="281"/>
      <c r="F12" s="185" t="s">
        <v>863</v>
      </c>
      <c r="G12" s="35"/>
      <c r="H12" s="201" t="s">
        <v>1347</v>
      </c>
      <c r="I12" s="35"/>
      <c r="J12" s="201" t="s">
        <v>1347</v>
      </c>
      <c r="K12" s="35"/>
      <c r="L12" s="201" t="s">
        <v>1347</v>
      </c>
    </row>
    <row r="13" spans="1:12" ht="22.8" x14ac:dyDescent="0.3">
      <c r="A13" s="183" t="s">
        <v>864</v>
      </c>
      <c r="B13" s="279" t="s">
        <v>865</v>
      </c>
      <c r="C13" s="281"/>
      <c r="D13" s="282"/>
      <c r="E13" s="281" t="s">
        <v>866</v>
      </c>
      <c r="F13" s="38" t="s">
        <v>867</v>
      </c>
      <c r="G13" s="35"/>
      <c r="H13" s="201" t="s">
        <v>1347</v>
      </c>
      <c r="I13" s="35"/>
      <c r="J13" s="201" t="s">
        <v>1347</v>
      </c>
      <c r="K13" s="35"/>
      <c r="L13" s="201" t="s">
        <v>1347</v>
      </c>
    </row>
    <row r="14" spans="1:12" ht="22.8" x14ac:dyDescent="0.3">
      <c r="A14" s="183" t="s">
        <v>868</v>
      </c>
      <c r="B14" s="279"/>
      <c r="C14" s="281"/>
      <c r="D14" s="290"/>
      <c r="E14" s="281"/>
      <c r="F14" s="38" t="s">
        <v>869</v>
      </c>
      <c r="G14" s="35"/>
      <c r="H14" s="201" t="s">
        <v>1347</v>
      </c>
      <c r="I14" s="35"/>
      <c r="J14" s="201" t="s">
        <v>1347</v>
      </c>
      <c r="K14" s="35"/>
      <c r="L14" s="201" t="s">
        <v>1347</v>
      </c>
    </row>
    <row r="15" spans="1:12" ht="22.8" x14ac:dyDescent="0.3">
      <c r="A15" s="183" t="s">
        <v>870</v>
      </c>
      <c r="B15" s="279"/>
      <c r="C15" s="281"/>
      <c r="D15" s="283"/>
      <c r="E15" s="281"/>
      <c r="F15" s="38" t="s">
        <v>871</v>
      </c>
      <c r="G15" s="35"/>
      <c r="H15" s="201" t="s">
        <v>1347</v>
      </c>
      <c r="I15" s="35"/>
      <c r="J15" s="201" t="s">
        <v>1347</v>
      </c>
      <c r="K15" s="35"/>
      <c r="L15" s="201" t="s">
        <v>1347</v>
      </c>
    </row>
  </sheetData>
  <sheetProtection algorithmName="SHA-512" hashValue="ALOLy1ZwR/tfEISuh2FemZz+PNEu3JrNVaG/kqHfHLbCqNFrBmUVfhLw8yvpYNg20oGXqqueumsDLaNtd9oi2g==" saltValue="WfOsWvcoq4zCP/d6Vq0yig==" spinCount="100000" sheet="1" selectLockedCells="1"/>
  <mergeCells count="13">
    <mergeCell ref="A2:L2"/>
    <mergeCell ref="B4:B8"/>
    <mergeCell ref="C4:C8"/>
    <mergeCell ref="D4:D8"/>
    <mergeCell ref="E4:E8"/>
    <mergeCell ref="B9:B12"/>
    <mergeCell ref="C9:C12"/>
    <mergeCell ref="D9:D12"/>
    <mergeCell ref="E9:E12"/>
    <mergeCell ref="B13:B15"/>
    <mergeCell ref="C13:C15"/>
    <mergeCell ref="D13:D15"/>
    <mergeCell ref="E13:E15"/>
  </mergeCells>
  <conditionalFormatting sqref="L3:L9 J3:J9 H3:H9 H11:H15 J11:J15 L11:L15">
    <cfRule type="expression" dxfId="54" priority="4">
      <formula>NOT(H3="Comment is required")</formula>
    </cfRule>
    <cfRule type="expression" dxfId="53" priority="5">
      <formula>AND(OR(G3="N/A",G3="Partial"),H3="Comment is required")</formula>
    </cfRule>
  </conditionalFormatting>
  <conditionalFormatting sqref="L10 J10 H10">
    <cfRule type="expression" dxfId="52" priority="2">
      <formula>NOT(H10="Comment is required")</formula>
    </cfRule>
    <cfRule type="expression" dxfId="51" priority="3">
      <formula>AND(OR(G10="N/A",G10="Partial"),H10="Comment is required")</formula>
    </cfRule>
  </conditionalFormatting>
  <conditionalFormatting sqref="L10 J10 H10">
    <cfRule type="expression" dxfId="50" priority="1">
      <formula>G10="Yes"</formula>
    </cfRule>
  </conditionalFormatting>
  <dataValidations count="2">
    <dataValidation type="list" showInputMessage="1" showErrorMessage="1" sqref="I3:I15 G3:G15 K3:K15" xr:uid="{00000000-0002-0000-1500-000000000000}">
      <formula1>"Yes, No, Partial, N/A"</formula1>
    </dataValidation>
    <dataValidation showInputMessage="1" showErrorMessage="1" sqref="H3:H15 J3:J15 L3:L15" xr:uid="{00000000-0002-0000-1500-000001000000}"/>
  </dataValidations>
  <hyperlinks>
    <hyperlink ref="B3" r:id="rId1" xr:uid="{00000000-0004-0000-1500-000000000000}"/>
    <hyperlink ref="B4:B8" r:id="rId2" display="PL-2" xr:uid="{00000000-0004-0000-1500-000001000000}"/>
    <hyperlink ref="B9:B12" r:id="rId3" display="PL-4" xr:uid="{00000000-0004-0000-1500-000002000000}"/>
    <hyperlink ref="B13:B15" r:id="rId4" display="PL-8" xr:uid="{00000000-0004-0000-1500-000003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L13"/>
  <sheetViews>
    <sheetView showGridLines="0" zoomScaleNormal="100" workbookViewId="0">
      <pane xSplit="2" ySplit="2" topLeftCell="E3" activePane="bottomRight" state="frozen"/>
      <selection activeCell="D19" sqref="D19:D22"/>
      <selection pane="topRight" activeCell="D19" sqref="D19:D22"/>
      <selection pane="bottomLeft" activeCell="D19" sqref="D19:D22"/>
      <selection pane="bottomRight" activeCell="G3" sqref="G3"/>
    </sheetView>
  </sheetViews>
  <sheetFormatPr defaultColWidth="9" defaultRowHeight="14.4" x14ac:dyDescent="0.3"/>
  <cols>
    <col min="1" max="1" width="17.5546875" style="14" customWidth="1"/>
    <col min="2" max="2" width="18.109375" style="14" customWidth="1"/>
    <col min="3" max="3" width="18.44140625" style="14" bestFit="1" customWidth="1"/>
    <col min="4" max="4" width="18.44140625" style="14" hidden="1" customWidth="1"/>
    <col min="5" max="5" width="26.44140625" style="14" bestFit="1" customWidth="1"/>
    <col min="6" max="6" width="55.6640625" style="14" customWidth="1"/>
    <col min="7" max="7" width="15.6640625" style="14" customWidth="1"/>
    <col min="8" max="8" width="20.6640625" style="14" customWidth="1"/>
    <col min="9" max="9" width="15.6640625" style="14" customWidth="1"/>
    <col min="10" max="10" width="20.6640625" style="14" customWidth="1"/>
    <col min="11" max="11" width="15.6640625" style="14" customWidth="1"/>
    <col min="12" max="12" width="20.6640625" style="14" customWidth="1"/>
    <col min="13" max="16384" width="9" style="14"/>
  </cols>
  <sheetData>
    <row r="1" spans="1:12" ht="50.1" customHeight="1" x14ac:dyDescent="0.3">
      <c r="A1" s="3" t="s">
        <v>77</v>
      </c>
      <c r="B1" s="3" t="s">
        <v>120</v>
      </c>
      <c r="C1" s="3" t="s">
        <v>200</v>
      </c>
      <c r="D1" s="3" t="s">
        <v>1221</v>
      </c>
      <c r="E1" s="3" t="s">
        <v>78</v>
      </c>
      <c r="F1" s="3" t="s">
        <v>201</v>
      </c>
      <c r="G1" s="3" t="str">
        <f>Scope!$B$4 &amp; " Response:"</f>
        <v>Client -server application hosted at the data center  Response:</v>
      </c>
      <c r="H1" s="3" t="str">
        <f>Scope!$B$4 &amp;" Comments:"</f>
        <v>Client -server application hosted at the data center  Comments:</v>
      </c>
      <c r="I1" s="3" t="str">
        <f>Scope!$D$4 &amp; " Response:"</f>
        <v xml:space="preserve"> Response:</v>
      </c>
      <c r="J1" s="3" t="str">
        <f>Scope!$D$4 &amp; " Comments:"</f>
        <v xml:space="preserve"> Comments:</v>
      </c>
      <c r="K1" s="3" t="str">
        <f>Scope!$F$4 &amp; " Response:"</f>
        <v xml:space="preserve"> Response:</v>
      </c>
      <c r="L1" s="3" t="str">
        <f>Scope!$F$4 &amp; " Comments:"</f>
        <v xml:space="preserve"> Comments:</v>
      </c>
    </row>
    <row r="2" spans="1:12" ht="15.6" x14ac:dyDescent="0.3">
      <c r="A2" s="294" t="s">
        <v>872</v>
      </c>
      <c r="B2" s="294"/>
      <c r="C2" s="294"/>
      <c r="D2" s="294"/>
      <c r="E2" s="294"/>
      <c r="F2" s="294"/>
      <c r="G2" s="294"/>
      <c r="H2" s="294"/>
      <c r="I2" s="294"/>
      <c r="J2" s="294"/>
      <c r="K2" s="294"/>
      <c r="L2" s="294"/>
    </row>
    <row r="3" spans="1:12" ht="68.400000000000006" x14ac:dyDescent="0.3">
      <c r="A3" s="183" t="s">
        <v>873</v>
      </c>
      <c r="B3" s="215" t="s">
        <v>874</v>
      </c>
      <c r="C3" s="185" t="s">
        <v>875</v>
      </c>
      <c r="D3" s="183" t="s">
        <v>1270</v>
      </c>
      <c r="E3" s="183" t="s">
        <v>876</v>
      </c>
      <c r="F3" s="37" t="s">
        <v>877</v>
      </c>
      <c r="G3" s="35"/>
      <c r="H3" s="201" t="s">
        <v>1347</v>
      </c>
      <c r="I3" s="35"/>
      <c r="J3" s="201" t="s">
        <v>1347</v>
      </c>
      <c r="K3" s="35"/>
      <c r="L3" s="201" t="s">
        <v>1347</v>
      </c>
    </row>
    <row r="4" spans="1:12" x14ac:dyDescent="0.3">
      <c r="A4" s="183" t="s">
        <v>878</v>
      </c>
      <c r="B4" s="279" t="s">
        <v>879</v>
      </c>
      <c r="C4" s="280" t="s">
        <v>168</v>
      </c>
      <c r="D4" s="282" t="s">
        <v>1271</v>
      </c>
      <c r="E4" s="281" t="s">
        <v>880</v>
      </c>
      <c r="F4" s="38" t="s">
        <v>881</v>
      </c>
      <c r="G4" s="35"/>
      <c r="H4" s="201" t="s">
        <v>1347</v>
      </c>
      <c r="I4" s="35"/>
      <c r="J4" s="201" t="s">
        <v>1347</v>
      </c>
      <c r="K4" s="35"/>
      <c r="L4" s="201" t="s">
        <v>1347</v>
      </c>
    </row>
    <row r="5" spans="1:12" ht="22.8" x14ac:dyDescent="0.3">
      <c r="A5" s="183" t="s">
        <v>882</v>
      </c>
      <c r="B5" s="279"/>
      <c r="C5" s="280"/>
      <c r="D5" s="290"/>
      <c r="E5" s="281"/>
      <c r="F5" s="38" t="s">
        <v>883</v>
      </c>
      <c r="G5" s="35"/>
      <c r="H5" s="201" t="s">
        <v>1347</v>
      </c>
      <c r="I5" s="35"/>
      <c r="J5" s="201" t="s">
        <v>1347</v>
      </c>
      <c r="K5" s="35"/>
      <c r="L5" s="201" t="s">
        <v>1347</v>
      </c>
    </row>
    <row r="6" spans="1:12" ht="22.8" x14ac:dyDescent="0.3">
      <c r="A6" s="183" t="s">
        <v>884</v>
      </c>
      <c r="B6" s="279"/>
      <c r="C6" s="280"/>
      <c r="D6" s="283"/>
      <c r="E6" s="281"/>
      <c r="F6" s="38" t="s">
        <v>885</v>
      </c>
      <c r="G6" s="35"/>
      <c r="H6" s="201" t="s">
        <v>1347</v>
      </c>
      <c r="I6" s="35"/>
      <c r="J6" s="201" t="s">
        <v>1347</v>
      </c>
      <c r="K6" s="35"/>
      <c r="L6" s="201" t="s">
        <v>1347</v>
      </c>
    </row>
    <row r="7" spans="1:12" ht="22.8" x14ac:dyDescent="0.3">
      <c r="A7" s="183" t="s">
        <v>886</v>
      </c>
      <c r="B7" s="279" t="s">
        <v>167</v>
      </c>
      <c r="C7" s="280" t="s">
        <v>168</v>
      </c>
      <c r="D7" s="282" t="s">
        <v>1272</v>
      </c>
      <c r="E7" s="281" t="s">
        <v>887</v>
      </c>
      <c r="F7" s="38" t="s">
        <v>888</v>
      </c>
      <c r="G7" s="35"/>
      <c r="H7" s="201" t="s">
        <v>1347</v>
      </c>
      <c r="I7" s="35"/>
      <c r="J7" s="201" t="s">
        <v>1347</v>
      </c>
      <c r="K7" s="35"/>
      <c r="L7" s="201" t="s">
        <v>1347</v>
      </c>
    </row>
    <row r="8" spans="1:12" ht="22.8" x14ac:dyDescent="0.3">
      <c r="A8" s="183" t="s">
        <v>889</v>
      </c>
      <c r="B8" s="279"/>
      <c r="C8" s="280"/>
      <c r="D8" s="283"/>
      <c r="E8" s="281"/>
      <c r="F8" s="38" t="s">
        <v>890</v>
      </c>
      <c r="G8" s="35"/>
      <c r="H8" s="201" t="s">
        <v>1347</v>
      </c>
      <c r="I8" s="35"/>
      <c r="J8" s="201" t="s">
        <v>1347</v>
      </c>
      <c r="K8" s="35"/>
      <c r="L8" s="201" t="s">
        <v>1347</v>
      </c>
    </row>
    <row r="9" spans="1:12" ht="34.200000000000003" x14ac:dyDescent="0.3">
      <c r="A9" s="183" t="s">
        <v>891</v>
      </c>
      <c r="B9" s="215" t="s">
        <v>892</v>
      </c>
      <c r="C9" s="185" t="s">
        <v>893</v>
      </c>
      <c r="D9" s="183" t="s">
        <v>1273</v>
      </c>
      <c r="E9" s="183" t="s">
        <v>894</v>
      </c>
      <c r="F9" s="38" t="s">
        <v>895</v>
      </c>
      <c r="G9" s="35"/>
      <c r="H9" s="201" t="s">
        <v>1347</v>
      </c>
      <c r="I9" s="35"/>
      <c r="J9" s="201" t="s">
        <v>1347</v>
      </c>
      <c r="K9" s="35"/>
      <c r="L9" s="201" t="s">
        <v>1347</v>
      </c>
    </row>
    <row r="10" spans="1:12" ht="22.8" x14ac:dyDescent="0.3">
      <c r="A10" s="183" t="s">
        <v>896</v>
      </c>
      <c r="B10" s="215" t="s">
        <v>897</v>
      </c>
      <c r="C10" s="185" t="s">
        <v>893</v>
      </c>
      <c r="D10" s="183" t="s">
        <v>1274</v>
      </c>
      <c r="E10" s="183" t="s">
        <v>898</v>
      </c>
      <c r="F10" s="38" t="s">
        <v>899</v>
      </c>
      <c r="G10" s="35"/>
      <c r="H10" s="201" t="s">
        <v>1347</v>
      </c>
      <c r="I10" s="35"/>
      <c r="J10" s="201" t="s">
        <v>1347</v>
      </c>
      <c r="K10" s="35"/>
      <c r="L10" s="201" t="s">
        <v>1347</v>
      </c>
    </row>
    <row r="11" spans="1:12" ht="102.6" x14ac:dyDescent="0.3">
      <c r="A11" s="183" t="s">
        <v>900</v>
      </c>
      <c r="B11" s="215" t="s">
        <v>901</v>
      </c>
      <c r="C11" s="185" t="s">
        <v>902</v>
      </c>
      <c r="D11" s="183" t="s">
        <v>1275</v>
      </c>
      <c r="E11" s="183" t="s">
        <v>903</v>
      </c>
      <c r="F11" s="38" t="s">
        <v>904</v>
      </c>
      <c r="G11" s="35"/>
      <c r="H11" s="201" t="s">
        <v>1347</v>
      </c>
      <c r="I11" s="35"/>
      <c r="J11" s="201" t="s">
        <v>1347</v>
      </c>
      <c r="K11" s="35"/>
      <c r="L11" s="201" t="s">
        <v>1347</v>
      </c>
    </row>
    <row r="12" spans="1:12" ht="79.8" x14ac:dyDescent="0.3">
      <c r="A12" s="183" t="s">
        <v>905</v>
      </c>
      <c r="B12" s="215" t="s">
        <v>906</v>
      </c>
      <c r="C12" s="185" t="s">
        <v>907</v>
      </c>
      <c r="D12" s="183" t="s">
        <v>1276</v>
      </c>
      <c r="E12" s="183" t="s">
        <v>908</v>
      </c>
      <c r="F12" s="38" t="s">
        <v>909</v>
      </c>
      <c r="G12" s="35"/>
      <c r="H12" s="201" t="s">
        <v>1347</v>
      </c>
      <c r="I12" s="35"/>
      <c r="J12" s="201" t="s">
        <v>1347</v>
      </c>
      <c r="K12" s="35"/>
      <c r="L12" s="201" t="s">
        <v>1347</v>
      </c>
    </row>
    <row r="13" spans="1:12" ht="22.8" x14ac:dyDescent="0.3">
      <c r="A13" s="183" t="s">
        <v>910</v>
      </c>
      <c r="B13" s="215" t="s">
        <v>911</v>
      </c>
      <c r="C13" s="39" t="s">
        <v>912</v>
      </c>
      <c r="D13" s="183" t="s">
        <v>1277</v>
      </c>
      <c r="E13" s="183" t="s">
        <v>913</v>
      </c>
      <c r="F13" s="38" t="s">
        <v>914</v>
      </c>
      <c r="G13" s="35"/>
      <c r="H13" s="201" t="s">
        <v>1347</v>
      </c>
      <c r="I13" s="35"/>
      <c r="J13" s="201" t="s">
        <v>1347</v>
      </c>
      <c r="K13" s="35"/>
      <c r="L13" s="201" t="s">
        <v>1347</v>
      </c>
    </row>
  </sheetData>
  <sheetProtection algorithmName="SHA-512" hashValue="THlZgtXzb+o6GdznlnCrQ5cnglRvXnAB9jiO7laXHuBuR+bk5H42AHM5mN6ilXVeIEtVW5imMyP7bVOJXl3CqA==" saltValue="uyJLbDHfRBpNuV4VjCsT8A==" spinCount="100000" sheet="1" selectLockedCells="1"/>
  <mergeCells count="9">
    <mergeCell ref="B7:B8"/>
    <mergeCell ref="C7:C8"/>
    <mergeCell ref="D7:D8"/>
    <mergeCell ref="E7:E8"/>
    <mergeCell ref="A2:L2"/>
    <mergeCell ref="B4:B6"/>
    <mergeCell ref="C4:C6"/>
    <mergeCell ref="D4:D6"/>
    <mergeCell ref="E4:E6"/>
  </mergeCells>
  <conditionalFormatting sqref="L3:L13 J3:J13 H3:H13">
    <cfRule type="expression" dxfId="49" priority="1">
      <formula>NOT(H3="Comment is required")</formula>
    </cfRule>
    <cfRule type="expression" dxfId="48" priority="2">
      <formula>AND(OR(G3="N/A",G3="Partial"),H3="Comment is required")</formula>
    </cfRule>
  </conditionalFormatting>
  <dataValidations count="2">
    <dataValidation type="list" showInputMessage="1" showErrorMessage="1" sqref="I3:I13 G3:G13 K3:K13" xr:uid="{00000000-0002-0000-1600-000000000000}">
      <formula1>"Yes, No, Partial, N/A"</formula1>
    </dataValidation>
    <dataValidation showInputMessage="1" showErrorMessage="1" sqref="H3:H13 J3:J13 L3:L13" xr:uid="{00000000-0002-0000-1600-000001000000}"/>
  </dataValidations>
  <hyperlinks>
    <hyperlink ref="B3" r:id="rId1" xr:uid="{00000000-0004-0000-1600-000000000000}"/>
    <hyperlink ref="B4:B6" r:id="rId2" display="PS-2" xr:uid="{00000000-0004-0000-1600-000001000000}"/>
    <hyperlink ref="B7:B8" r:id="rId3" display="PS-3" xr:uid="{00000000-0004-0000-1600-000002000000}"/>
    <hyperlink ref="B9" r:id="rId4" xr:uid="{00000000-0004-0000-1600-000003000000}"/>
    <hyperlink ref="B10" r:id="rId5" xr:uid="{00000000-0004-0000-1600-000004000000}"/>
    <hyperlink ref="B11" r:id="rId6" xr:uid="{00000000-0004-0000-1600-000005000000}"/>
    <hyperlink ref="B12" r:id="rId7" xr:uid="{00000000-0004-0000-1600-000006000000}"/>
    <hyperlink ref="B13" r:id="rId8" xr:uid="{00000000-0004-0000-1600-000007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L6"/>
  <sheetViews>
    <sheetView showGridLines="0" zoomScaleNormal="100" workbookViewId="0">
      <pane xSplit="2" ySplit="2" topLeftCell="C3" activePane="bottomRight" state="frozen"/>
      <selection activeCell="D19" sqref="D19:D22"/>
      <selection pane="topRight" activeCell="D19" sqref="D19:D22"/>
      <selection pane="bottomLeft" activeCell="D19" sqref="D19:D22"/>
      <selection pane="bottomRight" activeCell="G3" sqref="G3"/>
    </sheetView>
  </sheetViews>
  <sheetFormatPr defaultColWidth="9" defaultRowHeight="14.4" x14ac:dyDescent="0.3"/>
  <cols>
    <col min="1" max="1" width="17.5546875" style="14" customWidth="1"/>
    <col min="2" max="2" width="19.88671875" style="14" customWidth="1"/>
    <col min="3" max="3" width="21.5546875" style="14" customWidth="1"/>
    <col min="4" max="4" width="21.5546875" style="14" hidden="1" customWidth="1"/>
    <col min="5" max="5" width="22.44140625" style="14" customWidth="1"/>
    <col min="6" max="6" width="55.6640625" style="14" customWidth="1"/>
    <col min="7" max="7" width="15.6640625" style="14" customWidth="1"/>
    <col min="8" max="8" width="20.6640625" style="14" customWidth="1"/>
    <col min="9" max="9" width="15.6640625" style="14" customWidth="1"/>
    <col min="10" max="10" width="20.6640625" style="14" customWidth="1"/>
    <col min="11" max="11" width="15.6640625" style="14" customWidth="1"/>
    <col min="12" max="12" width="20.6640625" style="14" customWidth="1"/>
    <col min="13" max="16384" width="9" style="14"/>
  </cols>
  <sheetData>
    <row r="1" spans="1:12" ht="50.1" customHeight="1" x14ac:dyDescent="0.3">
      <c r="A1" s="3" t="s">
        <v>77</v>
      </c>
      <c r="B1" s="3" t="s">
        <v>120</v>
      </c>
      <c r="C1" s="3" t="s">
        <v>200</v>
      </c>
      <c r="D1" s="3" t="s">
        <v>1221</v>
      </c>
      <c r="E1" s="3" t="s">
        <v>78</v>
      </c>
      <c r="F1" s="3" t="s">
        <v>201</v>
      </c>
      <c r="G1" s="3" t="str">
        <f>Scope!$B$4 &amp; " Response:"</f>
        <v>Client -server application hosted at the data center  Response:</v>
      </c>
      <c r="H1" s="3" t="str">
        <f>Scope!$B$4 &amp;" Comments:"</f>
        <v>Client -server application hosted at the data center  Comments:</v>
      </c>
      <c r="I1" s="3" t="str">
        <f>Scope!$D$4 &amp; " Response:"</f>
        <v xml:space="preserve"> Response:</v>
      </c>
      <c r="J1" s="3" t="str">
        <f>Scope!$D$4 &amp; " Comments:"</f>
        <v xml:space="preserve"> Comments:</v>
      </c>
      <c r="K1" s="3" t="str">
        <f>Scope!$F$4 &amp; " Response:"</f>
        <v xml:space="preserve"> Response:</v>
      </c>
      <c r="L1" s="3" t="str">
        <f>Scope!$F$4 &amp; " Comments:"</f>
        <v xml:space="preserve"> Comments:</v>
      </c>
    </row>
    <row r="2" spans="1:12" ht="15.6" x14ac:dyDescent="0.3">
      <c r="A2" s="294" t="s">
        <v>915</v>
      </c>
      <c r="B2" s="294"/>
      <c r="C2" s="294"/>
      <c r="D2" s="294"/>
      <c r="E2" s="294"/>
      <c r="F2" s="294"/>
      <c r="G2" s="294"/>
      <c r="H2" s="294"/>
      <c r="I2" s="294"/>
      <c r="J2" s="294"/>
      <c r="K2" s="294"/>
      <c r="L2" s="294"/>
    </row>
    <row r="3" spans="1:12" ht="79.8" x14ac:dyDescent="0.3">
      <c r="A3" s="183" t="s">
        <v>916</v>
      </c>
      <c r="B3" s="215" t="s">
        <v>917</v>
      </c>
      <c r="C3" s="185" t="s">
        <v>918</v>
      </c>
      <c r="D3" s="183" t="s">
        <v>1278</v>
      </c>
      <c r="E3" s="183" t="s">
        <v>919</v>
      </c>
      <c r="F3" s="185" t="s">
        <v>920</v>
      </c>
      <c r="G3" s="35"/>
      <c r="H3" s="201" t="s">
        <v>1347</v>
      </c>
      <c r="I3" s="35"/>
      <c r="J3" s="201" t="s">
        <v>1347</v>
      </c>
      <c r="K3" s="35"/>
      <c r="L3" s="201" t="s">
        <v>1347</v>
      </c>
    </row>
    <row r="4" spans="1:12" ht="45.6" x14ac:dyDescent="0.3">
      <c r="A4" s="183" t="s">
        <v>921</v>
      </c>
      <c r="B4" s="213" t="s">
        <v>922</v>
      </c>
      <c r="C4" s="185" t="s">
        <v>923</v>
      </c>
      <c r="D4" s="183"/>
      <c r="E4" s="183" t="s">
        <v>924</v>
      </c>
      <c r="F4" s="36" t="s">
        <v>925</v>
      </c>
      <c r="G4" s="35"/>
      <c r="H4" s="201" t="s">
        <v>1347</v>
      </c>
      <c r="I4" s="35"/>
      <c r="J4" s="201" t="s">
        <v>1347</v>
      </c>
      <c r="K4" s="35"/>
      <c r="L4" s="201" t="s">
        <v>1347</v>
      </c>
    </row>
    <row r="5" spans="1:12" ht="45.6" x14ac:dyDescent="0.3">
      <c r="A5" s="183" t="s">
        <v>926</v>
      </c>
      <c r="B5" s="215" t="s">
        <v>927</v>
      </c>
      <c r="C5" s="185" t="s">
        <v>928</v>
      </c>
      <c r="D5" s="183" t="s">
        <v>1279</v>
      </c>
      <c r="E5" s="183" t="s">
        <v>929</v>
      </c>
      <c r="F5" s="36" t="s">
        <v>930</v>
      </c>
      <c r="G5" s="35"/>
      <c r="H5" s="201" t="s">
        <v>1347</v>
      </c>
      <c r="I5" s="35"/>
      <c r="J5" s="201" t="s">
        <v>1347</v>
      </c>
      <c r="K5" s="35"/>
      <c r="L5" s="201" t="s">
        <v>1347</v>
      </c>
    </row>
    <row r="6" spans="1:12" ht="57" x14ac:dyDescent="0.3">
      <c r="A6" s="183" t="s">
        <v>931</v>
      </c>
      <c r="B6" s="213" t="s">
        <v>198</v>
      </c>
      <c r="C6" s="185"/>
      <c r="D6" s="183"/>
      <c r="E6" s="183" t="s">
        <v>932</v>
      </c>
      <c r="F6" s="38" t="s">
        <v>1304</v>
      </c>
      <c r="G6" s="35"/>
      <c r="H6" s="203" t="s">
        <v>1347</v>
      </c>
      <c r="I6" s="35"/>
      <c r="J6" s="203" t="s">
        <v>1347</v>
      </c>
      <c r="K6" s="35"/>
      <c r="L6" s="203" t="s">
        <v>1347</v>
      </c>
    </row>
  </sheetData>
  <sheetProtection algorithmName="SHA-512" hashValue="z6ddLbF3KRVQPb6EbjOdRD77s7Yo8NDrWL4zNhhDHRa1ampOFV68UfgWTpDI5b59GVO6aE266gJBbKVeVIl/qA==" saltValue="1pEFthjyUTQHPABxTxzmHw==" spinCount="100000" sheet="1" selectLockedCells="1"/>
  <mergeCells count="1">
    <mergeCell ref="A2:L2"/>
  </mergeCells>
  <conditionalFormatting sqref="L3:L5 J3:J5 H3:H5">
    <cfRule type="expression" dxfId="47" priority="4">
      <formula>NOT(H3="Comment is required")</formula>
    </cfRule>
    <cfRule type="expression" dxfId="46" priority="5">
      <formula>AND(OR(G3="N/A",G3="Partial"),H3="Comment is required")</formula>
    </cfRule>
  </conditionalFormatting>
  <conditionalFormatting sqref="L6 J6 H6">
    <cfRule type="expression" dxfId="45" priority="2">
      <formula>NOT(H6="Comment is required")</formula>
    </cfRule>
    <cfRule type="expression" dxfId="44" priority="3">
      <formula>AND(OR(G6="N/A",G6="Partial"),H6="Comment is required")</formula>
    </cfRule>
  </conditionalFormatting>
  <conditionalFormatting sqref="L6 J6 H6">
    <cfRule type="expression" dxfId="43" priority="1">
      <formula>G6="Yes"</formula>
    </cfRule>
  </conditionalFormatting>
  <dataValidations count="2">
    <dataValidation type="list" showInputMessage="1" showErrorMessage="1" sqref="I3:I6 G3:G6 K3:K6" xr:uid="{00000000-0002-0000-1700-000000000000}">
      <formula1>"Yes, No, Partial, N/A"</formula1>
    </dataValidation>
    <dataValidation showInputMessage="1" showErrorMessage="1" sqref="H3:H6 J3:J6 L3:L6" xr:uid="{00000000-0002-0000-1700-000001000000}"/>
  </dataValidations>
  <hyperlinks>
    <hyperlink ref="B3" r:id="rId1" xr:uid="{00000000-0004-0000-1700-000000000000}"/>
    <hyperlink ref="B4" r:id="rId2" xr:uid="{00000000-0004-0000-1700-000001000000}"/>
    <hyperlink ref="B5" r:id="rId3" xr:uid="{00000000-0004-0000-1700-000002000000}"/>
    <hyperlink ref="B6" r:id="rId4" xr:uid="{00000000-0004-0000-1700-000003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L18"/>
  <sheetViews>
    <sheetView showGridLines="0" zoomScaleNormal="100" workbookViewId="0">
      <pane xSplit="2" ySplit="2" topLeftCell="C12" activePane="bottomRight" state="frozen"/>
      <selection activeCell="D19" sqref="D19:D22"/>
      <selection pane="topRight" activeCell="D19" sqref="D19:D22"/>
      <selection pane="bottomLeft" activeCell="D19" sqref="D19:D22"/>
      <selection pane="bottomRight" activeCell="G3" sqref="G3"/>
    </sheetView>
  </sheetViews>
  <sheetFormatPr defaultColWidth="9" defaultRowHeight="14.4" x14ac:dyDescent="0.3"/>
  <cols>
    <col min="1" max="1" width="17.5546875" style="14" customWidth="1"/>
    <col min="2" max="2" width="18" style="14" customWidth="1"/>
    <col min="3" max="3" width="18.6640625" style="14" customWidth="1"/>
    <col min="4" max="4" width="18.6640625" style="14" hidden="1" customWidth="1"/>
    <col min="5" max="5" width="26.6640625" style="14" customWidth="1"/>
    <col min="6" max="6" width="55.6640625" style="14" customWidth="1"/>
    <col min="7" max="7" width="15.6640625" style="14" customWidth="1"/>
    <col min="8" max="8" width="20.6640625" style="14" customWidth="1"/>
    <col min="9" max="9" width="15.6640625" style="14" customWidth="1"/>
    <col min="10" max="10" width="20.6640625" style="14" customWidth="1"/>
    <col min="11" max="11" width="15.6640625" style="14" customWidth="1"/>
    <col min="12" max="12" width="20.6640625" style="14" customWidth="1"/>
    <col min="13" max="16384" width="9" style="14"/>
  </cols>
  <sheetData>
    <row r="1" spans="1:12" ht="50.1" customHeight="1" x14ac:dyDescent="0.3">
      <c r="A1" s="3" t="s">
        <v>77</v>
      </c>
      <c r="B1" s="3" t="s">
        <v>120</v>
      </c>
      <c r="C1" s="3" t="s">
        <v>200</v>
      </c>
      <c r="D1" s="3" t="s">
        <v>1221</v>
      </c>
      <c r="E1" s="3" t="s">
        <v>78</v>
      </c>
      <c r="F1" s="3" t="s">
        <v>201</v>
      </c>
      <c r="G1" s="3" t="str">
        <f>Scope!$B$4 &amp; " Response:"</f>
        <v>Client -server application hosted at the data center  Response:</v>
      </c>
      <c r="H1" s="3" t="str">
        <f>Scope!$B$4 &amp;" Comments:"</f>
        <v>Client -server application hosted at the data center  Comments:</v>
      </c>
      <c r="I1" s="3" t="str">
        <f>Scope!$D$4 &amp; " Response:"</f>
        <v xml:space="preserve"> Response:</v>
      </c>
      <c r="J1" s="3" t="str">
        <f>Scope!$D$4 &amp; " Comments:"</f>
        <v xml:space="preserve"> Comments:</v>
      </c>
      <c r="K1" s="3" t="str">
        <f>Scope!$F$4 &amp; " Response:"</f>
        <v xml:space="preserve"> Response:</v>
      </c>
      <c r="L1" s="3" t="str">
        <f>Scope!$F$4 &amp; " Comments:"</f>
        <v xml:space="preserve"> Comments:</v>
      </c>
    </row>
    <row r="2" spans="1:12" ht="15.6" x14ac:dyDescent="0.3">
      <c r="A2" s="294" t="s">
        <v>933</v>
      </c>
      <c r="B2" s="294"/>
      <c r="C2" s="294"/>
      <c r="D2" s="294"/>
      <c r="E2" s="294"/>
      <c r="F2" s="294"/>
      <c r="G2" s="294"/>
      <c r="H2" s="294"/>
      <c r="I2" s="294"/>
      <c r="J2" s="294"/>
      <c r="K2" s="294"/>
      <c r="L2" s="294"/>
    </row>
    <row r="3" spans="1:12" ht="68.400000000000006" x14ac:dyDescent="0.3">
      <c r="A3" s="183" t="s">
        <v>934</v>
      </c>
      <c r="B3" s="215" t="s">
        <v>935</v>
      </c>
      <c r="C3" s="185"/>
      <c r="D3" s="183" t="s">
        <v>1240</v>
      </c>
      <c r="E3" s="183" t="s">
        <v>936</v>
      </c>
      <c r="F3" s="37" t="s">
        <v>937</v>
      </c>
      <c r="G3" s="35"/>
      <c r="H3" s="201" t="s">
        <v>1347</v>
      </c>
      <c r="I3" s="35"/>
      <c r="J3" s="201" t="s">
        <v>1347</v>
      </c>
      <c r="K3" s="35"/>
      <c r="L3" s="201" t="s">
        <v>1347</v>
      </c>
    </row>
    <row r="4" spans="1:12" ht="22.8" x14ac:dyDescent="0.3">
      <c r="A4" s="183" t="s">
        <v>938</v>
      </c>
      <c r="B4" s="215" t="s">
        <v>939</v>
      </c>
      <c r="C4" s="185"/>
      <c r="D4" s="183" t="s">
        <v>1268</v>
      </c>
      <c r="E4" s="183" t="s">
        <v>940</v>
      </c>
      <c r="F4" s="38" t="s">
        <v>941</v>
      </c>
      <c r="G4" s="35"/>
      <c r="H4" s="201" t="s">
        <v>1347</v>
      </c>
      <c r="I4" s="35"/>
      <c r="J4" s="201" t="s">
        <v>1347</v>
      </c>
      <c r="K4" s="35"/>
      <c r="L4" s="201" t="s">
        <v>1347</v>
      </c>
    </row>
    <row r="5" spans="1:12" ht="22.8" x14ac:dyDescent="0.3">
      <c r="A5" s="183" t="s">
        <v>942</v>
      </c>
      <c r="B5" s="215" t="s">
        <v>943</v>
      </c>
      <c r="C5" s="185"/>
      <c r="D5" s="183"/>
      <c r="E5" s="183" t="s">
        <v>944</v>
      </c>
      <c r="F5" s="38" t="s">
        <v>945</v>
      </c>
      <c r="G5" s="35"/>
      <c r="H5" s="201" t="s">
        <v>1347</v>
      </c>
      <c r="I5" s="35"/>
      <c r="J5" s="201" t="s">
        <v>1347</v>
      </c>
      <c r="K5" s="35"/>
      <c r="L5" s="201" t="s">
        <v>1347</v>
      </c>
    </row>
    <row r="6" spans="1:12" ht="68.400000000000006" x14ac:dyDescent="0.3">
      <c r="A6" s="183" t="s">
        <v>946</v>
      </c>
      <c r="B6" s="213" t="s">
        <v>947</v>
      </c>
      <c r="C6" s="185" t="s">
        <v>948</v>
      </c>
      <c r="D6" s="183"/>
      <c r="E6" s="183" t="s">
        <v>949</v>
      </c>
      <c r="F6" s="38" t="s">
        <v>950</v>
      </c>
      <c r="G6" s="35"/>
      <c r="H6" s="201" t="s">
        <v>1347</v>
      </c>
      <c r="I6" s="35"/>
      <c r="J6" s="201" t="s">
        <v>1347</v>
      </c>
      <c r="K6" s="35"/>
      <c r="L6" s="201" t="s">
        <v>1347</v>
      </c>
    </row>
    <row r="7" spans="1:12" ht="91.2" x14ac:dyDescent="0.3">
      <c r="A7" s="183" t="s">
        <v>951</v>
      </c>
      <c r="B7" s="279" t="s">
        <v>952</v>
      </c>
      <c r="C7" s="281"/>
      <c r="D7" s="282"/>
      <c r="E7" s="281" t="s">
        <v>953</v>
      </c>
      <c r="F7" s="185" t="s">
        <v>954</v>
      </c>
      <c r="G7" s="35"/>
      <c r="H7" s="201" t="s">
        <v>1347</v>
      </c>
      <c r="I7" s="35"/>
      <c r="J7" s="201" t="s">
        <v>1347</v>
      </c>
      <c r="K7" s="35"/>
      <c r="L7" s="201" t="s">
        <v>1347</v>
      </c>
    </row>
    <row r="8" spans="1:12" ht="102.6" x14ac:dyDescent="0.3">
      <c r="A8" s="183" t="s">
        <v>955</v>
      </c>
      <c r="B8" s="279"/>
      <c r="C8" s="281"/>
      <c r="D8" s="290"/>
      <c r="E8" s="281"/>
      <c r="F8" s="185" t="s">
        <v>956</v>
      </c>
      <c r="G8" s="35"/>
      <c r="H8" s="201" t="s">
        <v>1347</v>
      </c>
      <c r="I8" s="35"/>
      <c r="J8" s="201" t="s">
        <v>1347</v>
      </c>
      <c r="K8" s="35"/>
      <c r="L8" s="201" t="s">
        <v>1347</v>
      </c>
    </row>
    <row r="9" spans="1:12" ht="22.8" x14ac:dyDescent="0.3">
      <c r="A9" s="183" t="s">
        <v>957</v>
      </c>
      <c r="B9" s="279"/>
      <c r="C9" s="281"/>
      <c r="D9" s="290"/>
      <c r="E9" s="281"/>
      <c r="F9" s="37" t="s">
        <v>958</v>
      </c>
      <c r="G9" s="35"/>
      <c r="H9" s="201" t="s">
        <v>1347</v>
      </c>
      <c r="I9" s="35"/>
      <c r="J9" s="201" t="s">
        <v>1347</v>
      </c>
      <c r="K9" s="35"/>
      <c r="L9" s="201" t="s">
        <v>1347</v>
      </c>
    </row>
    <row r="10" spans="1:12" ht="22.8" x14ac:dyDescent="0.3">
      <c r="A10" s="183" t="s">
        <v>959</v>
      </c>
      <c r="B10" s="279"/>
      <c r="C10" s="281"/>
      <c r="D10" s="283"/>
      <c r="E10" s="281"/>
      <c r="F10" s="37" t="s">
        <v>960</v>
      </c>
      <c r="G10" s="35"/>
      <c r="H10" s="201" t="s">
        <v>1347</v>
      </c>
      <c r="I10" s="35"/>
      <c r="J10" s="201" t="s">
        <v>1347</v>
      </c>
      <c r="K10" s="35"/>
      <c r="L10" s="201" t="s">
        <v>1347</v>
      </c>
    </row>
    <row r="11" spans="1:12" ht="34.200000000000003" x14ac:dyDescent="0.3">
      <c r="A11" s="183" t="s">
        <v>961</v>
      </c>
      <c r="B11" s="215" t="s">
        <v>962</v>
      </c>
      <c r="C11" s="185"/>
      <c r="D11" s="183"/>
      <c r="E11" s="183" t="s">
        <v>963</v>
      </c>
      <c r="F11" s="38" t="s">
        <v>964</v>
      </c>
      <c r="G11" s="35"/>
      <c r="H11" s="201" t="s">
        <v>1347</v>
      </c>
      <c r="I11" s="35"/>
      <c r="J11" s="201" t="s">
        <v>1347</v>
      </c>
      <c r="K11" s="35"/>
      <c r="L11" s="201" t="s">
        <v>1347</v>
      </c>
    </row>
    <row r="12" spans="1:12" ht="68.400000000000006" x14ac:dyDescent="0.3">
      <c r="A12" s="183" t="s">
        <v>965</v>
      </c>
      <c r="B12" s="213" t="s">
        <v>966</v>
      </c>
      <c r="C12" s="185" t="s">
        <v>967</v>
      </c>
      <c r="D12" s="183" t="s">
        <v>1280</v>
      </c>
      <c r="E12" s="183" t="s">
        <v>968</v>
      </c>
      <c r="F12" s="38" t="s">
        <v>969</v>
      </c>
      <c r="G12" s="35"/>
      <c r="H12" s="201" t="s">
        <v>1347</v>
      </c>
      <c r="I12" s="35"/>
      <c r="J12" s="201" t="s">
        <v>1347</v>
      </c>
      <c r="K12" s="35"/>
      <c r="L12" s="201" t="s">
        <v>1347</v>
      </c>
    </row>
    <row r="13" spans="1:12" ht="45.6" x14ac:dyDescent="0.3">
      <c r="A13" s="183" t="s">
        <v>970</v>
      </c>
      <c r="B13" s="215" t="s">
        <v>971</v>
      </c>
      <c r="C13" s="185"/>
      <c r="D13" s="183"/>
      <c r="E13" s="183" t="s">
        <v>972</v>
      </c>
      <c r="F13" s="38" t="s">
        <v>973</v>
      </c>
      <c r="G13" s="35"/>
      <c r="H13" s="201" t="s">
        <v>1347</v>
      </c>
      <c r="I13" s="35"/>
      <c r="J13" s="201" t="s">
        <v>1347</v>
      </c>
      <c r="K13" s="35"/>
      <c r="L13" s="201" t="s">
        <v>1347</v>
      </c>
    </row>
    <row r="14" spans="1:12" ht="45.6" x14ac:dyDescent="0.3">
      <c r="A14" s="183" t="s">
        <v>974</v>
      </c>
      <c r="B14" s="213" t="s">
        <v>975</v>
      </c>
      <c r="C14" s="185"/>
      <c r="D14" s="183"/>
      <c r="E14" s="183" t="s">
        <v>976</v>
      </c>
      <c r="F14" s="38" t="s">
        <v>977</v>
      </c>
      <c r="G14" s="35"/>
      <c r="H14" s="201" t="s">
        <v>1347</v>
      </c>
      <c r="I14" s="35"/>
      <c r="J14" s="201" t="s">
        <v>1347</v>
      </c>
      <c r="K14" s="35"/>
      <c r="L14" s="201" t="s">
        <v>1347</v>
      </c>
    </row>
    <row r="15" spans="1:12" ht="91.2" x14ac:dyDescent="0.3">
      <c r="A15" s="189" t="s">
        <v>1334</v>
      </c>
      <c r="B15" s="216" t="s">
        <v>1286</v>
      </c>
      <c r="C15" s="167" t="s">
        <v>1288</v>
      </c>
      <c r="D15" s="168"/>
      <c r="E15" s="183" t="s">
        <v>1287</v>
      </c>
      <c r="F15" s="20" t="s">
        <v>1333</v>
      </c>
      <c r="G15" s="35"/>
      <c r="H15" s="201" t="s">
        <v>1347</v>
      </c>
      <c r="I15" s="35"/>
      <c r="J15" s="201" t="s">
        <v>1347</v>
      </c>
      <c r="K15" s="35"/>
      <c r="L15" s="201" t="s">
        <v>1347</v>
      </c>
    </row>
    <row r="16" spans="1:12" ht="15" x14ac:dyDescent="0.3">
      <c r="C16" s="166"/>
    </row>
    <row r="17" spans="3:3" ht="15" x14ac:dyDescent="0.3">
      <c r="C17" s="166"/>
    </row>
    <row r="18" spans="3:3" ht="15" x14ac:dyDescent="0.3">
      <c r="C18" s="166"/>
    </row>
  </sheetData>
  <sheetProtection algorithmName="SHA-512" hashValue="6YRLuIbTu+JfFoRlyODSmtWKHUSdBn7vDTBznL8u84bZ8qTFJjW5KhB7A+qoQwJZV/h7JSUDFYkiI71lmymu4g==" saltValue="XiLbWE9ATNJgDmpoJE3quw==" spinCount="100000" sheet="1" selectLockedCells="1"/>
  <mergeCells count="5">
    <mergeCell ref="A2:L2"/>
    <mergeCell ref="B7:B10"/>
    <mergeCell ref="C7:C10"/>
    <mergeCell ref="D7:D10"/>
    <mergeCell ref="E7:E10"/>
  </mergeCells>
  <conditionalFormatting sqref="H3:H15 J3:J15 L3:L15">
    <cfRule type="expression" dxfId="42" priority="1">
      <formula>NOT(H3="Comment is required")</formula>
    </cfRule>
    <cfRule type="expression" dxfId="41" priority="2">
      <formula>AND(OR(G3="N/A",G3="Partial"),H3="Comment is required")</formula>
    </cfRule>
  </conditionalFormatting>
  <dataValidations count="2">
    <dataValidation type="list" showInputMessage="1" showErrorMessage="1" sqref="I3:I15 G3:G15 K3:K15" xr:uid="{00000000-0002-0000-1800-000000000000}">
      <formula1>"Yes, No, Partial, N/A"</formula1>
    </dataValidation>
    <dataValidation showInputMessage="1" showErrorMessage="1" sqref="J3:J15 H3:H15 L3:L15" xr:uid="{00000000-0002-0000-1800-000001000000}"/>
  </dataValidations>
  <hyperlinks>
    <hyperlink ref="B3" r:id="rId1" xr:uid="{00000000-0004-0000-1800-000000000000}"/>
    <hyperlink ref="B4" r:id="rId2" xr:uid="{00000000-0004-0000-1800-000001000000}"/>
    <hyperlink ref="B5" r:id="rId3" xr:uid="{00000000-0004-0000-1800-000002000000}"/>
    <hyperlink ref="B6" r:id="rId4" xr:uid="{00000000-0004-0000-1800-000003000000}"/>
    <hyperlink ref="B7:B10" r:id="rId5" display="SA-5" xr:uid="{00000000-0004-0000-1800-000004000000}"/>
    <hyperlink ref="B11" r:id="rId6" xr:uid="{00000000-0004-0000-1800-000005000000}"/>
    <hyperlink ref="B12" r:id="rId7" xr:uid="{00000000-0004-0000-1800-000006000000}"/>
    <hyperlink ref="B13" r:id="rId8" xr:uid="{00000000-0004-0000-1800-000007000000}"/>
    <hyperlink ref="B14" r:id="rId9" xr:uid="{00000000-0004-0000-1800-000008000000}"/>
    <hyperlink ref="B15" r:id="rId10" xr:uid="{00000000-0004-0000-1800-000009000000}"/>
  </hyperlinks>
  <pageMargins left="0.7" right="0.7" top="0.75" bottom="0.75" header="0.3" footer="0.3"/>
  <pageSetup orientation="portrait" horizontalDpi="0" verticalDpi="0" r:id="rId1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L37"/>
  <sheetViews>
    <sheetView showGridLines="0" zoomScaleNormal="100" workbookViewId="0">
      <pane xSplit="2" ySplit="2" topLeftCell="E3" activePane="bottomRight" state="frozen"/>
      <selection activeCell="D19" sqref="D19:D22"/>
      <selection pane="topRight" activeCell="D19" sqref="D19:D22"/>
      <selection pane="bottomLeft" activeCell="D19" sqref="D19:D22"/>
      <selection pane="bottomRight" activeCell="G3" sqref="G3"/>
    </sheetView>
  </sheetViews>
  <sheetFormatPr defaultColWidth="9" defaultRowHeight="14.4" x14ac:dyDescent="0.3"/>
  <cols>
    <col min="1" max="1" width="17.5546875" style="14" customWidth="1"/>
    <col min="2" max="3" width="25.44140625" style="14" customWidth="1"/>
    <col min="4" max="4" width="25.44140625" style="14" hidden="1" customWidth="1"/>
    <col min="5" max="5" width="25.44140625" style="14" customWidth="1"/>
    <col min="6" max="6" width="54.88671875" style="14" customWidth="1"/>
    <col min="7" max="7" width="15.6640625" style="14" customWidth="1"/>
    <col min="8" max="8" width="20.6640625" style="14" customWidth="1"/>
    <col min="9" max="9" width="15.6640625" style="14" customWidth="1"/>
    <col min="10" max="10" width="20.6640625" style="14" customWidth="1"/>
    <col min="11" max="11" width="15.6640625" style="14" customWidth="1"/>
    <col min="12" max="12" width="20.6640625" style="14" customWidth="1"/>
    <col min="13" max="16384" width="9" style="14"/>
  </cols>
  <sheetData>
    <row r="1" spans="1:12" ht="50.1" customHeight="1" x14ac:dyDescent="0.3">
      <c r="A1" s="3" t="s">
        <v>77</v>
      </c>
      <c r="B1" s="3" t="s">
        <v>120</v>
      </c>
      <c r="C1" s="3" t="s">
        <v>200</v>
      </c>
      <c r="D1" s="3" t="s">
        <v>1221</v>
      </c>
      <c r="E1" s="3" t="s">
        <v>78</v>
      </c>
      <c r="F1" s="3" t="s">
        <v>201</v>
      </c>
      <c r="G1" s="3" t="str">
        <f>Scope!$B$4 &amp; " Response:"</f>
        <v>Client -server application hosted at the data center  Response:</v>
      </c>
      <c r="H1" s="3" t="str">
        <f>Scope!$B$4 &amp;" Comments:"</f>
        <v>Client -server application hosted at the data center  Comments:</v>
      </c>
      <c r="I1" s="3" t="str">
        <f>Scope!$D$4 &amp; " Response:"</f>
        <v xml:space="preserve"> Response:</v>
      </c>
      <c r="J1" s="3" t="str">
        <f>Scope!$D$4 &amp; " Comments:"</f>
        <v xml:space="preserve"> Comments:</v>
      </c>
      <c r="K1" s="3" t="str">
        <f>Scope!$F$4 &amp; " Response:"</f>
        <v xml:space="preserve"> Response:</v>
      </c>
      <c r="L1" s="3" t="str">
        <f>Scope!$F$4 &amp; " Comments:"</f>
        <v xml:space="preserve"> Comments:</v>
      </c>
    </row>
    <row r="2" spans="1:12" ht="15.6" x14ac:dyDescent="0.3">
      <c r="A2" s="294" t="s">
        <v>978</v>
      </c>
      <c r="B2" s="294"/>
      <c r="C2" s="294"/>
      <c r="D2" s="294"/>
      <c r="E2" s="294"/>
      <c r="F2" s="294"/>
      <c r="G2" s="294"/>
      <c r="H2" s="294"/>
      <c r="I2" s="294"/>
      <c r="J2" s="294"/>
      <c r="K2" s="294"/>
      <c r="L2" s="294"/>
    </row>
    <row r="3" spans="1:12" ht="91.2" x14ac:dyDescent="0.3">
      <c r="A3" s="183" t="s">
        <v>979</v>
      </c>
      <c r="B3" s="215" t="s">
        <v>980</v>
      </c>
      <c r="C3" s="185"/>
      <c r="D3" s="183" t="s">
        <v>1281</v>
      </c>
      <c r="E3" s="183" t="s">
        <v>981</v>
      </c>
      <c r="F3" s="185" t="s">
        <v>982</v>
      </c>
      <c r="G3" s="35"/>
      <c r="H3" s="201" t="s">
        <v>1347</v>
      </c>
      <c r="I3" s="35"/>
      <c r="J3" s="201" t="s">
        <v>1347</v>
      </c>
      <c r="K3" s="35"/>
      <c r="L3" s="201" t="s">
        <v>1347</v>
      </c>
    </row>
    <row r="4" spans="1:12" ht="22.8" x14ac:dyDescent="0.3">
      <c r="A4" s="183" t="s">
        <v>983</v>
      </c>
      <c r="B4" s="215" t="s">
        <v>984</v>
      </c>
      <c r="C4" s="185"/>
      <c r="D4" s="183" t="s">
        <v>1282</v>
      </c>
      <c r="E4" s="183" t="s">
        <v>985</v>
      </c>
      <c r="F4" s="37" t="s">
        <v>1370</v>
      </c>
      <c r="G4" s="35"/>
      <c r="H4" s="201" t="s">
        <v>1347</v>
      </c>
      <c r="I4" s="35"/>
      <c r="J4" s="201" t="s">
        <v>1347</v>
      </c>
      <c r="K4" s="35"/>
      <c r="L4" s="201" t="s">
        <v>1347</v>
      </c>
    </row>
    <row r="5" spans="1:12" ht="22.8" x14ac:dyDescent="0.3">
      <c r="A5" s="183" t="s">
        <v>987</v>
      </c>
      <c r="B5" s="215" t="s">
        <v>988</v>
      </c>
      <c r="C5" s="185"/>
      <c r="D5" s="183" t="s">
        <v>1283</v>
      </c>
      <c r="E5" s="183" t="s">
        <v>989</v>
      </c>
      <c r="F5" s="37" t="s">
        <v>1369</v>
      </c>
      <c r="G5" s="35"/>
      <c r="H5" s="201" t="s">
        <v>1347</v>
      </c>
      <c r="I5" s="35"/>
      <c r="J5" s="201" t="s">
        <v>1347</v>
      </c>
      <c r="K5" s="35"/>
      <c r="L5" s="201" t="s">
        <v>1347</v>
      </c>
    </row>
    <row r="6" spans="1:12" ht="22.8" x14ac:dyDescent="0.3">
      <c r="A6" s="183" t="s">
        <v>991</v>
      </c>
      <c r="B6" s="215" t="s">
        <v>992</v>
      </c>
      <c r="C6" s="185"/>
      <c r="D6" s="183"/>
      <c r="E6" s="183" t="s">
        <v>993</v>
      </c>
      <c r="F6" s="38" t="s">
        <v>994</v>
      </c>
      <c r="G6" s="35"/>
      <c r="H6" s="201" t="s">
        <v>1347</v>
      </c>
      <c r="I6" s="35"/>
      <c r="J6" s="201" t="s">
        <v>1347</v>
      </c>
      <c r="K6" s="35"/>
      <c r="L6" s="201" t="s">
        <v>1347</v>
      </c>
    </row>
    <row r="7" spans="1:12" ht="22.8" x14ac:dyDescent="0.3">
      <c r="A7" s="183" t="s">
        <v>995</v>
      </c>
      <c r="B7" s="215" t="s">
        <v>996</v>
      </c>
      <c r="C7" s="185"/>
      <c r="D7" s="183"/>
      <c r="E7" s="183" t="s">
        <v>997</v>
      </c>
      <c r="F7" s="37" t="s">
        <v>998</v>
      </c>
      <c r="G7" s="35"/>
      <c r="H7" s="201" t="s">
        <v>1347</v>
      </c>
      <c r="I7" s="35"/>
      <c r="J7" s="201" t="s">
        <v>1347</v>
      </c>
      <c r="K7" s="35"/>
      <c r="L7" s="201" t="s">
        <v>1347</v>
      </c>
    </row>
    <row r="8" spans="1:12" ht="22.8" x14ac:dyDescent="0.3">
      <c r="A8" s="183" t="s">
        <v>999</v>
      </c>
      <c r="B8" s="293" t="s">
        <v>1000</v>
      </c>
      <c r="C8" s="280"/>
      <c r="D8" s="282" t="s">
        <v>1284</v>
      </c>
      <c r="E8" s="281" t="s">
        <v>1001</v>
      </c>
      <c r="F8" s="36" t="s">
        <v>1002</v>
      </c>
      <c r="G8" s="35"/>
      <c r="H8" s="201" t="s">
        <v>1347</v>
      </c>
      <c r="I8" s="35"/>
      <c r="J8" s="201" t="s">
        <v>1347</v>
      </c>
      <c r="K8" s="35"/>
      <c r="L8" s="201" t="s">
        <v>1347</v>
      </c>
    </row>
    <row r="9" spans="1:12" ht="34.200000000000003" x14ac:dyDescent="0.3">
      <c r="A9" s="183" t="s">
        <v>1003</v>
      </c>
      <c r="B9" s="293"/>
      <c r="C9" s="280"/>
      <c r="D9" s="290"/>
      <c r="E9" s="281"/>
      <c r="F9" s="36" t="s">
        <v>1004</v>
      </c>
      <c r="G9" s="35"/>
      <c r="H9" s="201" t="s">
        <v>1347</v>
      </c>
      <c r="I9" s="35"/>
      <c r="J9" s="201" t="s">
        <v>1347</v>
      </c>
      <c r="K9" s="35"/>
      <c r="L9" s="201" t="s">
        <v>1347</v>
      </c>
    </row>
    <row r="10" spans="1:12" ht="34.200000000000003" x14ac:dyDescent="0.3">
      <c r="A10" s="183" t="s">
        <v>1005</v>
      </c>
      <c r="B10" s="293"/>
      <c r="C10" s="280"/>
      <c r="D10" s="290"/>
      <c r="E10" s="281"/>
      <c r="F10" s="36" t="s">
        <v>1006</v>
      </c>
      <c r="G10" s="35"/>
      <c r="H10" s="201" t="s">
        <v>1347</v>
      </c>
      <c r="I10" s="35"/>
      <c r="J10" s="201" t="s">
        <v>1347</v>
      </c>
      <c r="K10" s="35"/>
      <c r="L10" s="201" t="s">
        <v>1347</v>
      </c>
    </row>
    <row r="11" spans="1:12" ht="34.200000000000003" x14ac:dyDescent="0.3">
      <c r="A11" s="183" t="s">
        <v>1007</v>
      </c>
      <c r="B11" s="293"/>
      <c r="C11" s="280"/>
      <c r="D11" s="290"/>
      <c r="E11" s="281"/>
      <c r="F11" s="36" t="s">
        <v>1008</v>
      </c>
      <c r="G11" s="35"/>
      <c r="H11" s="201" t="s">
        <v>1347</v>
      </c>
      <c r="I11" s="35"/>
      <c r="J11" s="201" t="s">
        <v>1347</v>
      </c>
      <c r="K11" s="35"/>
      <c r="L11" s="201" t="s">
        <v>1347</v>
      </c>
    </row>
    <row r="12" spans="1:12" ht="34.200000000000003" x14ac:dyDescent="0.3">
      <c r="A12" s="183" t="s">
        <v>1009</v>
      </c>
      <c r="B12" s="293"/>
      <c r="C12" s="280"/>
      <c r="D12" s="283"/>
      <c r="E12" s="281"/>
      <c r="F12" s="36" t="s">
        <v>1010</v>
      </c>
      <c r="G12" s="35"/>
      <c r="H12" s="201" t="s">
        <v>1347</v>
      </c>
      <c r="I12" s="35"/>
      <c r="J12" s="201" t="s">
        <v>1347</v>
      </c>
      <c r="K12" s="35"/>
      <c r="L12" s="201" t="s">
        <v>1347</v>
      </c>
    </row>
    <row r="13" spans="1:12" ht="34.200000000000003" x14ac:dyDescent="0.3">
      <c r="A13" s="188" t="s">
        <v>1011</v>
      </c>
      <c r="B13" s="305" t="s">
        <v>1012</v>
      </c>
      <c r="C13" s="280" t="s">
        <v>1013</v>
      </c>
      <c r="D13" s="302"/>
      <c r="E13" s="281" t="s">
        <v>1014</v>
      </c>
      <c r="F13" s="38" t="s">
        <v>1375</v>
      </c>
      <c r="G13" s="35"/>
      <c r="H13" s="203" t="s">
        <v>1347</v>
      </c>
      <c r="I13" s="35"/>
      <c r="J13" s="203" t="s">
        <v>1347</v>
      </c>
      <c r="K13" s="35"/>
      <c r="L13" s="203" t="s">
        <v>1347</v>
      </c>
    </row>
    <row r="14" spans="1:12" ht="34.200000000000003" x14ac:dyDescent="0.3">
      <c r="A14" s="188" t="s">
        <v>1015</v>
      </c>
      <c r="B14" s="305"/>
      <c r="C14" s="300"/>
      <c r="D14" s="304"/>
      <c r="E14" s="281"/>
      <c r="F14" s="36" t="s">
        <v>1016</v>
      </c>
      <c r="G14" s="35"/>
      <c r="H14" s="201" t="s">
        <v>1347</v>
      </c>
      <c r="I14" s="35"/>
      <c r="J14" s="201" t="s">
        <v>1347</v>
      </c>
      <c r="K14" s="35"/>
      <c r="L14" s="201" t="s">
        <v>1347</v>
      </c>
    </row>
    <row r="15" spans="1:12" ht="34.200000000000003" x14ac:dyDescent="0.3">
      <c r="A15" s="183" t="s">
        <v>1017</v>
      </c>
      <c r="B15" s="215" t="s">
        <v>1018</v>
      </c>
      <c r="C15" s="185"/>
      <c r="D15" s="183" t="s">
        <v>1230</v>
      </c>
      <c r="E15" s="183" t="s">
        <v>1019</v>
      </c>
      <c r="F15" s="38" t="s">
        <v>1020</v>
      </c>
      <c r="G15" s="35"/>
      <c r="H15" s="201" t="s">
        <v>1347</v>
      </c>
      <c r="I15" s="35"/>
      <c r="J15" s="201" t="s">
        <v>1347</v>
      </c>
      <c r="K15" s="35"/>
      <c r="L15" s="201" t="s">
        <v>1347</v>
      </c>
    </row>
    <row r="16" spans="1:12" ht="34.200000000000003" x14ac:dyDescent="0.3">
      <c r="A16" s="183" t="s">
        <v>1021</v>
      </c>
      <c r="B16" s="215" t="s">
        <v>1022</v>
      </c>
      <c r="C16" s="185" t="s">
        <v>1023</v>
      </c>
      <c r="D16" s="183"/>
      <c r="E16" s="183" t="s">
        <v>1024</v>
      </c>
      <c r="F16" s="38" t="s">
        <v>1025</v>
      </c>
      <c r="G16" s="35"/>
      <c r="H16" s="203" t="s">
        <v>1347</v>
      </c>
      <c r="I16" s="35"/>
      <c r="J16" s="203" t="s">
        <v>1347</v>
      </c>
      <c r="K16" s="35"/>
      <c r="L16" s="203" t="s">
        <v>1347</v>
      </c>
    </row>
    <row r="17" spans="1:12" ht="34.200000000000003" x14ac:dyDescent="0.3">
      <c r="A17" s="183" t="s">
        <v>1026</v>
      </c>
      <c r="B17" s="215" t="s">
        <v>176</v>
      </c>
      <c r="C17" s="185" t="s">
        <v>1027</v>
      </c>
      <c r="D17" s="183"/>
      <c r="E17" s="183" t="s">
        <v>1028</v>
      </c>
      <c r="F17" s="38" t="s">
        <v>1305</v>
      </c>
      <c r="G17" s="35"/>
      <c r="H17" s="203" t="s">
        <v>1347</v>
      </c>
      <c r="I17" s="35"/>
      <c r="J17" s="203" t="s">
        <v>1347</v>
      </c>
      <c r="K17" s="35"/>
      <c r="L17" s="203" t="s">
        <v>1347</v>
      </c>
    </row>
    <row r="18" spans="1:12" ht="22.8" x14ac:dyDescent="0.3">
      <c r="A18" s="183" t="s">
        <v>1029</v>
      </c>
      <c r="B18" s="293" t="s">
        <v>1030</v>
      </c>
      <c r="C18" s="280"/>
      <c r="D18" s="282" t="s">
        <v>1231</v>
      </c>
      <c r="E18" s="281" t="s">
        <v>1031</v>
      </c>
      <c r="F18" s="36" t="s">
        <v>1032</v>
      </c>
      <c r="G18" s="35"/>
      <c r="H18" s="201" t="s">
        <v>1347</v>
      </c>
      <c r="I18" s="35"/>
      <c r="J18" s="201" t="s">
        <v>1347</v>
      </c>
      <c r="K18" s="35"/>
      <c r="L18" s="201" t="s">
        <v>1347</v>
      </c>
    </row>
    <row r="19" spans="1:12" x14ac:dyDescent="0.3">
      <c r="A19" s="183" t="s">
        <v>1033</v>
      </c>
      <c r="B19" s="293"/>
      <c r="C19" s="280"/>
      <c r="D19" s="290"/>
      <c r="E19" s="281"/>
      <c r="F19" s="38" t="s">
        <v>1034</v>
      </c>
      <c r="G19" s="35"/>
      <c r="H19" s="201" t="s">
        <v>1347</v>
      </c>
      <c r="I19" s="35"/>
      <c r="J19" s="201" t="s">
        <v>1347</v>
      </c>
      <c r="K19" s="35"/>
      <c r="L19" s="201" t="s">
        <v>1347</v>
      </c>
    </row>
    <row r="20" spans="1:12" ht="22.8" x14ac:dyDescent="0.3">
      <c r="A20" s="183" t="s">
        <v>1035</v>
      </c>
      <c r="B20" s="293"/>
      <c r="C20" s="280"/>
      <c r="D20" s="283"/>
      <c r="E20" s="281"/>
      <c r="F20" s="38" t="s">
        <v>1036</v>
      </c>
      <c r="G20" s="35"/>
      <c r="H20" s="201" t="s">
        <v>1347</v>
      </c>
      <c r="I20" s="35"/>
      <c r="J20" s="201" t="s">
        <v>1347</v>
      </c>
      <c r="K20" s="35"/>
      <c r="L20" s="201" t="s">
        <v>1347</v>
      </c>
    </row>
    <row r="21" spans="1:12" ht="22.8" x14ac:dyDescent="0.3">
      <c r="A21" s="183" t="s">
        <v>1037</v>
      </c>
      <c r="B21" s="213" t="s">
        <v>1038</v>
      </c>
      <c r="C21" s="185"/>
      <c r="D21" s="183"/>
      <c r="E21" s="183" t="s">
        <v>1039</v>
      </c>
      <c r="F21" s="38" t="s">
        <v>1040</v>
      </c>
      <c r="G21" s="35"/>
      <c r="H21" s="201" t="s">
        <v>1347</v>
      </c>
      <c r="I21" s="35"/>
      <c r="J21" s="201" t="s">
        <v>1347</v>
      </c>
      <c r="K21" s="35"/>
      <c r="L21" s="201" t="s">
        <v>1347</v>
      </c>
    </row>
    <row r="22" spans="1:12" ht="45.6" x14ac:dyDescent="0.3">
      <c r="A22" s="183" t="s">
        <v>1041</v>
      </c>
      <c r="B22" s="213" t="s">
        <v>1042</v>
      </c>
      <c r="C22" s="185"/>
      <c r="D22" s="183"/>
      <c r="E22" s="183" t="s">
        <v>1043</v>
      </c>
      <c r="F22" s="38" t="s">
        <v>1044</v>
      </c>
      <c r="G22" s="35"/>
      <c r="H22" s="201" t="s">
        <v>1347</v>
      </c>
      <c r="I22" s="35"/>
      <c r="J22" s="201" t="s">
        <v>1347</v>
      </c>
      <c r="K22" s="35"/>
      <c r="L22" s="201" t="s">
        <v>1347</v>
      </c>
    </row>
    <row r="23" spans="1:12" ht="45.6" x14ac:dyDescent="0.3">
      <c r="A23" s="183" t="s">
        <v>1045</v>
      </c>
      <c r="B23" s="215" t="s">
        <v>1046</v>
      </c>
      <c r="C23" s="185"/>
      <c r="D23" s="183"/>
      <c r="E23" s="183" t="s">
        <v>1047</v>
      </c>
      <c r="F23" s="38" t="s">
        <v>1048</v>
      </c>
      <c r="G23" s="35"/>
      <c r="H23" s="201" t="s">
        <v>1347</v>
      </c>
      <c r="I23" s="35"/>
      <c r="J23" s="201" t="s">
        <v>1347</v>
      </c>
      <c r="K23" s="35"/>
      <c r="L23" s="201" t="s">
        <v>1347</v>
      </c>
    </row>
    <row r="24" spans="1:12" ht="45.6" x14ac:dyDescent="0.3">
      <c r="A24" s="183" t="s">
        <v>1049</v>
      </c>
      <c r="B24" s="215" t="s">
        <v>1050</v>
      </c>
      <c r="C24" s="185"/>
      <c r="D24" s="183"/>
      <c r="E24" s="183" t="s">
        <v>1051</v>
      </c>
      <c r="F24" s="38" t="s">
        <v>1052</v>
      </c>
      <c r="G24" s="35"/>
      <c r="H24" s="201" t="s">
        <v>1347</v>
      </c>
      <c r="I24" s="35"/>
      <c r="J24" s="201" t="s">
        <v>1347</v>
      </c>
      <c r="K24" s="35"/>
      <c r="L24" s="201" t="s">
        <v>1347</v>
      </c>
    </row>
    <row r="25" spans="1:12" ht="34.200000000000003" x14ac:dyDescent="0.3">
      <c r="A25" s="183" t="s">
        <v>1053</v>
      </c>
      <c r="B25" s="215" t="s">
        <v>1054</v>
      </c>
      <c r="C25" s="185"/>
      <c r="D25" s="183"/>
      <c r="E25" s="183" t="s">
        <v>1055</v>
      </c>
      <c r="F25" s="38" t="s">
        <v>1056</v>
      </c>
      <c r="G25" s="35"/>
      <c r="H25" s="201" t="s">
        <v>1347</v>
      </c>
      <c r="I25" s="35"/>
      <c r="J25" s="201" t="s">
        <v>1347</v>
      </c>
      <c r="K25" s="35"/>
      <c r="L25" s="201" t="s">
        <v>1347</v>
      </c>
    </row>
    <row r="26" spans="1:12" ht="34.200000000000003" x14ac:dyDescent="0.3">
      <c r="A26" s="183" t="s">
        <v>1057</v>
      </c>
      <c r="B26" s="215" t="s">
        <v>1058</v>
      </c>
      <c r="C26" s="185"/>
      <c r="D26" s="183"/>
      <c r="E26" s="183" t="s">
        <v>1059</v>
      </c>
      <c r="F26" s="38" t="s">
        <v>1060</v>
      </c>
      <c r="G26" s="35"/>
      <c r="H26" s="201" t="s">
        <v>1347</v>
      </c>
      <c r="I26" s="35"/>
      <c r="J26" s="201" t="s">
        <v>1347</v>
      </c>
      <c r="K26" s="35"/>
      <c r="L26" s="201" t="s">
        <v>1347</v>
      </c>
    </row>
    <row r="27" spans="1:12" ht="22.8" x14ac:dyDescent="0.3">
      <c r="A27" s="183" t="s">
        <v>1061</v>
      </c>
      <c r="B27" s="213" t="s">
        <v>1062</v>
      </c>
      <c r="C27" s="185"/>
      <c r="D27" s="183"/>
      <c r="E27" s="183" t="s">
        <v>1063</v>
      </c>
      <c r="F27" s="38" t="s">
        <v>1064</v>
      </c>
      <c r="G27" s="35"/>
      <c r="H27" s="201" t="s">
        <v>1347</v>
      </c>
      <c r="I27" s="35"/>
      <c r="J27" s="201" t="s">
        <v>1347</v>
      </c>
      <c r="K27" s="35"/>
      <c r="L27" s="201" t="s">
        <v>1347</v>
      </c>
    </row>
    <row r="28" spans="1:12" ht="34.200000000000003" x14ac:dyDescent="0.3">
      <c r="A28" s="183" t="s">
        <v>1065</v>
      </c>
      <c r="B28" s="213" t="s">
        <v>1066</v>
      </c>
      <c r="C28" s="185"/>
      <c r="D28" s="183"/>
      <c r="E28" s="183" t="s">
        <v>1067</v>
      </c>
      <c r="F28" s="38" t="s">
        <v>1306</v>
      </c>
      <c r="G28" s="35"/>
      <c r="H28" s="203" t="s">
        <v>1347</v>
      </c>
      <c r="I28" s="35"/>
      <c r="J28" s="203" t="s">
        <v>1347</v>
      </c>
      <c r="K28" s="35"/>
      <c r="L28" s="203" t="s">
        <v>1347</v>
      </c>
    </row>
    <row r="29" spans="1:12" ht="45.6" x14ac:dyDescent="0.3">
      <c r="A29" s="183" t="s">
        <v>1068</v>
      </c>
      <c r="B29" s="213" t="s">
        <v>1069</v>
      </c>
      <c r="C29" s="185"/>
      <c r="D29" s="183"/>
      <c r="E29" s="183" t="s">
        <v>1070</v>
      </c>
      <c r="F29" s="185" t="s">
        <v>1309</v>
      </c>
      <c r="G29" s="35"/>
      <c r="H29" s="201" t="s">
        <v>1347</v>
      </c>
      <c r="I29" s="35"/>
      <c r="J29" s="201" t="s">
        <v>1347</v>
      </c>
      <c r="K29" s="35"/>
      <c r="L29" s="201" t="s">
        <v>1347</v>
      </c>
    </row>
    <row r="30" spans="1:12" x14ac:dyDescent="0.3">
      <c r="D30" s="184"/>
    </row>
    <row r="31" spans="1:12" x14ac:dyDescent="0.3">
      <c r="D31" s="184"/>
    </row>
    <row r="32" spans="1:12" x14ac:dyDescent="0.3">
      <c r="D32" s="184"/>
    </row>
    <row r="33" spans="4:4" x14ac:dyDescent="0.3">
      <c r="D33" s="184"/>
    </row>
    <row r="34" spans="4:4" x14ac:dyDescent="0.3">
      <c r="D34" s="184"/>
    </row>
    <row r="35" spans="4:4" x14ac:dyDescent="0.3">
      <c r="D35" s="184"/>
    </row>
    <row r="36" spans="4:4" x14ac:dyDescent="0.3">
      <c r="D36" s="184"/>
    </row>
    <row r="37" spans="4:4" x14ac:dyDescent="0.3">
      <c r="D37" s="184"/>
    </row>
  </sheetData>
  <sheetProtection algorithmName="SHA-512" hashValue="pjIE3Qz79zwenQPC9XyZ/sUO34BpSc75jjbKeJbU8Sv3A+aKB8uH3L1j70VWsa7QC2HfPUJFL3pRBYbnWiNKDw==" saltValue="luQttqdlosfFsQFkrk9KcA==" spinCount="100000" sheet="1" selectLockedCells="1"/>
  <mergeCells count="13">
    <mergeCell ref="A2:L2"/>
    <mergeCell ref="B8:B12"/>
    <mergeCell ref="C8:C12"/>
    <mergeCell ref="D8:D12"/>
    <mergeCell ref="E8:E12"/>
    <mergeCell ref="B13:B14"/>
    <mergeCell ref="C13:C14"/>
    <mergeCell ref="D13:D14"/>
    <mergeCell ref="E13:E14"/>
    <mergeCell ref="B18:B20"/>
    <mergeCell ref="C18:C20"/>
    <mergeCell ref="D18:D20"/>
    <mergeCell ref="E18:E20"/>
  </mergeCells>
  <conditionalFormatting sqref="L3:L12 J3:J12 H3:H12 H14:H15 J14:J15 L14:L15 H18:H27 J18:J27 L18:L27 H29 J29 L29">
    <cfRule type="expression" dxfId="40" priority="7">
      <formula>NOT(H3="Comment is required")</formula>
    </cfRule>
    <cfRule type="expression" dxfId="39" priority="8">
      <formula>AND(OR(G3="N/A",G3="Partial"),H3="Comment is required")</formula>
    </cfRule>
  </conditionalFormatting>
  <conditionalFormatting sqref="L16:L17 J16:J17 H16:H17 L13 J13 H13">
    <cfRule type="expression" dxfId="38" priority="5">
      <formula>NOT(H13="Comment is required")</formula>
    </cfRule>
    <cfRule type="expression" dxfId="37" priority="6">
      <formula>AND(OR(G13="N/A",G13="Partial"),H13="Comment is required")</formula>
    </cfRule>
  </conditionalFormatting>
  <conditionalFormatting sqref="L16:L17 J16:J17 H16:H17 L13 J13 H13">
    <cfRule type="expression" dxfId="36" priority="4">
      <formula>G13="Yes"</formula>
    </cfRule>
  </conditionalFormatting>
  <conditionalFormatting sqref="L28 J28 H28">
    <cfRule type="expression" dxfId="35" priority="2">
      <formula>NOT(H28="Comment is required")</formula>
    </cfRule>
    <cfRule type="expression" dxfId="34" priority="3">
      <formula>AND(OR(G28="N/A",G28="Partial"),H28="Comment is required")</formula>
    </cfRule>
  </conditionalFormatting>
  <conditionalFormatting sqref="L28 J28 H28">
    <cfRule type="expression" dxfId="33" priority="1">
      <formula>G28="Yes"</formula>
    </cfRule>
  </conditionalFormatting>
  <dataValidations count="2">
    <dataValidation type="list" showInputMessage="1" showErrorMessage="1" sqref="G3:G29 K3:K29 I3:I29" xr:uid="{00000000-0002-0000-1900-000000000000}">
      <formula1>"Yes, No, Partial, N/A"</formula1>
    </dataValidation>
    <dataValidation showInputMessage="1" showErrorMessage="1" sqref="J3:J29 H3:H29 L3:L29" xr:uid="{00000000-0002-0000-1900-000001000000}"/>
  </dataValidations>
  <hyperlinks>
    <hyperlink ref="B3" r:id="rId1" xr:uid="{00000000-0004-0000-1900-000000000000}"/>
    <hyperlink ref="B4" r:id="rId2" xr:uid="{00000000-0004-0000-1900-000001000000}"/>
    <hyperlink ref="B5" r:id="rId3" xr:uid="{00000000-0004-0000-1900-000002000000}"/>
    <hyperlink ref="B6" r:id="rId4" xr:uid="{00000000-0004-0000-1900-000003000000}"/>
    <hyperlink ref="B7" r:id="rId5" xr:uid="{00000000-0004-0000-1900-000004000000}"/>
    <hyperlink ref="B8:B12" r:id="rId6" display="SC-7" xr:uid="{00000000-0004-0000-1900-000005000000}"/>
    <hyperlink ref="B13:B14" r:id="rId7" display="SC-8" xr:uid="{00000000-0004-0000-1900-000006000000}"/>
    <hyperlink ref="B15" r:id="rId8" xr:uid="{00000000-0004-0000-1900-000007000000}"/>
    <hyperlink ref="B16" r:id="rId9" xr:uid="{00000000-0004-0000-1900-000008000000}"/>
    <hyperlink ref="B17" r:id="rId10" xr:uid="{00000000-0004-0000-1900-000009000000}"/>
    <hyperlink ref="B18:B20" r:id="rId11" display="SC-15" xr:uid="{00000000-0004-0000-1900-00000A000000}"/>
    <hyperlink ref="B21" r:id="rId12" xr:uid="{00000000-0004-0000-1900-00000B000000}"/>
    <hyperlink ref="B22" r:id="rId13" xr:uid="{00000000-0004-0000-1900-00000C000000}"/>
    <hyperlink ref="B23" r:id="rId14" xr:uid="{00000000-0004-0000-1900-00000D000000}"/>
    <hyperlink ref="B24" r:id="rId15" xr:uid="{00000000-0004-0000-1900-00000E000000}"/>
    <hyperlink ref="B25" r:id="rId16" xr:uid="{00000000-0004-0000-1900-00000F000000}"/>
    <hyperlink ref="B26" r:id="rId17" xr:uid="{00000000-0004-0000-1900-000010000000}"/>
    <hyperlink ref="B27" r:id="rId18" xr:uid="{00000000-0004-0000-1900-000011000000}"/>
    <hyperlink ref="B28" r:id="rId19" xr:uid="{00000000-0004-0000-1900-000012000000}"/>
    <hyperlink ref="B29" r:id="rId20" xr:uid="{00000000-0004-0000-1900-000013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L16"/>
  <sheetViews>
    <sheetView showGridLines="0" zoomScaleNormal="100" workbookViewId="0">
      <pane xSplit="2" ySplit="2" topLeftCell="C3" activePane="bottomRight" state="frozen"/>
      <selection activeCell="D19" sqref="D19:D22"/>
      <selection pane="topRight" activeCell="D19" sqref="D19:D22"/>
      <selection pane="bottomLeft" activeCell="D19" sqref="D19:D22"/>
      <selection pane="bottomRight" activeCell="G3" sqref="G3"/>
    </sheetView>
  </sheetViews>
  <sheetFormatPr defaultColWidth="9" defaultRowHeight="14.4" x14ac:dyDescent="0.3"/>
  <cols>
    <col min="1" max="1" width="17.5546875" style="14" customWidth="1"/>
    <col min="2" max="2" width="26.6640625" style="14" bestFit="1" customWidth="1"/>
    <col min="3" max="3" width="18.44140625" style="14" bestFit="1" customWidth="1"/>
    <col min="4" max="4" width="18.44140625" style="14" hidden="1" customWidth="1"/>
    <col min="5" max="5" width="23" style="14" customWidth="1"/>
    <col min="6" max="6" width="55.6640625" style="14" customWidth="1"/>
    <col min="7" max="7" width="15.6640625" style="14" customWidth="1"/>
    <col min="8" max="8" width="20.6640625" style="14" customWidth="1"/>
    <col min="9" max="9" width="15.6640625" style="14" customWidth="1"/>
    <col min="10" max="10" width="20.6640625" style="14" customWidth="1"/>
    <col min="11" max="11" width="15.6640625" style="14" customWidth="1"/>
    <col min="12" max="12" width="20.6640625" style="14" customWidth="1"/>
    <col min="13" max="16384" width="9" style="14"/>
  </cols>
  <sheetData>
    <row r="1" spans="1:12" ht="50.1" customHeight="1" x14ac:dyDescent="0.3">
      <c r="A1" s="3" t="s">
        <v>77</v>
      </c>
      <c r="B1" s="3" t="s">
        <v>120</v>
      </c>
      <c r="C1" s="3" t="s">
        <v>200</v>
      </c>
      <c r="D1" s="3" t="s">
        <v>1221</v>
      </c>
      <c r="E1" s="3" t="s">
        <v>78</v>
      </c>
      <c r="F1" s="3" t="s">
        <v>201</v>
      </c>
      <c r="G1" s="3" t="str">
        <f>Scope!$B$4 &amp; " Response:"</f>
        <v>Client -server application hosted at the data center  Response:</v>
      </c>
      <c r="H1" s="3" t="str">
        <f>Scope!$B$4 &amp;" Comments:"</f>
        <v>Client -server application hosted at the data center  Comments:</v>
      </c>
      <c r="I1" s="3" t="str">
        <f>Scope!$D$4 &amp; " Response:"</f>
        <v xml:space="preserve"> Response:</v>
      </c>
      <c r="J1" s="3" t="str">
        <f>Scope!$D$4 &amp; " Comments:"</f>
        <v xml:space="preserve"> Comments:</v>
      </c>
      <c r="K1" s="3" t="str">
        <f>Scope!$F$4 &amp; " Response:"</f>
        <v xml:space="preserve"> Response:</v>
      </c>
      <c r="L1" s="3" t="str">
        <f>Scope!$F$4 &amp; " Comments:"</f>
        <v xml:space="preserve"> Comments:</v>
      </c>
    </row>
    <row r="2" spans="1:12" ht="15.6" x14ac:dyDescent="0.3">
      <c r="A2" s="294" t="s">
        <v>1071</v>
      </c>
      <c r="B2" s="294"/>
      <c r="C2" s="294"/>
      <c r="D2" s="294"/>
      <c r="E2" s="294"/>
      <c r="F2" s="294"/>
      <c r="G2" s="294"/>
      <c r="H2" s="294"/>
      <c r="I2" s="294"/>
      <c r="J2" s="294"/>
      <c r="K2" s="294"/>
      <c r="L2" s="294"/>
    </row>
    <row r="3" spans="1:12" ht="68.400000000000006" x14ac:dyDescent="0.3">
      <c r="A3" s="183" t="s">
        <v>1072</v>
      </c>
      <c r="B3" s="215" t="s">
        <v>1073</v>
      </c>
      <c r="C3" s="185" t="s">
        <v>1074</v>
      </c>
      <c r="D3" s="183" t="s">
        <v>1270</v>
      </c>
      <c r="E3" s="183" t="s">
        <v>1075</v>
      </c>
      <c r="F3" s="185" t="s">
        <v>1076</v>
      </c>
      <c r="G3" s="35"/>
      <c r="H3" s="201" t="s">
        <v>1347</v>
      </c>
      <c r="I3" s="35"/>
      <c r="J3" s="201" t="s">
        <v>1347</v>
      </c>
      <c r="K3" s="35"/>
      <c r="L3" s="201" t="s">
        <v>1347</v>
      </c>
    </row>
    <row r="4" spans="1:12" ht="22.8" x14ac:dyDescent="0.3">
      <c r="A4" s="183" t="s">
        <v>199</v>
      </c>
      <c r="B4" s="293" t="s">
        <v>1077</v>
      </c>
      <c r="C4" s="280"/>
      <c r="D4" s="282"/>
      <c r="E4" s="281" t="s">
        <v>1078</v>
      </c>
      <c r="F4" s="36" t="s">
        <v>1079</v>
      </c>
      <c r="G4" s="35"/>
      <c r="H4" s="201" t="s">
        <v>1347</v>
      </c>
      <c r="I4" s="35"/>
      <c r="J4" s="201" t="s">
        <v>1347</v>
      </c>
      <c r="K4" s="35"/>
      <c r="L4" s="201" t="s">
        <v>1347</v>
      </c>
    </row>
    <row r="5" spans="1:12" ht="22.8" x14ac:dyDescent="0.3">
      <c r="A5" s="183" t="s">
        <v>1080</v>
      </c>
      <c r="B5" s="293"/>
      <c r="C5" s="280"/>
      <c r="D5" s="290"/>
      <c r="E5" s="281"/>
      <c r="F5" s="36" t="s">
        <v>1081</v>
      </c>
      <c r="G5" s="35"/>
      <c r="H5" s="201" t="s">
        <v>1347</v>
      </c>
      <c r="I5" s="35"/>
      <c r="J5" s="201" t="s">
        <v>1347</v>
      </c>
      <c r="K5" s="35"/>
      <c r="L5" s="201" t="s">
        <v>1347</v>
      </c>
    </row>
    <row r="6" spans="1:12" ht="22.8" x14ac:dyDescent="0.3">
      <c r="A6" s="183" t="s">
        <v>1082</v>
      </c>
      <c r="B6" s="293"/>
      <c r="C6" s="280"/>
      <c r="D6" s="283"/>
      <c r="E6" s="281"/>
      <c r="F6" s="36" t="s">
        <v>1083</v>
      </c>
      <c r="G6" s="35"/>
      <c r="H6" s="201" t="s">
        <v>1347</v>
      </c>
      <c r="I6" s="35"/>
      <c r="J6" s="201" t="s">
        <v>1347</v>
      </c>
      <c r="K6" s="35"/>
      <c r="L6" s="201" t="s">
        <v>1347</v>
      </c>
    </row>
    <row r="7" spans="1:12" ht="34.200000000000003" x14ac:dyDescent="0.3">
      <c r="A7" s="188" t="s">
        <v>1084</v>
      </c>
      <c r="B7" s="305" t="s">
        <v>195</v>
      </c>
      <c r="C7" s="280" t="s">
        <v>1085</v>
      </c>
      <c r="D7" s="307"/>
      <c r="E7" s="301" t="s">
        <v>1086</v>
      </c>
      <c r="F7" s="38" t="s">
        <v>1307</v>
      </c>
      <c r="G7" s="35"/>
      <c r="H7" s="203" t="s">
        <v>1347</v>
      </c>
      <c r="I7" s="35"/>
      <c r="J7" s="203" t="s">
        <v>1347</v>
      </c>
      <c r="K7" s="35"/>
      <c r="L7" s="203" t="s">
        <v>1347</v>
      </c>
    </row>
    <row r="8" spans="1:12" x14ac:dyDescent="0.3">
      <c r="A8" s="188" t="s">
        <v>1087</v>
      </c>
      <c r="B8" s="305"/>
      <c r="C8" s="300"/>
      <c r="D8" s="309"/>
      <c r="E8" s="301"/>
      <c r="F8" s="36" t="s">
        <v>1088</v>
      </c>
      <c r="G8" s="35"/>
      <c r="H8" s="201" t="s">
        <v>1347</v>
      </c>
      <c r="I8" s="35"/>
      <c r="J8" s="201" t="s">
        <v>1347</v>
      </c>
      <c r="K8" s="35"/>
      <c r="L8" s="201" t="s">
        <v>1347</v>
      </c>
    </row>
    <row r="9" spans="1:12" ht="22.8" x14ac:dyDescent="0.3">
      <c r="A9" s="188" t="s">
        <v>1089</v>
      </c>
      <c r="B9" s="305"/>
      <c r="C9" s="300"/>
      <c r="D9" s="309"/>
      <c r="E9" s="301"/>
      <c r="F9" s="36" t="s">
        <v>1090</v>
      </c>
      <c r="G9" s="35"/>
      <c r="H9" s="201" t="s">
        <v>1347</v>
      </c>
      <c r="I9" s="35"/>
      <c r="J9" s="201" t="s">
        <v>1347</v>
      </c>
      <c r="K9" s="35"/>
      <c r="L9" s="201" t="s">
        <v>1347</v>
      </c>
    </row>
    <row r="10" spans="1:12" ht="22.8" x14ac:dyDescent="0.3">
      <c r="A10" s="188" t="s">
        <v>1091</v>
      </c>
      <c r="B10" s="305"/>
      <c r="C10" s="300"/>
      <c r="D10" s="308"/>
      <c r="E10" s="301"/>
      <c r="F10" s="36" t="s">
        <v>1092</v>
      </c>
      <c r="G10" s="35"/>
      <c r="H10" s="201" t="s">
        <v>1347</v>
      </c>
      <c r="I10" s="35"/>
      <c r="J10" s="201" t="s">
        <v>1347</v>
      </c>
      <c r="K10" s="35"/>
      <c r="L10" s="201" t="s">
        <v>1347</v>
      </c>
    </row>
    <row r="11" spans="1:12" ht="34.200000000000003" x14ac:dyDescent="0.3">
      <c r="A11" s="183" t="s">
        <v>1093</v>
      </c>
      <c r="B11" s="213" t="s">
        <v>1094</v>
      </c>
      <c r="C11" s="185" t="s">
        <v>1095</v>
      </c>
      <c r="D11" s="183"/>
      <c r="E11" s="183" t="s">
        <v>1096</v>
      </c>
      <c r="F11" s="36" t="s">
        <v>1097</v>
      </c>
      <c r="G11" s="35"/>
      <c r="H11" s="201" t="s">
        <v>1347</v>
      </c>
      <c r="I11" s="35"/>
      <c r="J11" s="201" t="s">
        <v>1347</v>
      </c>
      <c r="K11" s="35"/>
      <c r="L11" s="201" t="s">
        <v>1347</v>
      </c>
    </row>
    <row r="12" spans="1:12" ht="34.200000000000003" x14ac:dyDescent="0.3">
      <c r="A12" s="188" t="s">
        <v>1098</v>
      </c>
      <c r="B12" s="299" t="s">
        <v>1359</v>
      </c>
      <c r="C12" s="280" t="s">
        <v>1099</v>
      </c>
      <c r="D12" s="282" t="s">
        <v>1285</v>
      </c>
      <c r="E12" s="310" t="s">
        <v>1100</v>
      </c>
      <c r="F12" s="36" t="s">
        <v>1101</v>
      </c>
      <c r="G12" s="35"/>
      <c r="H12" s="201" t="s">
        <v>1347</v>
      </c>
      <c r="I12" s="35"/>
      <c r="J12" s="201" t="s">
        <v>1347</v>
      </c>
      <c r="K12" s="35"/>
      <c r="L12" s="201" t="s">
        <v>1347</v>
      </c>
    </row>
    <row r="13" spans="1:12" ht="22.8" x14ac:dyDescent="0.3">
      <c r="A13" s="188" t="s">
        <v>1102</v>
      </c>
      <c r="B13" s="299"/>
      <c r="C13" s="300"/>
      <c r="D13" s="304"/>
      <c r="E13" s="310"/>
      <c r="F13" s="36" t="s">
        <v>1103</v>
      </c>
      <c r="G13" s="35"/>
      <c r="H13" s="201" t="s">
        <v>1347</v>
      </c>
      <c r="I13" s="35"/>
      <c r="J13" s="201" t="s">
        <v>1347</v>
      </c>
      <c r="K13" s="35"/>
      <c r="L13" s="201" t="s">
        <v>1347</v>
      </c>
    </row>
    <row r="14" spans="1:12" ht="45.6" x14ac:dyDescent="0.3">
      <c r="A14" s="183" t="s">
        <v>1104</v>
      </c>
      <c r="B14" s="213" t="s">
        <v>1105</v>
      </c>
      <c r="C14" s="185" t="s">
        <v>1106</v>
      </c>
      <c r="D14" s="183"/>
      <c r="E14" s="183" t="s">
        <v>1107</v>
      </c>
      <c r="F14" s="36" t="s">
        <v>1108</v>
      </c>
      <c r="G14" s="35"/>
      <c r="H14" s="201" t="s">
        <v>1347</v>
      </c>
      <c r="I14" s="35"/>
      <c r="J14" s="201" t="s">
        <v>1347</v>
      </c>
      <c r="K14" s="35"/>
      <c r="L14" s="201" t="s">
        <v>1347</v>
      </c>
    </row>
    <row r="15" spans="1:12" ht="22.8" x14ac:dyDescent="0.3">
      <c r="A15" s="183" t="s">
        <v>1109</v>
      </c>
      <c r="B15" s="213" t="s">
        <v>1110</v>
      </c>
      <c r="C15" s="185" t="s">
        <v>1085</v>
      </c>
      <c r="D15" s="183"/>
      <c r="E15" s="183" t="s">
        <v>1111</v>
      </c>
      <c r="F15" s="38" t="s">
        <v>1308</v>
      </c>
      <c r="G15" s="35"/>
      <c r="H15" s="201" t="s">
        <v>1347</v>
      </c>
      <c r="I15" s="35"/>
      <c r="J15" s="201" t="s">
        <v>1347</v>
      </c>
      <c r="K15" s="35"/>
      <c r="L15" s="201" t="s">
        <v>1347</v>
      </c>
    </row>
    <row r="16" spans="1:12" ht="34.200000000000003" x14ac:dyDescent="0.3">
      <c r="A16" s="183" t="s">
        <v>1112</v>
      </c>
      <c r="B16" s="215" t="s">
        <v>1113</v>
      </c>
      <c r="C16" s="185"/>
      <c r="D16" s="183"/>
      <c r="E16" s="183" t="s">
        <v>1114</v>
      </c>
      <c r="F16" s="36" t="s">
        <v>1115</v>
      </c>
      <c r="G16" s="35"/>
      <c r="H16" s="201" t="s">
        <v>1347</v>
      </c>
      <c r="I16" s="35"/>
      <c r="J16" s="201" t="s">
        <v>1347</v>
      </c>
      <c r="K16" s="35"/>
      <c r="L16" s="201" t="s">
        <v>1347</v>
      </c>
    </row>
  </sheetData>
  <sheetProtection algorithmName="SHA-512" hashValue="eBuY/ULGBcezrdhSP0j2MvPCmQa1T8Z8arlYwJ51sCaDZ+I1dKUAUe1s2MI1A1owVt/e6374R35hEN+OmOAaUw==" saltValue="uxAaC2poNlkQ1jr0/psOGQ==" spinCount="100000" sheet="1" selectLockedCells="1"/>
  <mergeCells count="13">
    <mergeCell ref="A2:L2"/>
    <mergeCell ref="B4:B6"/>
    <mergeCell ref="C4:C6"/>
    <mergeCell ref="D4:D6"/>
    <mergeCell ref="E4:E6"/>
    <mergeCell ref="B7:B10"/>
    <mergeCell ref="C7:C10"/>
    <mergeCell ref="D7:D10"/>
    <mergeCell ref="E7:E10"/>
    <mergeCell ref="B12:B13"/>
    <mergeCell ref="C12:C13"/>
    <mergeCell ref="D12:D13"/>
    <mergeCell ref="E12:E13"/>
  </mergeCells>
  <conditionalFormatting sqref="H3:H6 J3:J6 L3:L6 H8:H16 J8:J16 L8:L16">
    <cfRule type="expression" dxfId="32" priority="12">
      <formula>NOT(H3="Comment is required")</formula>
    </cfRule>
    <cfRule type="expression" dxfId="31" priority="13">
      <formula>AND(OR(G3="N/A",G3="Partial"),H3="Comment is required")</formula>
    </cfRule>
  </conditionalFormatting>
  <conditionalFormatting sqref="H7">
    <cfRule type="expression" dxfId="30" priority="5">
      <formula>NOT(H7="Comment is required")</formula>
    </cfRule>
    <cfRule type="expression" dxfId="29" priority="6">
      <formula>AND(OR(G7="N/A",G7="Partial"),H7="Comment is required")</formula>
    </cfRule>
  </conditionalFormatting>
  <conditionalFormatting sqref="H7">
    <cfRule type="expression" dxfId="28" priority="4">
      <formula>G7="Yes"</formula>
    </cfRule>
  </conditionalFormatting>
  <conditionalFormatting sqref="L7 J7">
    <cfRule type="expression" dxfId="27" priority="2">
      <formula>NOT(J7="Comment is required")</formula>
    </cfRule>
    <cfRule type="expression" dxfId="26" priority="3">
      <formula>AND(OR(I7="N/A",I7="Partial"),J7="Comment is required")</formula>
    </cfRule>
  </conditionalFormatting>
  <conditionalFormatting sqref="L7 J7">
    <cfRule type="expression" dxfId="25" priority="1">
      <formula>I7="Yes"</formula>
    </cfRule>
  </conditionalFormatting>
  <dataValidations count="2">
    <dataValidation type="list" showInputMessage="1" showErrorMessage="1" sqref="I3:I16 G3:G16 K3:K16" xr:uid="{00000000-0002-0000-1A00-000000000000}">
      <formula1>"Yes, No, Partial, N/A"</formula1>
    </dataValidation>
    <dataValidation showInputMessage="1" showErrorMessage="1" sqref="J3:J16 H3:H16 L3:L16" xr:uid="{00000000-0002-0000-1A00-000001000000}"/>
  </dataValidations>
  <hyperlinks>
    <hyperlink ref="B3" r:id="rId1" xr:uid="{00000000-0004-0000-1A00-000000000000}"/>
    <hyperlink ref="B4:B6" r:id="rId2" display="SI-2" xr:uid="{00000000-0004-0000-1A00-000001000000}"/>
    <hyperlink ref="B7:B10" r:id="rId3" display="SI-3" xr:uid="{00000000-0004-0000-1A00-000002000000}"/>
    <hyperlink ref="B11" r:id="rId4" xr:uid="{00000000-0004-0000-1A00-000003000000}"/>
    <hyperlink ref="B12:B13" r:id="rId5" display="SI-5" xr:uid="{00000000-0004-0000-1A00-000004000000}"/>
    <hyperlink ref="B14" r:id="rId6" xr:uid="{00000000-0004-0000-1A00-000005000000}"/>
    <hyperlink ref="B15" r:id="rId7" xr:uid="{00000000-0004-0000-1A00-000006000000}"/>
    <hyperlink ref="B16" r:id="rId8" xr:uid="{00000000-0004-0000-1A00-000007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U282"/>
  <sheetViews>
    <sheetView zoomScaleNormal="100" workbookViewId="0">
      <pane ySplit="8" topLeftCell="A18" activePane="bottomLeft" state="frozen"/>
      <selection activeCell="G32" sqref="G32"/>
      <selection pane="bottomLeft" activeCell="G30" sqref="G30"/>
    </sheetView>
  </sheetViews>
  <sheetFormatPr defaultRowHeight="14.4" x14ac:dyDescent="0.3"/>
  <cols>
    <col min="1" max="1" width="4.44140625" bestFit="1" customWidth="1"/>
    <col min="2" max="2" width="8.88671875" style="14" bestFit="1" customWidth="1"/>
    <col min="3" max="3" width="7.44140625" style="14" bestFit="1" customWidth="1"/>
    <col min="4" max="4" width="18.109375" customWidth="1"/>
    <col min="5" max="5" width="12.5546875" customWidth="1"/>
    <col min="6" max="6" width="29.109375" style="83" customWidth="1"/>
    <col min="7" max="7" width="86.5546875" style="178" customWidth="1"/>
    <col min="8" max="8" width="25.44140625" style="178" customWidth="1"/>
    <col min="9" max="9" width="18.5546875" customWidth="1"/>
    <col min="10" max="10" width="29.88671875" style="14" customWidth="1"/>
    <col min="11" max="11" width="11.88671875" bestFit="1" customWidth="1"/>
    <col min="12" max="12" width="14.44140625" bestFit="1" customWidth="1"/>
    <col min="13" max="13" width="19.6640625" style="14" customWidth="1"/>
    <col min="14" max="14" width="20.44140625" customWidth="1"/>
    <col min="15" max="15" width="10.109375" customWidth="1"/>
    <col min="16" max="16" width="18" customWidth="1"/>
    <col min="17" max="17" width="14" customWidth="1"/>
    <col min="18" max="18" width="9.6640625" customWidth="1"/>
    <col min="19" max="19" width="12.33203125" customWidth="1"/>
    <col min="20" max="20" width="22" customWidth="1"/>
  </cols>
  <sheetData>
    <row r="1" spans="1:20" s="14" customFormat="1" ht="15" thickBot="1" x14ac:dyDescent="0.35">
      <c r="F1" s="311" t="s">
        <v>1368</v>
      </c>
      <c r="G1" s="311"/>
      <c r="H1" s="311"/>
      <c r="I1" s="311"/>
      <c r="J1" s="311"/>
      <c r="K1" s="209"/>
    </row>
    <row r="2" spans="1:20" s="14" customFormat="1" ht="24.9" customHeight="1" x14ac:dyDescent="0.3">
      <c r="F2" s="210" t="s">
        <v>1373</v>
      </c>
      <c r="G2" s="211" t="s">
        <v>1374</v>
      </c>
      <c r="H2" s="211" t="s">
        <v>1372</v>
      </c>
      <c r="I2" s="210" t="s">
        <v>1364</v>
      </c>
      <c r="J2" s="210" t="s">
        <v>1371</v>
      </c>
    </row>
    <row r="3" spans="1:20" s="14" customFormat="1" x14ac:dyDescent="0.3">
      <c r="F3" s="204" t="str">
        <f>IF(Scope!B6="Yes",_xlfn.CONCAT("Service ")&amp;IF(Scope!B7="Yes",_xlfn.CONCAT("Product"),""),IF(Scope!B7="Yes",_xlfn.CONCAT("Product"),"Blank"))</f>
        <v>Product</v>
      </c>
      <c r="G3" s="205" t="str">
        <f>IF(Scope!B17="Yes","PHI","No PHI")</f>
        <v>PHI</v>
      </c>
      <c r="H3" s="205" t="str">
        <f>IF(OR(Scope!B23="Yes",NOT(Scope!C23="")),"Workstation"&amp;_xlfn.CONCAT(" ,",Scope!C23),"")</f>
        <v>Workstation ,Client application is installed on applicable workstations where clinicians can see real-time vitals and chart applicable data to the patient record. Data is then trasmitted from the server to the EMR over HL7</v>
      </c>
      <c r="I3" s="222" t="str">
        <f>IF(Scope!B36="Yes",_xlfn.CONCAT("SOC 1 Type 1 ")&amp;IF(Scope!B37="Yes",_xlfn.CONCAT("SOC 1 Type 2"),""),IF(Scope!B37="Yes",_xlfn.CONCAT("SOC 1 Type 2"),"No SOC 1"))</f>
        <v>No SOC 1</v>
      </c>
      <c r="J3" s="221" t="str">
        <f>IF(Scope!B10="Yes",_xlfn.CONCAT("Remote Access Client Network ")&amp;IF(Scope!B11="Yes",_xlfn.CONCAT("Onsite Network Access"),""),IF(Scope!B11="Yes",_xlfn.CONCAT("Onsite Network Access"),""))</f>
        <v>Remote Access Client Network Onsite Network Access</v>
      </c>
    </row>
    <row r="4" spans="1:20" s="14" customFormat="1" x14ac:dyDescent="0.3">
      <c r="F4" s="204" t="str">
        <f>IF(Scope!B6="Yes",Scope!C6,"")&amp; " "&amp;IF(Scope!B7="Yes",Scope!C7,"")</f>
        <v xml:space="preserve"> PeriWatch Tracings</v>
      </c>
      <c r="G4" s="205" t="str">
        <f>IF(Scope!B18="Yes","PII","No PII")</f>
        <v>PII</v>
      </c>
      <c r="H4" s="205" t="str">
        <f>IF(OR(Scope!B24="Yes",NOT(Scope!C24="")),"Mobile Device"&amp;_xlfn.CONCAT(" ,",Scope!C24),"")</f>
        <v/>
      </c>
      <c r="I4" s="222" t="str">
        <f>IF(Scope!B38="Yes",_xlfn.CONCAT("SOC 2 Type 1 ")&amp;IF(Scope!B39="Yes",_xlfn.CONCAT("SOC 2 Type 2"),""),IF(Scope!B39="Yes",_xlfn.CONCAT("SOC 2 Type 2"),"No SOC 2"))</f>
        <v>No SOC 2</v>
      </c>
      <c r="J4" s="221" t="str">
        <f>IF(Scope!B12="Yes",_xlfn.CONCAT("Access Client Infrastructure ")&amp;IF(Scope!B13="Yes",_xlfn.CONCAT("Access Application/Database"),""),IF(Scope!B13="Yes",_xlfn.CONCAT("Access Application/Database"),""))</f>
        <v>Access Client Infrastructure Access Application/Database</v>
      </c>
    </row>
    <row r="5" spans="1:20" s="14" customFormat="1" x14ac:dyDescent="0.3">
      <c r="F5" s="206"/>
      <c r="G5" s="205" t="str">
        <f>IF(Scope!B19="Yes","PCI","No PCI")</f>
        <v>No PCI</v>
      </c>
      <c r="H5" s="205" t="str">
        <f>IF(OR(Scope!B25="Yes",NOT(Scope!C25="")),"Medical Device"&amp;_xlfn.CONCAT(" ,",Scope!C25),"")</f>
        <v>Medical Device ,Fetal monitors</v>
      </c>
      <c r="I5" s="206" t="str">
        <f>IF(Scope!B40="Yes",_xlfn.CONCAT("SOC 3 ")&amp;IF(Scope!B41="Yes",_xlfn.CONCAT("HITRUST"),""),IF(Scope!B41="Yes",_xlfn.CONCAT("HITRUST"),""))</f>
        <v/>
      </c>
      <c r="J5" s="221" t="str">
        <f>IF(Scope!B14="Yes",_xlfn.CONCAT("Receive Client Data ")&amp;IF(Scope!B15="Yes",_xlfn.CONCAT("No Access"),""),IF(Scope!B15="Yes",_xlfn.CONCAT("No Access"),""))</f>
        <v xml:space="preserve">Receive Client Data </v>
      </c>
    </row>
    <row r="6" spans="1:20" s="14" customFormat="1" x14ac:dyDescent="0.3">
      <c r="F6" s="204"/>
      <c r="G6" s="205" t="str">
        <f>IF(Scope!B20="Yes",_xlfn.CONCAT("Employee Information ")&amp;IF(Scope!B21="Yes",_xlfn.CONCAT(" Proprietary Information")),IF(Scope!B21="Yes",_xlfn.CONCAT("Proprietary Information"),"No Employee or Proprietary Informaiton"))</f>
        <v>No Employee or Proprietary Informaiton</v>
      </c>
      <c r="H6" s="205" t="str">
        <f>IF(OR(Scope!B26="Yes",NOT(Scope!C26="")),"Other"&amp;_xlfn.CONCAT(" ,",Scope!C26),"")</f>
        <v/>
      </c>
      <c r="I6" s="206" t="str">
        <f>IF(Scope!B42="Yes",_xlfn.CONCAT("PCI DSS ")&amp;IF(Scope!B42="Yes",_xlfn.CONCAT("ISO 27001"),""),IF(Scope!B42="Yes",_xlfn.CONCAT("ISO 27001"),""))</f>
        <v/>
      </c>
      <c r="J6" s="206"/>
    </row>
    <row r="7" spans="1:20" s="14" customFormat="1" x14ac:dyDescent="0.3">
      <c r="F7" s="204"/>
      <c r="G7" s="205"/>
      <c r="H7" s="205"/>
      <c r="I7" s="206" t="str">
        <f>IF(Scope!B44="Yes",_xlfn.CONCAT("FedRamp ")&amp;IF(Scope!B45="Yes",_xlfn.CONCAT("HIPAA"),""),IF(Scope!B43="Yes",_xlfn.CONCAT("HIPAA"),""))</f>
        <v/>
      </c>
      <c r="J7" s="206"/>
    </row>
    <row r="8" spans="1:20" x14ac:dyDescent="0.3">
      <c r="A8" s="59" t="s">
        <v>1124</v>
      </c>
      <c r="B8" s="59" t="s">
        <v>1179</v>
      </c>
      <c r="C8" s="59" t="s">
        <v>1180</v>
      </c>
      <c r="D8" s="59" t="s">
        <v>1127</v>
      </c>
      <c r="E8" s="59" t="s">
        <v>77</v>
      </c>
      <c r="F8" s="81" t="s">
        <v>78</v>
      </c>
      <c r="G8" s="169" t="s">
        <v>1160</v>
      </c>
      <c r="H8" s="169" t="s">
        <v>1181</v>
      </c>
      <c r="I8" s="59" t="s">
        <v>80</v>
      </c>
      <c r="J8" s="59" t="s">
        <v>1129</v>
      </c>
      <c r="K8" s="59" t="s">
        <v>1125</v>
      </c>
      <c r="L8" s="59" t="s">
        <v>1126</v>
      </c>
      <c r="M8" s="59" t="s">
        <v>1363</v>
      </c>
      <c r="N8" s="95" t="s">
        <v>1182</v>
      </c>
      <c r="O8" s="95" t="s">
        <v>117</v>
      </c>
      <c r="P8" s="95" t="s">
        <v>118</v>
      </c>
      <c r="Q8" s="95" t="s">
        <v>1183</v>
      </c>
      <c r="R8" s="95" t="s">
        <v>1130</v>
      </c>
      <c r="S8" s="95" t="s">
        <v>1184</v>
      </c>
      <c r="T8" s="95" t="s">
        <v>1185</v>
      </c>
    </row>
    <row r="9" spans="1:20" x14ac:dyDescent="0.3">
      <c r="A9" s="224">
        <v>3</v>
      </c>
      <c r="C9" s="14">
        <f>IF($B9="",$A9,$B9)</f>
        <v>3</v>
      </c>
      <c r="D9" t="s">
        <v>1128</v>
      </c>
      <c r="E9" s="58" t="s">
        <v>203</v>
      </c>
      <c r="F9" s="82" t="s">
        <v>206</v>
      </c>
      <c r="G9" s="170" t="s">
        <v>207</v>
      </c>
      <c r="H9" s="170" t="str">
        <f>'1. Access Controls'!$H3</f>
        <v>Comment is required</v>
      </c>
      <c r="I9">
        <f>'1. Access Controls'!$G3</f>
        <v>0</v>
      </c>
      <c r="J9" s="14" t="str">
        <f t="shared" ref="J9:J19" si="0">IF($I9="Yes","Adequate",IF($I9="No","Inadequate",IF($I9="Partial","Inadequate",IF($I9="N/A","Inadequate",IF(OR($I9="",$I9=0),"Blank","Error")))))</f>
        <v>Blank</v>
      </c>
      <c r="K9" s="155" t="s">
        <v>1131</v>
      </c>
      <c r="L9" t="str">
        <f t="shared" ref="L9:L75" si="1">IF($K9="No Override",$J9,$K9)</f>
        <v>Blank</v>
      </c>
      <c r="N9" t="str">
        <f>IF($J9=$L9,"","***")</f>
        <v/>
      </c>
      <c r="O9" t="str">
        <f>IF(OR($I9="",$I9=0),"",$I9)</f>
        <v/>
      </c>
      <c r="P9" t="str">
        <f>IF(OR($H9="",$H9=0),"",$H9)</f>
        <v>Comment is required</v>
      </c>
      <c r="Q9" t="str">
        <f>$L9</f>
        <v>Blank</v>
      </c>
      <c r="R9" t="str">
        <f>$K9</f>
        <v>No Override</v>
      </c>
      <c r="S9">
        <f>$C9</f>
        <v>3</v>
      </c>
      <c r="T9" t="str">
        <f>IF($L9=$Q9,"","***")</f>
        <v/>
      </c>
    </row>
    <row r="10" spans="1:20" ht="22.8" x14ac:dyDescent="0.3">
      <c r="A10" s="224">
        <v>1</v>
      </c>
      <c r="C10" s="14">
        <f t="shared" ref="C10:C76" si="2">IF($B10="",$A10,$B10)</f>
        <v>1</v>
      </c>
      <c r="D10" s="14" t="s">
        <v>1128</v>
      </c>
      <c r="E10" s="58" t="s">
        <v>208</v>
      </c>
      <c r="F10" s="82" t="s">
        <v>211</v>
      </c>
      <c r="G10" s="170" t="s">
        <v>212</v>
      </c>
      <c r="H10" s="170" t="str">
        <f>'1. Access Controls'!$H4</f>
        <v>Comment is required</v>
      </c>
      <c r="I10" s="14">
        <f>'1. Access Controls'!$G4</f>
        <v>0</v>
      </c>
      <c r="J10" s="14" t="str">
        <f t="shared" si="0"/>
        <v>Blank</v>
      </c>
      <c r="K10" s="155" t="s">
        <v>1131</v>
      </c>
      <c r="L10" s="14" t="str">
        <f t="shared" si="1"/>
        <v>Blank</v>
      </c>
      <c r="N10" s="14" t="str">
        <f t="shared" ref="N10:N76" si="3">IF($J10=$L10,"","***")</f>
        <v/>
      </c>
      <c r="O10" s="14" t="str">
        <f t="shared" ref="O10:O76" si="4">IF(OR($I10="",$I10=0),"",$I10)</f>
        <v/>
      </c>
      <c r="P10" s="14" t="str">
        <f t="shared" ref="P10:P76" si="5">IF(OR($H10="",$H10=0),"",$H10)</f>
        <v>Comment is required</v>
      </c>
      <c r="Q10" s="14" t="str">
        <f t="shared" ref="Q10:Q76" si="6">$L10</f>
        <v>Blank</v>
      </c>
      <c r="R10" s="14" t="str">
        <f t="shared" ref="R10:R76" si="7">$K10</f>
        <v>No Override</v>
      </c>
      <c r="S10" s="14">
        <f t="shared" ref="S10:S76" si="8">$C10</f>
        <v>1</v>
      </c>
      <c r="T10" s="14" t="str">
        <f t="shared" ref="T10:T76" si="9">IF($L10=$Q10,"","***")</f>
        <v/>
      </c>
    </row>
    <row r="11" spans="1:20" x14ac:dyDescent="0.3">
      <c r="A11" s="224">
        <v>1</v>
      </c>
      <c r="C11" s="14">
        <f t="shared" si="2"/>
        <v>1</v>
      </c>
      <c r="D11" s="14" t="s">
        <v>1128</v>
      </c>
      <c r="E11" s="58" t="s">
        <v>213</v>
      </c>
      <c r="F11" s="82" t="s">
        <v>211</v>
      </c>
      <c r="G11" s="170" t="s">
        <v>214</v>
      </c>
      <c r="H11" s="170" t="str">
        <f>'1. Access Controls'!$H5</f>
        <v>Comment is required</v>
      </c>
      <c r="I11" s="14">
        <f>'1. Access Controls'!$G5</f>
        <v>0</v>
      </c>
      <c r="J11" s="14" t="str">
        <f t="shared" si="0"/>
        <v>Blank</v>
      </c>
      <c r="K11" s="155" t="s">
        <v>1131</v>
      </c>
      <c r="L11" s="14" t="str">
        <f t="shared" si="1"/>
        <v>Blank</v>
      </c>
      <c r="N11" s="14" t="str">
        <f t="shared" si="3"/>
        <v/>
      </c>
      <c r="O11" s="14" t="str">
        <f t="shared" si="4"/>
        <v/>
      </c>
      <c r="P11" s="14" t="str">
        <f t="shared" si="5"/>
        <v>Comment is required</v>
      </c>
      <c r="Q11" s="14" t="str">
        <f t="shared" si="6"/>
        <v>Blank</v>
      </c>
      <c r="R11" s="14" t="str">
        <f t="shared" si="7"/>
        <v>No Override</v>
      </c>
      <c r="S11" s="14">
        <f t="shared" si="8"/>
        <v>1</v>
      </c>
      <c r="T11" s="14" t="str">
        <f t="shared" si="9"/>
        <v/>
      </c>
    </row>
    <row r="12" spans="1:20" x14ac:dyDescent="0.3">
      <c r="A12" s="224">
        <v>1</v>
      </c>
      <c r="C12" s="14">
        <f t="shared" si="2"/>
        <v>1</v>
      </c>
      <c r="D12" s="14" t="s">
        <v>1128</v>
      </c>
      <c r="E12" s="58" t="s">
        <v>215</v>
      </c>
      <c r="F12" s="82" t="s">
        <v>211</v>
      </c>
      <c r="G12" s="170" t="s">
        <v>216</v>
      </c>
      <c r="H12" s="170" t="str">
        <f>'1. Access Controls'!$H6</f>
        <v>Comment is required</v>
      </c>
      <c r="I12" s="14">
        <f>'1. Access Controls'!$G6</f>
        <v>0</v>
      </c>
      <c r="J12" s="14" t="str">
        <f t="shared" si="0"/>
        <v>Blank</v>
      </c>
      <c r="K12" s="155" t="s">
        <v>1131</v>
      </c>
      <c r="L12" s="14" t="str">
        <f t="shared" si="1"/>
        <v>Blank</v>
      </c>
      <c r="N12" s="14" t="str">
        <f t="shared" si="3"/>
        <v/>
      </c>
      <c r="O12" s="14" t="str">
        <f t="shared" si="4"/>
        <v/>
      </c>
      <c r="P12" s="14" t="str">
        <f t="shared" si="5"/>
        <v>Comment is required</v>
      </c>
      <c r="Q12" s="14" t="str">
        <f t="shared" si="6"/>
        <v>Blank</v>
      </c>
      <c r="R12" s="14" t="str">
        <f t="shared" si="7"/>
        <v>No Override</v>
      </c>
      <c r="S12" s="14">
        <f t="shared" si="8"/>
        <v>1</v>
      </c>
      <c r="T12" s="14" t="str">
        <f t="shared" si="9"/>
        <v/>
      </c>
    </row>
    <row r="13" spans="1:20" ht="22.8" x14ac:dyDescent="0.3">
      <c r="A13" s="224">
        <v>1</v>
      </c>
      <c r="C13" s="14">
        <f t="shared" si="2"/>
        <v>1</v>
      </c>
      <c r="D13" s="14" t="s">
        <v>1128</v>
      </c>
      <c r="E13" s="58" t="s">
        <v>217</v>
      </c>
      <c r="F13" s="82" t="s">
        <v>211</v>
      </c>
      <c r="G13" s="170" t="s">
        <v>218</v>
      </c>
      <c r="H13" s="170" t="str">
        <f>'1. Access Controls'!$H7</f>
        <v>Comment is required</v>
      </c>
      <c r="I13" s="14">
        <f>'1. Access Controls'!$G7</f>
        <v>0</v>
      </c>
      <c r="J13" s="14" t="str">
        <f t="shared" si="0"/>
        <v>Blank</v>
      </c>
      <c r="K13" s="155" t="s">
        <v>1131</v>
      </c>
      <c r="L13" s="14" t="str">
        <f t="shared" si="1"/>
        <v>Blank</v>
      </c>
      <c r="N13" s="14" t="str">
        <f t="shared" si="3"/>
        <v/>
      </c>
      <c r="O13" s="14" t="str">
        <f t="shared" si="4"/>
        <v/>
      </c>
      <c r="P13" s="14" t="str">
        <f t="shared" si="5"/>
        <v>Comment is required</v>
      </c>
      <c r="Q13" s="14" t="str">
        <f t="shared" si="6"/>
        <v>Blank</v>
      </c>
      <c r="R13" s="14" t="str">
        <f t="shared" si="7"/>
        <v>No Override</v>
      </c>
      <c r="S13" s="14">
        <f t="shared" si="8"/>
        <v>1</v>
      </c>
      <c r="T13" s="14" t="str">
        <f t="shared" si="9"/>
        <v/>
      </c>
    </row>
    <row r="14" spans="1:20" x14ac:dyDescent="0.3">
      <c r="A14" s="224">
        <v>1</v>
      </c>
      <c r="C14" s="14">
        <f t="shared" si="2"/>
        <v>1</v>
      </c>
      <c r="D14" s="14" t="s">
        <v>1128</v>
      </c>
      <c r="E14" s="58" t="s">
        <v>219</v>
      </c>
      <c r="F14" s="82" t="s">
        <v>211</v>
      </c>
      <c r="G14" s="170" t="s">
        <v>220</v>
      </c>
      <c r="H14" s="170" t="str">
        <f>'1. Access Controls'!$H8</f>
        <v>Comment is required</v>
      </c>
      <c r="I14" s="14">
        <f>'1. Access Controls'!$G8</f>
        <v>0</v>
      </c>
      <c r="J14" s="14" t="str">
        <f t="shared" si="0"/>
        <v>Blank</v>
      </c>
      <c r="K14" s="155" t="s">
        <v>1131</v>
      </c>
      <c r="L14" s="14" t="str">
        <f t="shared" si="1"/>
        <v>Blank</v>
      </c>
      <c r="N14" s="14" t="str">
        <f t="shared" si="3"/>
        <v/>
      </c>
      <c r="O14" s="14" t="str">
        <f t="shared" si="4"/>
        <v/>
      </c>
      <c r="P14" s="14" t="str">
        <f t="shared" si="5"/>
        <v>Comment is required</v>
      </c>
      <c r="Q14" s="14" t="str">
        <f t="shared" si="6"/>
        <v>Blank</v>
      </c>
      <c r="R14" s="14" t="str">
        <f t="shared" si="7"/>
        <v>No Override</v>
      </c>
      <c r="S14" s="14">
        <f t="shared" si="8"/>
        <v>1</v>
      </c>
      <c r="T14" s="14" t="str">
        <f t="shared" si="9"/>
        <v/>
      </c>
    </row>
    <row r="15" spans="1:20" ht="22.8" x14ac:dyDescent="0.3">
      <c r="A15" s="224">
        <v>1</v>
      </c>
      <c r="C15" s="14">
        <f>IF($B15="",$A15,$B15)</f>
        <v>1</v>
      </c>
      <c r="D15" s="14" t="s">
        <v>1128</v>
      </c>
      <c r="E15" s="58" t="s">
        <v>221</v>
      </c>
      <c r="F15" s="82" t="s">
        <v>224</v>
      </c>
      <c r="G15" s="170" t="s">
        <v>225</v>
      </c>
      <c r="H15" s="170" t="str">
        <f>'1. Access Controls'!$H9</f>
        <v>Comment is required</v>
      </c>
      <c r="I15" s="14">
        <f>'1. Access Controls'!$G9</f>
        <v>0</v>
      </c>
      <c r="J15" s="14" t="str">
        <f t="shared" si="0"/>
        <v>Blank</v>
      </c>
      <c r="K15" s="155" t="s">
        <v>1131</v>
      </c>
      <c r="L15" s="14" t="str">
        <f t="shared" si="1"/>
        <v>Blank</v>
      </c>
      <c r="N15" s="14" t="str">
        <f t="shared" si="3"/>
        <v/>
      </c>
      <c r="O15" s="14" t="str">
        <f t="shared" si="4"/>
        <v/>
      </c>
      <c r="P15" s="14" t="str">
        <f t="shared" si="5"/>
        <v>Comment is required</v>
      </c>
      <c r="Q15" s="14" t="str">
        <f t="shared" si="6"/>
        <v>Blank</v>
      </c>
      <c r="R15" s="14" t="str">
        <f t="shared" si="7"/>
        <v>No Override</v>
      </c>
      <c r="S15" s="14">
        <f t="shared" si="8"/>
        <v>1</v>
      </c>
      <c r="T15" s="14" t="str">
        <f t="shared" si="9"/>
        <v/>
      </c>
    </row>
    <row r="16" spans="1:20" s="14" customFormat="1" x14ac:dyDescent="0.3">
      <c r="A16" s="224">
        <v>3</v>
      </c>
      <c r="C16" s="14">
        <f>IF($B16="",$A16,$B16)</f>
        <v>3</v>
      </c>
      <c r="D16" s="14" t="s">
        <v>1128</v>
      </c>
      <c r="E16" s="58" t="s">
        <v>1289</v>
      </c>
      <c r="F16" s="82" t="s">
        <v>224</v>
      </c>
      <c r="G16" s="170" t="s">
        <v>1291</v>
      </c>
      <c r="H16" s="170" t="str">
        <f>'1. Access Controls'!$H10</f>
        <v>Comment is required</v>
      </c>
      <c r="I16" s="14">
        <f>'1. Access Controls'!$G10</f>
        <v>0</v>
      </c>
      <c r="J16" s="14" t="str">
        <f t="shared" si="0"/>
        <v>Blank</v>
      </c>
      <c r="K16" s="155" t="s">
        <v>1131</v>
      </c>
      <c r="L16" s="14" t="str">
        <f t="shared" si="1"/>
        <v>Blank</v>
      </c>
      <c r="N16" s="14" t="str">
        <f t="shared" si="3"/>
        <v/>
      </c>
      <c r="O16" s="14" t="str">
        <f t="shared" si="4"/>
        <v/>
      </c>
      <c r="P16" s="14" t="str">
        <f t="shared" si="5"/>
        <v>Comment is required</v>
      </c>
      <c r="Q16" s="14" t="str">
        <f t="shared" si="6"/>
        <v>Blank</v>
      </c>
      <c r="R16" s="14" t="str">
        <f t="shared" si="7"/>
        <v>No Override</v>
      </c>
      <c r="S16" s="14">
        <f t="shared" si="8"/>
        <v>3</v>
      </c>
    </row>
    <row r="17" spans="1:20" s="14" customFormat="1" x14ac:dyDescent="0.3">
      <c r="A17" s="224">
        <v>4</v>
      </c>
      <c r="C17" s="14">
        <f>IF($B17="",$A17,$B17)</f>
        <v>4</v>
      </c>
      <c r="D17" s="14" t="s">
        <v>1128</v>
      </c>
      <c r="E17" s="58" t="s">
        <v>1290</v>
      </c>
      <c r="F17" s="82" t="s">
        <v>224</v>
      </c>
      <c r="G17" s="170" t="s">
        <v>1292</v>
      </c>
      <c r="H17" s="170" t="str">
        <f>'1. Access Controls'!$H11</f>
        <v>Comment is required</v>
      </c>
      <c r="I17" s="14">
        <f>'1. Access Controls'!$G11</f>
        <v>0</v>
      </c>
      <c r="J17" s="14" t="str">
        <f t="shared" si="0"/>
        <v>Blank</v>
      </c>
      <c r="K17" s="155" t="s">
        <v>1131</v>
      </c>
      <c r="L17" s="14" t="str">
        <f t="shared" si="1"/>
        <v>Blank</v>
      </c>
      <c r="N17" s="14" t="str">
        <f t="shared" si="3"/>
        <v/>
      </c>
      <c r="O17" s="14" t="str">
        <f t="shared" si="4"/>
        <v/>
      </c>
      <c r="P17" s="14" t="str">
        <f t="shared" si="5"/>
        <v>Comment is required</v>
      </c>
      <c r="Q17" s="14" t="str">
        <f t="shared" si="6"/>
        <v>Blank</v>
      </c>
      <c r="R17" s="14" t="str">
        <f t="shared" si="7"/>
        <v>No Override</v>
      </c>
      <c r="S17" s="14">
        <f t="shared" si="8"/>
        <v>4</v>
      </c>
    </row>
    <row r="18" spans="1:20" ht="22.8" x14ac:dyDescent="0.3">
      <c r="A18" s="224">
        <v>2</v>
      </c>
      <c r="C18" s="14">
        <f t="shared" si="2"/>
        <v>2</v>
      </c>
      <c r="D18" s="14" t="s">
        <v>1128</v>
      </c>
      <c r="E18" s="58" t="s">
        <v>226</v>
      </c>
      <c r="F18" s="82" t="s">
        <v>229</v>
      </c>
      <c r="G18" s="170" t="s">
        <v>230</v>
      </c>
      <c r="H18" s="170" t="str">
        <f>'1. Access Controls'!$H12</f>
        <v>Comment is required</v>
      </c>
      <c r="I18" s="14">
        <f>'1. Access Controls'!$G12</f>
        <v>0</v>
      </c>
      <c r="J18" s="14" t="str">
        <f t="shared" si="0"/>
        <v>Blank</v>
      </c>
      <c r="K18" s="155" t="s">
        <v>1131</v>
      </c>
      <c r="L18" s="14" t="str">
        <f t="shared" si="1"/>
        <v>Blank</v>
      </c>
      <c r="N18" s="14" t="str">
        <f t="shared" si="3"/>
        <v/>
      </c>
      <c r="O18" s="14" t="str">
        <f t="shared" si="4"/>
        <v/>
      </c>
      <c r="P18" s="14" t="str">
        <f t="shared" si="5"/>
        <v>Comment is required</v>
      </c>
      <c r="Q18" s="14" t="str">
        <f t="shared" si="6"/>
        <v>Blank</v>
      </c>
      <c r="R18" s="14" t="str">
        <f t="shared" si="7"/>
        <v>No Override</v>
      </c>
      <c r="S18" s="14">
        <f t="shared" si="8"/>
        <v>2</v>
      </c>
      <c r="T18" s="14" t="str">
        <f t="shared" si="9"/>
        <v/>
      </c>
    </row>
    <row r="19" spans="1:20" ht="22.8" x14ac:dyDescent="0.3">
      <c r="A19" s="224">
        <v>4</v>
      </c>
      <c r="C19" s="14">
        <f t="shared" si="2"/>
        <v>4</v>
      </c>
      <c r="D19" s="14" t="s">
        <v>1128</v>
      </c>
      <c r="E19" s="58" t="s">
        <v>231</v>
      </c>
      <c r="F19" s="82" t="s">
        <v>234</v>
      </c>
      <c r="G19" s="170" t="s">
        <v>235</v>
      </c>
      <c r="H19" s="170" t="str">
        <f>'1. Access Controls'!$H13</f>
        <v>Comment is required</v>
      </c>
      <c r="I19" s="14">
        <f>'1. Access Controls'!$G13</f>
        <v>0</v>
      </c>
      <c r="J19" s="14" t="str">
        <f t="shared" si="0"/>
        <v>Blank</v>
      </c>
      <c r="K19" s="155" t="s">
        <v>1131</v>
      </c>
      <c r="L19" s="14" t="str">
        <f t="shared" si="1"/>
        <v>Blank</v>
      </c>
      <c r="N19" s="14" t="str">
        <f t="shared" si="3"/>
        <v/>
      </c>
      <c r="O19" s="14" t="str">
        <f t="shared" si="4"/>
        <v/>
      </c>
      <c r="P19" s="14" t="str">
        <f t="shared" si="5"/>
        <v>Comment is required</v>
      </c>
      <c r="Q19" s="14" t="str">
        <f t="shared" si="6"/>
        <v>Blank</v>
      </c>
      <c r="R19" s="14" t="str">
        <f t="shared" si="7"/>
        <v>No Override</v>
      </c>
      <c r="S19" s="14">
        <f t="shared" si="8"/>
        <v>4</v>
      </c>
      <c r="T19" s="14" t="str">
        <f t="shared" si="9"/>
        <v/>
      </c>
    </row>
    <row r="20" spans="1:20" ht="22.8" x14ac:dyDescent="0.3">
      <c r="A20" s="224">
        <v>2</v>
      </c>
      <c r="C20" s="14">
        <f t="shared" si="2"/>
        <v>2</v>
      </c>
      <c r="D20" s="14" t="s">
        <v>1128</v>
      </c>
      <c r="E20" s="58" t="s">
        <v>236</v>
      </c>
      <c r="F20" s="82" t="s">
        <v>239</v>
      </c>
      <c r="G20" s="170" t="s">
        <v>240</v>
      </c>
      <c r="H20" s="170" t="str">
        <f>'1. Access Controls'!$H14</f>
        <v>Comment is required</v>
      </c>
      <c r="I20" s="14">
        <f>'1. Access Controls'!$G14</f>
        <v>0</v>
      </c>
      <c r="J20" s="14" t="str">
        <f t="shared" ref="J20:J32" si="10">IF($I20="Yes","Adequate",IF($I20="No","Inadequate",IF($I20="Partial","Inadequate",IF($I20="N/A","Inadequate",IF(OR($I20="",$I20=0),"Blank","Error")))))</f>
        <v>Blank</v>
      </c>
      <c r="K20" s="155" t="s">
        <v>1131</v>
      </c>
      <c r="L20" s="14" t="str">
        <f t="shared" si="1"/>
        <v>Blank</v>
      </c>
      <c r="N20" s="14" t="str">
        <f t="shared" si="3"/>
        <v/>
      </c>
      <c r="O20" s="14" t="str">
        <f t="shared" si="4"/>
        <v/>
      </c>
      <c r="P20" s="14" t="str">
        <f t="shared" si="5"/>
        <v>Comment is required</v>
      </c>
      <c r="Q20" s="14" t="str">
        <f t="shared" si="6"/>
        <v>Blank</v>
      </c>
      <c r="R20" s="14" t="str">
        <f t="shared" si="7"/>
        <v>No Override</v>
      </c>
      <c r="S20" s="14">
        <f t="shared" si="8"/>
        <v>2</v>
      </c>
      <c r="T20" s="14" t="str">
        <f t="shared" si="9"/>
        <v/>
      </c>
    </row>
    <row r="21" spans="1:20" ht="22.8" x14ac:dyDescent="0.3">
      <c r="A21" s="224">
        <v>2</v>
      </c>
      <c r="C21" s="14">
        <f t="shared" si="2"/>
        <v>2</v>
      </c>
      <c r="D21" s="14" t="s">
        <v>1128</v>
      </c>
      <c r="E21" s="58" t="s">
        <v>241</v>
      </c>
      <c r="F21" s="82" t="s">
        <v>243</v>
      </c>
      <c r="G21" s="170" t="s">
        <v>1337</v>
      </c>
      <c r="H21" s="170" t="str">
        <f>'1. Access Controls'!$H15</f>
        <v>Comment is required</v>
      </c>
      <c r="I21" s="14">
        <f>'1. Access Controls'!$G15</f>
        <v>0</v>
      </c>
      <c r="J21" s="14" t="str">
        <f t="shared" si="10"/>
        <v>Blank</v>
      </c>
      <c r="K21" s="155" t="s">
        <v>1131</v>
      </c>
      <c r="L21" s="14" t="str">
        <f t="shared" si="1"/>
        <v>Blank</v>
      </c>
      <c r="N21" s="14" t="str">
        <f t="shared" si="3"/>
        <v/>
      </c>
      <c r="O21" s="14" t="str">
        <f t="shared" si="4"/>
        <v/>
      </c>
      <c r="P21" s="14" t="str">
        <f t="shared" si="5"/>
        <v>Comment is required</v>
      </c>
      <c r="Q21" s="14" t="str">
        <f t="shared" si="6"/>
        <v>Blank</v>
      </c>
      <c r="R21" s="14" t="str">
        <f t="shared" si="7"/>
        <v>No Override</v>
      </c>
      <c r="S21" s="14">
        <f t="shared" si="8"/>
        <v>2</v>
      </c>
      <c r="T21" s="14" t="str">
        <f t="shared" si="9"/>
        <v/>
      </c>
    </row>
    <row r="22" spans="1:20" x14ac:dyDescent="0.3">
      <c r="A22" s="224">
        <v>4</v>
      </c>
      <c r="C22" s="14">
        <f t="shared" si="2"/>
        <v>4</v>
      </c>
      <c r="D22" s="14" t="s">
        <v>1128</v>
      </c>
      <c r="E22" s="58" t="s">
        <v>244</v>
      </c>
      <c r="F22" s="82" t="s">
        <v>246</v>
      </c>
      <c r="G22" s="170" t="s">
        <v>247</v>
      </c>
      <c r="H22" s="170" t="str">
        <f>'1. Access Controls'!$H16</f>
        <v>Comment is required</v>
      </c>
      <c r="I22" s="14">
        <f>'1. Access Controls'!$G16</f>
        <v>0</v>
      </c>
      <c r="J22" s="14" t="str">
        <f t="shared" si="10"/>
        <v>Blank</v>
      </c>
      <c r="K22" s="155" t="s">
        <v>1131</v>
      </c>
      <c r="L22" s="14" t="str">
        <f t="shared" si="1"/>
        <v>Blank</v>
      </c>
      <c r="N22" s="14" t="str">
        <f t="shared" si="3"/>
        <v/>
      </c>
      <c r="O22" s="14" t="str">
        <f t="shared" si="4"/>
        <v/>
      </c>
      <c r="P22" s="14" t="str">
        <f t="shared" si="5"/>
        <v>Comment is required</v>
      </c>
      <c r="Q22" s="14" t="str">
        <f t="shared" si="6"/>
        <v>Blank</v>
      </c>
      <c r="R22" s="14" t="str">
        <f t="shared" si="7"/>
        <v>No Override</v>
      </c>
      <c r="S22" s="14">
        <f t="shared" si="8"/>
        <v>4</v>
      </c>
      <c r="T22" s="14" t="str">
        <f t="shared" si="9"/>
        <v/>
      </c>
    </row>
    <row r="23" spans="1:20" x14ac:dyDescent="0.3">
      <c r="A23" s="224">
        <v>4</v>
      </c>
      <c r="C23" s="14">
        <f t="shared" si="2"/>
        <v>4</v>
      </c>
      <c r="D23" s="14" t="s">
        <v>1128</v>
      </c>
      <c r="E23" s="58" t="s">
        <v>248</v>
      </c>
      <c r="F23" s="82" t="s">
        <v>250</v>
      </c>
      <c r="G23" s="170" t="s">
        <v>251</v>
      </c>
      <c r="H23" s="170" t="str">
        <f>'1. Access Controls'!$H17</f>
        <v>Comment is required</v>
      </c>
      <c r="I23" s="14">
        <f>'1. Access Controls'!$G17</f>
        <v>0</v>
      </c>
      <c r="J23" s="14" t="str">
        <f t="shared" si="10"/>
        <v>Blank</v>
      </c>
      <c r="K23" s="155" t="s">
        <v>1131</v>
      </c>
      <c r="L23" s="14" t="str">
        <f t="shared" si="1"/>
        <v>Blank</v>
      </c>
      <c r="N23" s="14" t="str">
        <f t="shared" si="3"/>
        <v/>
      </c>
      <c r="O23" s="14" t="str">
        <f t="shared" si="4"/>
        <v/>
      </c>
      <c r="P23" s="14" t="str">
        <f t="shared" si="5"/>
        <v>Comment is required</v>
      </c>
      <c r="Q23" s="14" t="str">
        <f t="shared" si="6"/>
        <v>Blank</v>
      </c>
      <c r="R23" s="14" t="str">
        <f t="shared" si="7"/>
        <v>No Override</v>
      </c>
      <c r="S23" s="14">
        <f t="shared" si="8"/>
        <v>4</v>
      </c>
      <c r="T23" s="14" t="str">
        <f t="shared" si="9"/>
        <v/>
      </c>
    </row>
    <row r="24" spans="1:20" x14ac:dyDescent="0.3">
      <c r="A24" s="224">
        <v>4</v>
      </c>
      <c r="C24" s="14">
        <f t="shared" si="2"/>
        <v>4</v>
      </c>
      <c r="D24" s="14" t="s">
        <v>1128</v>
      </c>
      <c r="E24" s="58" t="s">
        <v>252</v>
      </c>
      <c r="F24" s="82" t="s">
        <v>254</v>
      </c>
      <c r="G24" s="170" t="s">
        <v>255</v>
      </c>
      <c r="H24" s="170" t="str">
        <f>'1. Access Controls'!$H18</f>
        <v>Comment is required</v>
      </c>
      <c r="I24" s="14">
        <f>'1. Access Controls'!$G18</f>
        <v>0</v>
      </c>
      <c r="J24" s="14" t="str">
        <f t="shared" si="10"/>
        <v>Blank</v>
      </c>
      <c r="K24" s="155" t="s">
        <v>1131</v>
      </c>
      <c r="L24" s="14" t="str">
        <f t="shared" si="1"/>
        <v>Blank</v>
      </c>
      <c r="N24" s="14" t="str">
        <f t="shared" si="3"/>
        <v/>
      </c>
      <c r="O24" s="14" t="str">
        <f t="shared" si="4"/>
        <v/>
      </c>
      <c r="P24" s="14" t="str">
        <f t="shared" si="5"/>
        <v>Comment is required</v>
      </c>
      <c r="Q24" s="14" t="str">
        <f t="shared" si="6"/>
        <v>Blank</v>
      </c>
      <c r="R24" s="14" t="str">
        <f t="shared" si="7"/>
        <v>No Override</v>
      </c>
      <c r="S24" s="14">
        <f t="shared" si="8"/>
        <v>4</v>
      </c>
      <c r="T24" s="14" t="str">
        <f t="shared" si="9"/>
        <v/>
      </c>
    </row>
    <row r="25" spans="1:20" x14ac:dyDescent="0.3">
      <c r="A25" s="224">
        <v>2</v>
      </c>
      <c r="C25" s="14">
        <f t="shared" si="2"/>
        <v>2</v>
      </c>
      <c r="D25" s="14" t="s">
        <v>1128</v>
      </c>
      <c r="E25" s="58" t="s">
        <v>256</v>
      </c>
      <c r="F25" s="82" t="s">
        <v>259</v>
      </c>
      <c r="G25" s="170" t="s">
        <v>260</v>
      </c>
      <c r="H25" s="170" t="str">
        <f>'1. Access Controls'!$H19</f>
        <v>Comment is required</v>
      </c>
      <c r="I25" s="14">
        <f>'1. Access Controls'!$G19</f>
        <v>0</v>
      </c>
      <c r="J25" s="14" t="str">
        <f t="shared" si="10"/>
        <v>Blank</v>
      </c>
      <c r="K25" s="155" t="s">
        <v>1131</v>
      </c>
      <c r="L25" s="14" t="str">
        <f t="shared" si="1"/>
        <v>Blank</v>
      </c>
      <c r="N25" s="14" t="str">
        <f t="shared" si="3"/>
        <v/>
      </c>
      <c r="O25" s="14" t="str">
        <f t="shared" si="4"/>
        <v/>
      </c>
      <c r="P25" s="14" t="str">
        <f t="shared" si="5"/>
        <v>Comment is required</v>
      </c>
      <c r="Q25" s="14" t="str">
        <f t="shared" si="6"/>
        <v>Blank</v>
      </c>
      <c r="R25" s="14" t="str">
        <f t="shared" si="7"/>
        <v>No Override</v>
      </c>
      <c r="S25" s="14">
        <f t="shared" si="8"/>
        <v>2</v>
      </c>
      <c r="T25" s="14" t="str">
        <f t="shared" si="9"/>
        <v/>
      </c>
    </row>
    <row r="26" spans="1:20" x14ac:dyDescent="0.3">
      <c r="A26" s="224">
        <v>2</v>
      </c>
      <c r="C26" s="14">
        <f t="shared" si="2"/>
        <v>2</v>
      </c>
      <c r="D26" s="14" t="s">
        <v>1128</v>
      </c>
      <c r="E26" s="58" t="s">
        <v>261</v>
      </c>
      <c r="F26" s="82" t="s">
        <v>263</v>
      </c>
      <c r="G26" s="170" t="s">
        <v>264</v>
      </c>
      <c r="H26" s="170" t="str">
        <f>'1. Access Controls'!$H20</f>
        <v>Comment is required</v>
      </c>
      <c r="I26" s="14">
        <f>'1. Access Controls'!$G20</f>
        <v>0</v>
      </c>
      <c r="J26" s="14" t="str">
        <f t="shared" si="10"/>
        <v>Blank</v>
      </c>
      <c r="K26" s="155" t="s">
        <v>1131</v>
      </c>
      <c r="L26" s="14" t="str">
        <f t="shared" si="1"/>
        <v>Blank</v>
      </c>
      <c r="N26" s="14" t="str">
        <f t="shared" si="3"/>
        <v/>
      </c>
      <c r="O26" s="14" t="str">
        <f t="shared" si="4"/>
        <v/>
      </c>
      <c r="P26" s="14" t="str">
        <f t="shared" si="5"/>
        <v>Comment is required</v>
      </c>
      <c r="Q26" s="14" t="str">
        <f t="shared" si="6"/>
        <v>Blank</v>
      </c>
      <c r="R26" s="14" t="str">
        <f t="shared" si="7"/>
        <v>No Override</v>
      </c>
      <c r="S26" s="14">
        <f t="shared" si="8"/>
        <v>2</v>
      </c>
      <c r="T26" s="14" t="str">
        <f t="shared" si="9"/>
        <v/>
      </c>
    </row>
    <row r="27" spans="1:20" x14ac:dyDescent="0.3">
      <c r="A27" s="224">
        <v>2</v>
      </c>
      <c r="C27" s="14">
        <f t="shared" si="2"/>
        <v>2</v>
      </c>
      <c r="D27" s="14" t="s">
        <v>1128</v>
      </c>
      <c r="E27" s="58" t="s">
        <v>265</v>
      </c>
      <c r="F27" s="82" t="s">
        <v>267</v>
      </c>
      <c r="G27" s="170" t="s">
        <v>268</v>
      </c>
      <c r="H27" s="170" t="str">
        <f>'1. Access Controls'!$H21</f>
        <v>Comment is required</v>
      </c>
      <c r="I27" s="14">
        <f>'1. Access Controls'!$G21</f>
        <v>0</v>
      </c>
      <c r="J27" s="14" t="str">
        <f t="shared" si="10"/>
        <v>Blank</v>
      </c>
      <c r="K27" s="155" t="s">
        <v>1131</v>
      </c>
      <c r="L27" s="14" t="str">
        <f t="shared" si="1"/>
        <v>Blank</v>
      </c>
      <c r="N27" s="14" t="str">
        <f t="shared" si="3"/>
        <v/>
      </c>
      <c r="O27" s="14" t="str">
        <f t="shared" si="4"/>
        <v/>
      </c>
      <c r="P27" s="14" t="str">
        <f t="shared" si="5"/>
        <v>Comment is required</v>
      </c>
      <c r="Q27" s="14" t="str">
        <f t="shared" si="6"/>
        <v>Blank</v>
      </c>
      <c r="R27" s="14" t="str">
        <f t="shared" si="7"/>
        <v>No Override</v>
      </c>
      <c r="S27" s="14">
        <f t="shared" si="8"/>
        <v>2</v>
      </c>
      <c r="T27" s="14" t="str">
        <f t="shared" si="9"/>
        <v/>
      </c>
    </row>
    <row r="28" spans="1:20" x14ac:dyDescent="0.3">
      <c r="A28" s="224">
        <v>2</v>
      </c>
      <c r="C28" s="14">
        <f t="shared" si="2"/>
        <v>2</v>
      </c>
      <c r="D28" s="14" t="s">
        <v>1128</v>
      </c>
      <c r="E28" s="58" t="s">
        <v>269</v>
      </c>
      <c r="F28" s="82" t="s">
        <v>272</v>
      </c>
      <c r="G28" s="170" t="s">
        <v>273</v>
      </c>
      <c r="H28" s="170" t="str">
        <f>'1. Access Controls'!$H22</f>
        <v>Comment is required</v>
      </c>
      <c r="I28" s="14">
        <f>'1. Access Controls'!$G22</f>
        <v>0</v>
      </c>
      <c r="J28" s="14" t="str">
        <f t="shared" si="10"/>
        <v>Blank</v>
      </c>
      <c r="K28" s="155" t="s">
        <v>1131</v>
      </c>
      <c r="L28" s="14" t="str">
        <f t="shared" si="1"/>
        <v>Blank</v>
      </c>
      <c r="N28" s="14" t="str">
        <f t="shared" si="3"/>
        <v/>
      </c>
      <c r="O28" s="14" t="str">
        <f t="shared" si="4"/>
        <v/>
      </c>
      <c r="P28" s="14" t="str">
        <f t="shared" si="5"/>
        <v>Comment is required</v>
      </c>
      <c r="Q28" s="14" t="str">
        <f t="shared" si="6"/>
        <v>Blank</v>
      </c>
      <c r="R28" s="14" t="str">
        <f t="shared" si="7"/>
        <v>No Override</v>
      </c>
      <c r="S28" s="14">
        <f t="shared" si="8"/>
        <v>2</v>
      </c>
      <c r="T28" s="14" t="str">
        <f t="shared" si="9"/>
        <v/>
      </c>
    </row>
    <row r="29" spans="1:20" x14ac:dyDescent="0.3">
      <c r="A29" s="224">
        <v>1</v>
      </c>
      <c r="C29" s="14">
        <f t="shared" si="2"/>
        <v>1</v>
      </c>
      <c r="D29" s="14" t="s">
        <v>1128</v>
      </c>
      <c r="E29" s="58" t="s">
        <v>274</v>
      </c>
      <c r="F29" s="82" t="s">
        <v>196</v>
      </c>
      <c r="G29" s="170" t="s">
        <v>275</v>
      </c>
      <c r="H29" s="170" t="str">
        <f>'1. Access Controls'!$H23</f>
        <v>Comment is required</v>
      </c>
      <c r="I29" s="14">
        <f>'1. Access Controls'!$G23</f>
        <v>0</v>
      </c>
      <c r="J29" s="14" t="str">
        <f t="shared" si="10"/>
        <v>Blank</v>
      </c>
      <c r="K29" s="155" t="s">
        <v>1131</v>
      </c>
      <c r="L29" s="14" t="str">
        <f t="shared" si="1"/>
        <v>Blank</v>
      </c>
      <c r="N29" s="14" t="str">
        <f t="shared" si="3"/>
        <v/>
      </c>
      <c r="O29" s="14" t="str">
        <f t="shared" si="4"/>
        <v/>
      </c>
      <c r="P29" s="14" t="str">
        <f t="shared" si="5"/>
        <v>Comment is required</v>
      </c>
      <c r="Q29" s="14" t="str">
        <f t="shared" si="6"/>
        <v>Blank</v>
      </c>
      <c r="R29" s="14" t="str">
        <f t="shared" si="7"/>
        <v>No Override</v>
      </c>
      <c r="S29" s="14">
        <f t="shared" si="8"/>
        <v>1</v>
      </c>
      <c r="T29" s="14" t="str">
        <f t="shared" si="9"/>
        <v/>
      </c>
    </row>
    <row r="30" spans="1:20" x14ac:dyDescent="0.3">
      <c r="A30" s="224">
        <v>1</v>
      </c>
      <c r="C30" s="14">
        <f t="shared" si="2"/>
        <v>1</v>
      </c>
      <c r="D30" s="14" t="s">
        <v>1128</v>
      </c>
      <c r="E30" s="58" t="s">
        <v>276</v>
      </c>
      <c r="F30" s="82" t="s">
        <v>196</v>
      </c>
      <c r="G30" s="170" t="s">
        <v>277</v>
      </c>
      <c r="H30" s="170" t="str">
        <f>'1. Access Controls'!$H24</f>
        <v>Comment is required</v>
      </c>
      <c r="I30" s="14">
        <f>'1. Access Controls'!$G24</f>
        <v>0</v>
      </c>
      <c r="J30" s="14" t="str">
        <f t="shared" si="10"/>
        <v>Blank</v>
      </c>
      <c r="K30" s="155" t="s">
        <v>1131</v>
      </c>
      <c r="L30" s="14" t="str">
        <f t="shared" si="1"/>
        <v>Blank</v>
      </c>
      <c r="N30" s="14" t="str">
        <f t="shared" si="3"/>
        <v/>
      </c>
      <c r="O30" s="14" t="str">
        <f t="shared" si="4"/>
        <v/>
      </c>
      <c r="P30" s="14" t="str">
        <f t="shared" si="5"/>
        <v>Comment is required</v>
      </c>
      <c r="Q30" s="14" t="str">
        <f t="shared" si="6"/>
        <v>Blank</v>
      </c>
      <c r="R30" s="14" t="str">
        <f t="shared" si="7"/>
        <v>No Override</v>
      </c>
      <c r="S30" s="14">
        <f t="shared" si="8"/>
        <v>1</v>
      </c>
      <c r="T30" s="14" t="str">
        <f t="shared" si="9"/>
        <v/>
      </c>
    </row>
    <row r="31" spans="1:20" x14ac:dyDescent="0.3">
      <c r="A31" s="224">
        <v>1</v>
      </c>
      <c r="C31" s="14">
        <f t="shared" si="2"/>
        <v>1</v>
      </c>
      <c r="D31" s="14" t="s">
        <v>1128</v>
      </c>
      <c r="E31" s="58" t="s">
        <v>278</v>
      </c>
      <c r="F31" s="82" t="s">
        <v>196</v>
      </c>
      <c r="G31" s="170" t="s">
        <v>279</v>
      </c>
      <c r="H31" s="170" t="str">
        <f>'1. Access Controls'!$H25</f>
        <v>Comment is required</v>
      </c>
      <c r="I31" s="14">
        <f>'1. Access Controls'!$G25</f>
        <v>0</v>
      </c>
      <c r="J31" s="14" t="str">
        <f t="shared" si="10"/>
        <v>Blank</v>
      </c>
      <c r="K31" s="155" t="s">
        <v>1131</v>
      </c>
      <c r="L31" s="14" t="str">
        <f t="shared" si="1"/>
        <v>Blank</v>
      </c>
      <c r="N31" s="14" t="str">
        <f t="shared" si="3"/>
        <v/>
      </c>
      <c r="O31" s="14" t="str">
        <f t="shared" si="4"/>
        <v/>
      </c>
      <c r="P31" s="14" t="str">
        <f t="shared" si="5"/>
        <v>Comment is required</v>
      </c>
      <c r="Q31" s="14" t="str">
        <f t="shared" si="6"/>
        <v>Blank</v>
      </c>
      <c r="R31" s="14" t="str">
        <f t="shared" si="7"/>
        <v>No Override</v>
      </c>
      <c r="S31" s="14">
        <f t="shared" si="8"/>
        <v>1</v>
      </c>
      <c r="T31" s="14" t="str">
        <f t="shared" si="9"/>
        <v/>
      </c>
    </row>
    <row r="32" spans="1:20" s="14" customFormat="1" ht="45.6" x14ac:dyDescent="0.3">
      <c r="A32" s="224"/>
      <c r="B32" s="14">
        <v>1</v>
      </c>
      <c r="C32" s="14">
        <f t="shared" si="2"/>
        <v>1</v>
      </c>
      <c r="D32" s="14" t="s">
        <v>1128</v>
      </c>
      <c r="E32" s="58" t="s">
        <v>1398</v>
      </c>
      <c r="F32" s="82"/>
      <c r="G32" s="170" t="s">
        <v>1399</v>
      </c>
      <c r="H32" s="170" t="str">
        <f>'1. Access Controls'!$H26</f>
        <v>Comment is required</v>
      </c>
      <c r="I32" s="14">
        <f>'1. Access Controls'!$G26</f>
        <v>0</v>
      </c>
      <c r="J32" s="14" t="str">
        <f t="shared" si="10"/>
        <v>Blank</v>
      </c>
      <c r="K32" s="155" t="s">
        <v>1131</v>
      </c>
      <c r="L32" s="14" t="str">
        <f t="shared" si="1"/>
        <v>Blank</v>
      </c>
      <c r="N32" s="14" t="str">
        <f t="shared" si="3"/>
        <v/>
      </c>
      <c r="O32" s="14" t="str">
        <f t="shared" si="4"/>
        <v/>
      </c>
      <c r="P32" s="14" t="str">
        <f t="shared" si="5"/>
        <v>Comment is required</v>
      </c>
      <c r="Q32" s="14" t="str">
        <f t="shared" si="6"/>
        <v>Blank</v>
      </c>
      <c r="R32" s="14" t="str">
        <f t="shared" si="7"/>
        <v>No Override</v>
      </c>
      <c r="S32" s="14">
        <f t="shared" si="8"/>
        <v>1</v>
      </c>
      <c r="T32" s="14" t="str">
        <f t="shared" si="9"/>
        <v/>
      </c>
    </row>
    <row r="33" spans="1:20" ht="22.8" x14ac:dyDescent="0.3">
      <c r="A33" s="224">
        <v>1</v>
      </c>
      <c r="C33" s="14">
        <f t="shared" si="2"/>
        <v>1</v>
      </c>
      <c r="D33" s="14" t="s">
        <v>1128</v>
      </c>
      <c r="E33" s="58" t="s">
        <v>280</v>
      </c>
      <c r="F33" s="82" t="s">
        <v>282</v>
      </c>
      <c r="G33" s="170" t="s">
        <v>283</v>
      </c>
      <c r="H33" s="170" t="str">
        <f>'1. Access Controls'!$H27</f>
        <v>Comment is required</v>
      </c>
      <c r="I33" s="14">
        <f>'1. Access Controls'!$G27</f>
        <v>0</v>
      </c>
      <c r="J33" s="14" t="str">
        <f>IF($I33="Yes","Adequate",IF($I33="No","Adequate",IF($I33="Partial","Inadequate",IF($I33="N/A","Inadequate",IF(OR($I33="",$I33=0),"Blank","Error")))))</f>
        <v>Blank</v>
      </c>
      <c r="K33" s="155" t="s">
        <v>1131</v>
      </c>
      <c r="L33" s="14" t="str">
        <f t="shared" si="1"/>
        <v>Blank</v>
      </c>
      <c r="N33" s="14" t="str">
        <f t="shared" si="3"/>
        <v/>
      </c>
      <c r="O33" s="14" t="str">
        <f t="shared" si="4"/>
        <v/>
      </c>
      <c r="P33" s="14" t="str">
        <f t="shared" si="5"/>
        <v>Comment is required</v>
      </c>
      <c r="Q33" s="14" t="str">
        <f t="shared" si="6"/>
        <v>Blank</v>
      </c>
      <c r="R33" s="14" t="str">
        <f t="shared" si="7"/>
        <v>No Override</v>
      </c>
      <c r="S33" s="14">
        <f t="shared" si="8"/>
        <v>1</v>
      </c>
      <c r="T33" s="14" t="str">
        <f t="shared" si="9"/>
        <v/>
      </c>
    </row>
    <row r="34" spans="1:20" x14ac:dyDescent="0.3">
      <c r="A34" s="224">
        <v>4</v>
      </c>
      <c r="C34" s="14">
        <f t="shared" si="2"/>
        <v>4</v>
      </c>
      <c r="D34" s="14" t="s">
        <v>1128</v>
      </c>
      <c r="E34" s="58" t="s">
        <v>284</v>
      </c>
      <c r="F34" s="82" t="s">
        <v>286</v>
      </c>
      <c r="G34" s="170" t="s">
        <v>287</v>
      </c>
      <c r="H34" s="170" t="str">
        <f>'1. Access Controls'!$H28</f>
        <v>Comment is required</v>
      </c>
      <c r="I34" s="14">
        <f>'1. Access Controls'!$G28</f>
        <v>0</v>
      </c>
      <c r="J34" s="48" t="str">
        <f>IF(AND($I34="Yes",$I35="Yes",$I36="Yes"),"Adequate",IF(AND($I34="Yes",OR(NOT($I35="Yes"),NOT($I36="Yes"))),"Inadequate",IF($I34="No","N/A",IF($I34="Partial","Inadequate",IF($I34="N/A","N/A",IF(OR($I34="",$I34=0),"Blank","Error"))))))</f>
        <v>Blank</v>
      </c>
      <c r="K34" s="155" t="s">
        <v>1131</v>
      </c>
      <c r="L34" s="14" t="str">
        <f t="shared" si="1"/>
        <v>Blank</v>
      </c>
      <c r="N34" s="14" t="str">
        <f t="shared" si="3"/>
        <v/>
      </c>
      <c r="O34" s="14" t="str">
        <f t="shared" si="4"/>
        <v/>
      </c>
      <c r="P34" s="14" t="str">
        <f t="shared" si="5"/>
        <v>Comment is required</v>
      </c>
      <c r="Q34" s="14" t="str">
        <f t="shared" si="6"/>
        <v>Blank</v>
      </c>
      <c r="R34" s="14" t="str">
        <f t="shared" si="7"/>
        <v>No Override</v>
      </c>
      <c r="S34" s="14">
        <f t="shared" si="8"/>
        <v>4</v>
      </c>
      <c r="T34" s="14" t="str">
        <f t="shared" si="9"/>
        <v/>
      </c>
    </row>
    <row r="35" spans="1:20" x14ac:dyDescent="0.3">
      <c r="A35" s="224">
        <v>2</v>
      </c>
      <c r="C35" s="14">
        <f t="shared" si="2"/>
        <v>2</v>
      </c>
      <c r="D35" s="14" t="s">
        <v>1128</v>
      </c>
      <c r="E35" s="58" t="s">
        <v>288</v>
      </c>
      <c r="F35" s="82" t="s">
        <v>286</v>
      </c>
      <c r="G35" s="170" t="s">
        <v>277</v>
      </c>
      <c r="H35" s="170" t="str">
        <f>'1. Access Controls'!$H29</f>
        <v>Comment is required</v>
      </c>
      <c r="I35" s="14">
        <f>'1. Access Controls'!$G29</f>
        <v>0</v>
      </c>
      <c r="J35" s="60" t="str">
        <f>IF(OR($I34="N/A",$I34="No"),"N/A",IF($I35="Yes","Adequate",IF($I35="No","Inadequate",IF($I35="Partial","Inadequate",IF(AND($I35="N/A",NOT($I34="No"),NOT($I34="N/A")),"Inadequate",IF(OR($I35="",$I35=0),"Blank","Error"))))))</f>
        <v>Blank</v>
      </c>
      <c r="K35" s="155" t="s">
        <v>1131</v>
      </c>
      <c r="L35" s="14" t="str">
        <f t="shared" si="1"/>
        <v>Blank</v>
      </c>
      <c r="N35" s="14" t="str">
        <f t="shared" si="3"/>
        <v/>
      </c>
      <c r="O35" s="14" t="str">
        <f t="shared" si="4"/>
        <v/>
      </c>
      <c r="P35" s="14" t="str">
        <f t="shared" si="5"/>
        <v>Comment is required</v>
      </c>
      <c r="Q35" s="14" t="str">
        <f t="shared" si="6"/>
        <v>Blank</v>
      </c>
      <c r="R35" s="14" t="str">
        <f t="shared" si="7"/>
        <v>No Override</v>
      </c>
      <c r="S35" s="14">
        <f t="shared" si="8"/>
        <v>2</v>
      </c>
      <c r="T35" s="14" t="str">
        <f t="shared" si="9"/>
        <v/>
      </c>
    </row>
    <row r="36" spans="1:20" x14ac:dyDescent="0.3">
      <c r="A36" s="224">
        <v>2</v>
      </c>
      <c r="C36" s="14">
        <f t="shared" si="2"/>
        <v>2</v>
      </c>
      <c r="D36" s="14" t="s">
        <v>1128</v>
      </c>
      <c r="E36" s="58" t="s">
        <v>289</v>
      </c>
      <c r="F36" s="82" t="s">
        <v>286</v>
      </c>
      <c r="G36" s="170" t="s">
        <v>279</v>
      </c>
      <c r="H36" s="170" t="str">
        <f>'1. Access Controls'!$H30</f>
        <v>Comment is required</v>
      </c>
      <c r="I36" s="14">
        <f>'1. Access Controls'!$G30</f>
        <v>0</v>
      </c>
      <c r="J36" s="60" t="str">
        <f>IF(OR($I34="N/A",$I34="No"),"N/A",IF($I36="Yes","Adequate",IF($I36="No","Inadequate",IF($I36="Partial","Inadequate",IF(AND($I36="N/A",NOT($I34="No"),NOT($I34="N/A")),"Inadequate",IF(OR($I36="",$I36=0),"Blank","Error"))))))</f>
        <v>Blank</v>
      </c>
      <c r="K36" s="155" t="s">
        <v>1131</v>
      </c>
      <c r="L36" s="14" t="str">
        <f t="shared" si="1"/>
        <v>Blank</v>
      </c>
      <c r="N36" s="14" t="str">
        <f t="shared" si="3"/>
        <v/>
      </c>
      <c r="O36" s="14" t="str">
        <f t="shared" si="4"/>
        <v/>
      </c>
      <c r="P36" s="14" t="str">
        <f t="shared" si="5"/>
        <v>Comment is required</v>
      </c>
      <c r="Q36" s="14" t="str">
        <f t="shared" si="6"/>
        <v>Blank</v>
      </c>
      <c r="R36" s="14" t="str">
        <f t="shared" si="7"/>
        <v>No Override</v>
      </c>
      <c r="S36" s="14">
        <f t="shared" si="8"/>
        <v>2</v>
      </c>
      <c r="T36" s="14" t="str">
        <f t="shared" si="9"/>
        <v/>
      </c>
    </row>
    <row r="37" spans="1:20" ht="22.8" x14ac:dyDescent="0.3">
      <c r="A37" s="224">
        <v>4</v>
      </c>
      <c r="C37" s="14">
        <f t="shared" si="2"/>
        <v>4</v>
      </c>
      <c r="D37" s="14" t="s">
        <v>1128</v>
      </c>
      <c r="E37" s="58" t="s">
        <v>290</v>
      </c>
      <c r="F37" s="82" t="s">
        <v>292</v>
      </c>
      <c r="G37" s="170" t="s">
        <v>293</v>
      </c>
      <c r="H37" s="170" t="str">
        <f>'1. Access Controls'!$H31</f>
        <v>Comment is required</v>
      </c>
      <c r="I37" s="14">
        <f>'1. Access Controls'!$G31</f>
        <v>0</v>
      </c>
      <c r="J37" s="48" t="str">
        <f>IF(AND($I37="Yes",$I38="Yes"),"Adequate",IF(AND($I37="Yes",NOT($I38="Yes")),"Inadequate",IF($I37="No","N/A",IF($I37="Partial","Inadequate",IF($I37="N/A","N/A",IF(OR($I37="",$I37=0),"Blank","Error"))))))</f>
        <v>Blank</v>
      </c>
      <c r="K37" s="155" t="s">
        <v>1131</v>
      </c>
      <c r="L37" s="14" t="str">
        <f t="shared" si="1"/>
        <v>Blank</v>
      </c>
      <c r="N37" s="14" t="str">
        <f t="shared" si="3"/>
        <v/>
      </c>
      <c r="O37" s="14" t="str">
        <f t="shared" si="4"/>
        <v/>
      </c>
      <c r="P37" s="14" t="str">
        <f t="shared" si="5"/>
        <v>Comment is required</v>
      </c>
      <c r="Q37" s="14" t="str">
        <f t="shared" si="6"/>
        <v>Blank</v>
      </c>
      <c r="R37" s="14" t="str">
        <f t="shared" si="7"/>
        <v>No Override</v>
      </c>
      <c r="S37" s="14">
        <f t="shared" si="8"/>
        <v>4</v>
      </c>
      <c r="T37" s="14" t="str">
        <f t="shared" si="9"/>
        <v/>
      </c>
    </row>
    <row r="38" spans="1:20" ht="22.8" x14ac:dyDescent="0.3">
      <c r="A38" s="224">
        <v>2</v>
      </c>
      <c r="C38" s="14">
        <f t="shared" si="2"/>
        <v>2</v>
      </c>
      <c r="D38" s="14" t="s">
        <v>1128</v>
      </c>
      <c r="E38" s="58" t="s">
        <v>294</v>
      </c>
      <c r="F38" s="82" t="s">
        <v>292</v>
      </c>
      <c r="G38" s="170" t="s">
        <v>295</v>
      </c>
      <c r="H38" s="170" t="str">
        <f>'1. Access Controls'!$H32</f>
        <v>Comment is required</v>
      </c>
      <c r="I38" s="14">
        <f>'1. Access Controls'!$G32</f>
        <v>0</v>
      </c>
      <c r="J38" s="60" t="str">
        <f>IF(OR($I37="N/A",$I37="No"),"N/A",IF($I38="Yes","Adequate",IF($I38="No","Inadequate",IF($I38="Partial","Inadequate",IF(AND($I38="N/A",NOT($I37="No"),NOT($I37="N/A")),"Inadequate",IF(OR($I38="",$I38=0),"Blank","Error"))))))</f>
        <v>Blank</v>
      </c>
      <c r="K38" s="155" t="s">
        <v>1131</v>
      </c>
      <c r="L38" s="14" t="str">
        <f t="shared" si="1"/>
        <v>Blank</v>
      </c>
      <c r="N38" s="14" t="str">
        <f t="shared" si="3"/>
        <v/>
      </c>
      <c r="O38" s="14" t="str">
        <f t="shared" si="4"/>
        <v/>
      </c>
      <c r="P38" s="14" t="str">
        <f t="shared" si="5"/>
        <v>Comment is required</v>
      </c>
      <c r="Q38" s="14" t="str">
        <f t="shared" si="6"/>
        <v>Blank</v>
      </c>
      <c r="R38" s="14" t="str">
        <f t="shared" si="7"/>
        <v>No Override</v>
      </c>
      <c r="S38" s="14">
        <f t="shared" si="8"/>
        <v>2</v>
      </c>
      <c r="T38" s="14" t="str">
        <f t="shared" si="9"/>
        <v/>
      </c>
    </row>
    <row r="39" spans="1:20" ht="22.8" x14ac:dyDescent="0.3">
      <c r="A39" s="224">
        <v>4</v>
      </c>
      <c r="C39" s="14">
        <f t="shared" si="2"/>
        <v>4</v>
      </c>
      <c r="D39" s="14" t="s">
        <v>1128</v>
      </c>
      <c r="E39" s="58" t="s">
        <v>296</v>
      </c>
      <c r="F39" s="82" t="s">
        <v>298</v>
      </c>
      <c r="G39" s="170" t="s">
        <v>299</v>
      </c>
      <c r="H39" s="170" t="str">
        <f>'1. Access Controls'!$H33</f>
        <v>Comment is required</v>
      </c>
      <c r="I39" s="14">
        <f>'1. Access Controls'!$G33</f>
        <v>0</v>
      </c>
      <c r="J39" s="14" t="str">
        <f>IF($I39="Yes","Adequate",IF($I39="No","Inadequate",IF($I39="Partial","Inadequate",IF($I39="N/A","Inadequate",IF(OR($I39="",$I39=0),"Blank","Error")))))</f>
        <v>Blank</v>
      </c>
      <c r="K39" s="155" t="s">
        <v>1131</v>
      </c>
      <c r="L39" s="14" t="str">
        <f t="shared" si="1"/>
        <v>Blank</v>
      </c>
      <c r="N39" s="14" t="str">
        <f t="shared" si="3"/>
        <v/>
      </c>
      <c r="O39" s="14" t="str">
        <f t="shared" si="4"/>
        <v/>
      </c>
      <c r="P39" s="14" t="str">
        <f t="shared" si="5"/>
        <v>Comment is required</v>
      </c>
      <c r="Q39" s="14" t="str">
        <f t="shared" si="6"/>
        <v>Blank</v>
      </c>
      <c r="R39" s="14" t="str">
        <f t="shared" si="7"/>
        <v>No Override</v>
      </c>
      <c r="S39" s="14">
        <f t="shared" si="8"/>
        <v>4</v>
      </c>
      <c r="T39" s="14" t="str">
        <f t="shared" si="9"/>
        <v/>
      </c>
    </row>
    <row r="40" spans="1:20" x14ac:dyDescent="0.3">
      <c r="A40" s="224">
        <v>4</v>
      </c>
      <c r="C40" s="14">
        <f t="shared" si="2"/>
        <v>4</v>
      </c>
      <c r="D40" s="14" t="s">
        <v>1128</v>
      </c>
      <c r="E40" s="58" t="s">
        <v>300</v>
      </c>
      <c r="F40" s="82" t="s">
        <v>302</v>
      </c>
      <c r="G40" s="170" t="s">
        <v>303</v>
      </c>
      <c r="H40" s="170" t="str">
        <f>'1. Access Controls'!$H34</f>
        <v>Comment is required</v>
      </c>
      <c r="I40" s="14">
        <f>'1. Access Controls'!$G34</f>
        <v>0</v>
      </c>
      <c r="J40" s="48" t="str">
        <f>IF(AND($I40="Yes",$I41="Yes"),"Adequate",IF(AND($I40="Yes",Scope!$B$17="No",Scope!$B$21="No",Scope!$B$18="No",Scope!$B$19="No"),"Adequate",IF(AND($I40="Yes",NOT($I41="Yes")),"Inadequate",IF($I40="No","N/A",IF($I40="Partial","Inadequate",IF($I40="N/A","N/A",IF(OR($I40="",$I40=0),"Blank","Error")))))))</f>
        <v>Blank</v>
      </c>
      <c r="K40" s="155" t="s">
        <v>1131</v>
      </c>
      <c r="L40" s="14" t="str">
        <f t="shared" si="1"/>
        <v>Blank</v>
      </c>
      <c r="N40" s="14" t="str">
        <f t="shared" si="3"/>
        <v/>
      </c>
      <c r="O40" s="14" t="str">
        <f t="shared" si="4"/>
        <v/>
      </c>
      <c r="P40" s="14" t="str">
        <f t="shared" si="5"/>
        <v>Comment is required</v>
      </c>
      <c r="Q40" s="14" t="str">
        <f t="shared" si="6"/>
        <v>Blank</v>
      </c>
      <c r="R40" s="14" t="str">
        <f t="shared" si="7"/>
        <v>No Override</v>
      </c>
      <c r="S40" s="14">
        <f t="shared" si="8"/>
        <v>4</v>
      </c>
      <c r="T40" s="14" t="str">
        <f t="shared" si="9"/>
        <v/>
      </c>
    </row>
    <row r="41" spans="1:20" x14ac:dyDescent="0.3">
      <c r="A41" s="224">
        <v>4</v>
      </c>
      <c r="C41" s="14">
        <f t="shared" si="2"/>
        <v>4</v>
      </c>
      <c r="D41" s="14" t="s">
        <v>1128</v>
      </c>
      <c r="E41" s="58" t="s">
        <v>304</v>
      </c>
      <c r="F41" s="82" t="s">
        <v>302</v>
      </c>
      <c r="G41" s="170" t="s">
        <v>305</v>
      </c>
      <c r="H41" s="170" t="str">
        <f>'1. Access Controls'!$H35</f>
        <v>Comment is required</v>
      </c>
      <c r="I41" s="14">
        <f>'1. Access Controls'!$G35</f>
        <v>0</v>
      </c>
      <c r="J41" s="60" t="str">
        <f>IF(OR($I40="N/A",$I40="No"),"N/A",IF($I41="Yes","Adequate",IF($I41="No","Inadequate",IF($I41="Partial","Inadequate",IF(AND($I41="N/A",NOT($I40="No"),NOT($I40="N/A")),"Inadequate",IF(OR($I41="",$I41=0),"Blank","Error"))))))</f>
        <v>Blank</v>
      </c>
      <c r="K41" s="155" t="s">
        <v>1131</v>
      </c>
      <c r="L41" s="14" t="str">
        <f t="shared" si="1"/>
        <v>Blank</v>
      </c>
      <c r="N41" s="14" t="str">
        <f t="shared" si="3"/>
        <v/>
      </c>
      <c r="O41" s="14" t="str">
        <f t="shared" si="4"/>
        <v/>
      </c>
      <c r="P41" s="14" t="str">
        <f t="shared" si="5"/>
        <v>Comment is required</v>
      </c>
      <c r="Q41" s="14" t="str">
        <f t="shared" si="6"/>
        <v>Blank</v>
      </c>
      <c r="R41" s="14" t="str">
        <f t="shared" si="7"/>
        <v>No Override</v>
      </c>
      <c r="S41" s="14">
        <f t="shared" si="8"/>
        <v>4</v>
      </c>
      <c r="T41" s="14" t="str">
        <f t="shared" si="9"/>
        <v/>
      </c>
    </row>
    <row r="42" spans="1:20" ht="22.8" x14ac:dyDescent="0.3">
      <c r="A42" s="224">
        <v>2</v>
      </c>
      <c r="C42" s="14">
        <f t="shared" si="2"/>
        <v>2</v>
      </c>
      <c r="D42" t="s">
        <v>306</v>
      </c>
      <c r="E42" s="58" t="s">
        <v>307</v>
      </c>
      <c r="F42" s="82" t="s">
        <v>310</v>
      </c>
      <c r="G42" s="170" t="s">
        <v>311</v>
      </c>
      <c r="H42" s="170" t="str">
        <f>'2. Awareness and Training'!$H3</f>
        <v>Comment is required</v>
      </c>
      <c r="I42">
        <f>'2. Awareness and Training'!$G3</f>
        <v>0</v>
      </c>
      <c r="J42" s="14" t="str">
        <f>IF($I42="Yes","Adequate",IF($I42="No","Inadequate",IF($I42="Partial","Inadequate",IF($I42="N/A","Inadequate",IF(OR($I42="",$I42=0),"Blank","Error")))))</f>
        <v>Blank</v>
      </c>
      <c r="K42" s="155" t="s">
        <v>1131</v>
      </c>
      <c r="L42" s="14" t="str">
        <f t="shared" si="1"/>
        <v>Blank</v>
      </c>
      <c r="N42" s="14" t="str">
        <f t="shared" si="3"/>
        <v/>
      </c>
      <c r="O42" s="14" t="str">
        <f t="shared" si="4"/>
        <v/>
      </c>
      <c r="P42" s="14" t="str">
        <f t="shared" si="5"/>
        <v>Comment is required</v>
      </c>
      <c r="Q42" s="14" t="str">
        <f t="shared" si="6"/>
        <v>Blank</v>
      </c>
      <c r="R42" s="14" t="str">
        <f t="shared" si="7"/>
        <v>No Override</v>
      </c>
      <c r="S42" s="14">
        <f t="shared" si="8"/>
        <v>2</v>
      </c>
      <c r="T42" s="14" t="str">
        <f t="shared" si="9"/>
        <v/>
      </c>
    </row>
    <row r="43" spans="1:20" x14ac:dyDescent="0.3">
      <c r="A43" s="224">
        <v>2</v>
      </c>
      <c r="C43" s="14">
        <f t="shared" si="2"/>
        <v>2</v>
      </c>
      <c r="D43" s="14" t="s">
        <v>306</v>
      </c>
      <c r="E43" s="58" t="s">
        <v>312</v>
      </c>
      <c r="F43" s="84" t="s">
        <v>315</v>
      </c>
      <c r="G43" s="170" t="s">
        <v>316</v>
      </c>
      <c r="H43" s="170" t="str">
        <f>'2. Awareness and Training'!$H4</f>
        <v>Comment is required</v>
      </c>
      <c r="I43" s="14">
        <f>'2. Awareness and Training'!$G4</f>
        <v>0</v>
      </c>
      <c r="J43" s="14" t="str">
        <f>IF($I43="Yes","Adequate",IF($I43="No","Inadequate",IF($I43="Partial","Inadequate",IF($I43="N/A","Inadequate",IF(OR($I43="",$I43=0),"Blank","Error")))))</f>
        <v>Blank</v>
      </c>
      <c r="K43" s="155" t="s">
        <v>1131</v>
      </c>
      <c r="L43" s="14" t="str">
        <f t="shared" si="1"/>
        <v>Blank</v>
      </c>
      <c r="N43" s="14" t="str">
        <f t="shared" si="3"/>
        <v/>
      </c>
      <c r="O43" s="14" t="str">
        <f t="shared" si="4"/>
        <v/>
      </c>
      <c r="P43" s="14" t="str">
        <f t="shared" si="5"/>
        <v>Comment is required</v>
      </c>
      <c r="Q43" s="14" t="str">
        <f t="shared" si="6"/>
        <v>Blank</v>
      </c>
      <c r="R43" s="14" t="str">
        <f t="shared" si="7"/>
        <v>No Override</v>
      </c>
      <c r="S43" s="14">
        <f t="shared" si="8"/>
        <v>2</v>
      </c>
      <c r="T43" s="14" t="str">
        <f t="shared" si="9"/>
        <v/>
      </c>
    </row>
    <row r="44" spans="1:20" x14ac:dyDescent="0.3">
      <c r="A44" s="224">
        <v>2</v>
      </c>
      <c r="C44" s="14">
        <f t="shared" si="2"/>
        <v>2</v>
      </c>
      <c r="D44" s="14" t="s">
        <v>306</v>
      </c>
      <c r="E44" s="58" t="s">
        <v>317</v>
      </c>
      <c r="F44" s="84" t="s">
        <v>315</v>
      </c>
      <c r="G44" s="170" t="s">
        <v>318</v>
      </c>
      <c r="H44" s="170" t="str">
        <f>'2. Awareness and Training'!$H5</f>
        <v>Comment is required</v>
      </c>
      <c r="I44" s="14">
        <f>'2. Awareness and Training'!$G5</f>
        <v>0</v>
      </c>
      <c r="J44" s="14" t="str">
        <f>IF($I44="Yes","Adequate",IF($I44="No","Inadequate",IF($I44="Partial","Inadequate",IF($I44="N/A","Inadequate",IF(OR($I44="",$I44=0),"Blank","Error")))))</f>
        <v>Blank</v>
      </c>
      <c r="K44" s="155" t="s">
        <v>1131</v>
      </c>
      <c r="L44" s="14" t="str">
        <f t="shared" si="1"/>
        <v>Blank</v>
      </c>
      <c r="N44" s="14" t="str">
        <f t="shared" si="3"/>
        <v/>
      </c>
      <c r="O44" s="14" t="str">
        <f t="shared" si="4"/>
        <v/>
      </c>
      <c r="P44" s="14" t="str">
        <f t="shared" si="5"/>
        <v>Comment is required</v>
      </c>
      <c r="Q44" s="14" t="str">
        <f t="shared" si="6"/>
        <v>Blank</v>
      </c>
      <c r="R44" s="14" t="str">
        <f t="shared" si="7"/>
        <v>No Override</v>
      </c>
      <c r="S44" s="14">
        <f t="shared" si="8"/>
        <v>2</v>
      </c>
      <c r="T44" s="14" t="str">
        <f t="shared" si="9"/>
        <v/>
      </c>
    </row>
    <row r="45" spans="1:20" ht="22.8" x14ac:dyDescent="0.3">
      <c r="A45" s="224">
        <v>2</v>
      </c>
      <c r="C45" s="14">
        <f t="shared" si="2"/>
        <v>2</v>
      </c>
      <c r="D45" s="14" t="s">
        <v>306</v>
      </c>
      <c r="E45" s="58" t="s">
        <v>319</v>
      </c>
      <c r="F45" s="84" t="s">
        <v>321</v>
      </c>
      <c r="G45" s="171" t="s">
        <v>322</v>
      </c>
      <c r="H45" s="170" t="str">
        <f>'2. Awareness and Training'!$H6</f>
        <v>Comment is required</v>
      </c>
      <c r="I45" s="14">
        <f>'2. Awareness and Training'!$G6</f>
        <v>0</v>
      </c>
      <c r="J45" s="14" t="str">
        <f t="shared" ref="J45:J54" si="11">IF($I45="Yes","Adequate",IF($I45="No","Inadequate",IF($I45="Partial","Inadequate",IF($I45="N/A","Inadequate",IF(OR($I45="",$I45=0),"Blank","Error")))))</f>
        <v>Blank</v>
      </c>
      <c r="K45" s="155" t="s">
        <v>1131</v>
      </c>
      <c r="L45" s="14" t="str">
        <f t="shared" si="1"/>
        <v>Blank</v>
      </c>
      <c r="N45" s="14" t="str">
        <f t="shared" si="3"/>
        <v/>
      </c>
      <c r="O45" s="14" t="str">
        <f t="shared" si="4"/>
        <v/>
      </c>
      <c r="P45" s="14" t="str">
        <f t="shared" si="5"/>
        <v>Comment is required</v>
      </c>
      <c r="Q45" s="14" t="str">
        <f t="shared" si="6"/>
        <v>Blank</v>
      </c>
      <c r="R45" s="14" t="str">
        <f t="shared" si="7"/>
        <v>No Override</v>
      </c>
      <c r="S45" s="14">
        <f t="shared" si="8"/>
        <v>2</v>
      </c>
      <c r="T45" s="14" t="str">
        <f t="shared" si="9"/>
        <v/>
      </c>
    </row>
    <row r="46" spans="1:20" x14ac:dyDescent="0.3">
      <c r="A46" s="224">
        <v>2</v>
      </c>
      <c r="C46" s="14">
        <f t="shared" si="2"/>
        <v>2</v>
      </c>
      <c r="D46" s="14" t="s">
        <v>306</v>
      </c>
      <c r="E46" s="58" t="s">
        <v>323</v>
      </c>
      <c r="F46" s="84" t="s">
        <v>325</v>
      </c>
      <c r="G46" s="171" t="s">
        <v>326</v>
      </c>
      <c r="H46" s="170" t="str">
        <f>'2. Awareness and Training'!$H7</f>
        <v>Comment is required</v>
      </c>
      <c r="I46" s="14">
        <f>'2. Awareness and Training'!$G7</f>
        <v>0</v>
      </c>
      <c r="J46" s="14" t="str">
        <f t="shared" si="11"/>
        <v>Blank</v>
      </c>
      <c r="K46" s="155" t="s">
        <v>1131</v>
      </c>
      <c r="L46" s="14" t="str">
        <f t="shared" si="1"/>
        <v>Blank</v>
      </c>
      <c r="N46" s="14" t="str">
        <f t="shared" si="3"/>
        <v/>
      </c>
      <c r="O46" s="14" t="str">
        <f t="shared" si="4"/>
        <v/>
      </c>
      <c r="P46" s="14" t="str">
        <f t="shared" si="5"/>
        <v>Comment is required</v>
      </c>
      <c r="Q46" s="14" t="str">
        <f t="shared" si="6"/>
        <v>Blank</v>
      </c>
      <c r="R46" s="14" t="str">
        <f t="shared" si="7"/>
        <v>No Override</v>
      </c>
      <c r="S46" s="14">
        <f t="shared" si="8"/>
        <v>2</v>
      </c>
      <c r="T46" s="14" t="str">
        <f t="shared" si="9"/>
        <v/>
      </c>
    </row>
    <row r="47" spans="1:20" x14ac:dyDescent="0.3">
      <c r="A47" s="225">
        <v>1</v>
      </c>
      <c r="C47" s="14">
        <f t="shared" si="2"/>
        <v>1</v>
      </c>
      <c r="D47" t="s">
        <v>327</v>
      </c>
      <c r="E47" s="58" t="s">
        <v>328</v>
      </c>
      <c r="F47" s="84" t="s">
        <v>331</v>
      </c>
      <c r="G47" s="171" t="s">
        <v>332</v>
      </c>
      <c r="H47" s="170" t="str">
        <f>'3. Audit and Accountability'!$H3</f>
        <v>Comment is required</v>
      </c>
      <c r="I47">
        <f>'3. Audit and Accountability'!$G3</f>
        <v>0</v>
      </c>
      <c r="J47" s="14" t="str">
        <f t="shared" si="11"/>
        <v>Blank</v>
      </c>
      <c r="K47" s="155" t="s">
        <v>1131</v>
      </c>
      <c r="L47" s="14" t="str">
        <f t="shared" si="1"/>
        <v>Blank</v>
      </c>
      <c r="N47" s="14" t="str">
        <f t="shared" si="3"/>
        <v/>
      </c>
      <c r="O47" s="14" t="str">
        <f t="shared" si="4"/>
        <v/>
      </c>
      <c r="P47" s="14" t="str">
        <f t="shared" si="5"/>
        <v>Comment is required</v>
      </c>
      <c r="Q47" s="14" t="str">
        <f t="shared" si="6"/>
        <v>Blank</v>
      </c>
      <c r="R47" s="14" t="str">
        <f t="shared" si="7"/>
        <v>No Override</v>
      </c>
      <c r="S47" s="14">
        <f t="shared" si="8"/>
        <v>1</v>
      </c>
      <c r="T47" s="14" t="str">
        <f t="shared" si="9"/>
        <v/>
      </c>
    </row>
    <row r="48" spans="1:20" ht="22.8" x14ac:dyDescent="0.3">
      <c r="A48" s="224">
        <v>2</v>
      </c>
      <c r="C48" s="14">
        <f t="shared" si="2"/>
        <v>2</v>
      </c>
      <c r="D48" s="14" t="s">
        <v>327</v>
      </c>
      <c r="E48" s="58" t="s">
        <v>333</v>
      </c>
      <c r="F48" s="84" t="s">
        <v>336</v>
      </c>
      <c r="G48" s="172" t="s">
        <v>337</v>
      </c>
      <c r="H48" s="170" t="str">
        <f>'3. Audit and Accountability'!$H4</f>
        <v>Comment is required</v>
      </c>
      <c r="I48" s="14">
        <f>'3. Audit and Accountability'!$G4</f>
        <v>0</v>
      </c>
      <c r="J48" s="14" t="str">
        <f t="shared" si="11"/>
        <v>Blank</v>
      </c>
      <c r="K48" s="155" t="s">
        <v>1131</v>
      </c>
      <c r="L48" s="14" t="str">
        <f t="shared" si="1"/>
        <v>Blank</v>
      </c>
      <c r="N48" s="14" t="str">
        <f t="shared" si="3"/>
        <v/>
      </c>
      <c r="O48" s="14" t="str">
        <f t="shared" si="4"/>
        <v/>
      </c>
      <c r="P48" s="14" t="str">
        <f t="shared" si="5"/>
        <v>Comment is required</v>
      </c>
      <c r="Q48" s="14" t="str">
        <f t="shared" si="6"/>
        <v>Blank</v>
      </c>
      <c r="R48" s="14" t="str">
        <f t="shared" si="7"/>
        <v>No Override</v>
      </c>
      <c r="S48" s="14">
        <f t="shared" si="8"/>
        <v>2</v>
      </c>
      <c r="T48" s="14" t="str">
        <f t="shared" si="9"/>
        <v/>
      </c>
    </row>
    <row r="49" spans="1:20" x14ac:dyDescent="0.3">
      <c r="A49" s="224">
        <v>2</v>
      </c>
      <c r="C49" s="14">
        <f t="shared" si="2"/>
        <v>2</v>
      </c>
      <c r="D49" s="14" t="s">
        <v>327</v>
      </c>
      <c r="E49" s="58" t="s">
        <v>338</v>
      </c>
      <c r="F49" s="84" t="s">
        <v>336</v>
      </c>
      <c r="G49" s="172" t="s">
        <v>339</v>
      </c>
      <c r="H49" s="170" t="str">
        <f>'3. Audit and Accountability'!$H5</f>
        <v>Comment is required</v>
      </c>
      <c r="I49" s="14">
        <f>'3. Audit and Accountability'!$G5</f>
        <v>0</v>
      </c>
      <c r="J49" s="14" t="str">
        <f t="shared" si="11"/>
        <v>Blank</v>
      </c>
      <c r="K49" s="155" t="s">
        <v>1131</v>
      </c>
      <c r="L49" s="14" t="str">
        <f t="shared" si="1"/>
        <v>Blank</v>
      </c>
      <c r="N49" s="14" t="str">
        <f t="shared" si="3"/>
        <v/>
      </c>
      <c r="O49" s="14" t="str">
        <f t="shared" si="4"/>
        <v/>
      </c>
      <c r="P49" s="14" t="str">
        <f t="shared" si="5"/>
        <v>Comment is required</v>
      </c>
      <c r="Q49" s="14" t="str">
        <f t="shared" si="6"/>
        <v>Blank</v>
      </c>
      <c r="R49" s="14" t="str">
        <f t="shared" si="7"/>
        <v>No Override</v>
      </c>
      <c r="S49" s="14">
        <f t="shared" si="8"/>
        <v>2</v>
      </c>
      <c r="T49" s="14" t="str">
        <f t="shared" si="9"/>
        <v/>
      </c>
    </row>
    <row r="50" spans="1:20" ht="34.200000000000003" x14ac:dyDescent="0.3">
      <c r="A50" s="224">
        <v>2</v>
      </c>
      <c r="C50" s="14">
        <f t="shared" si="2"/>
        <v>2</v>
      </c>
      <c r="D50" s="14" t="s">
        <v>327</v>
      </c>
      <c r="E50" s="58" t="s">
        <v>340</v>
      </c>
      <c r="F50" s="84" t="s">
        <v>342</v>
      </c>
      <c r="G50" s="172" t="s">
        <v>343</v>
      </c>
      <c r="H50" s="170" t="str">
        <f>'3. Audit and Accountability'!$H6</f>
        <v>Comment is required</v>
      </c>
      <c r="I50" s="14">
        <f>'3. Audit and Accountability'!$G6</f>
        <v>0</v>
      </c>
      <c r="J50" s="14" t="str">
        <f t="shared" si="11"/>
        <v>Blank</v>
      </c>
      <c r="K50" s="155" t="s">
        <v>1131</v>
      </c>
      <c r="L50" s="14" t="str">
        <f t="shared" si="1"/>
        <v>Blank</v>
      </c>
      <c r="N50" s="14" t="str">
        <f t="shared" si="3"/>
        <v/>
      </c>
      <c r="O50" s="14" t="str">
        <f t="shared" si="4"/>
        <v/>
      </c>
      <c r="P50" s="14" t="str">
        <f t="shared" si="5"/>
        <v>Comment is required</v>
      </c>
      <c r="Q50" s="14" t="str">
        <f t="shared" si="6"/>
        <v>Blank</v>
      </c>
      <c r="R50" s="14" t="str">
        <f t="shared" si="7"/>
        <v>No Override</v>
      </c>
      <c r="S50" s="14">
        <f t="shared" si="8"/>
        <v>2</v>
      </c>
      <c r="T50" s="14" t="str">
        <f t="shared" si="9"/>
        <v/>
      </c>
    </row>
    <row r="51" spans="1:20" x14ac:dyDescent="0.3">
      <c r="A51" s="224">
        <v>3</v>
      </c>
      <c r="C51" s="14">
        <f t="shared" si="2"/>
        <v>3</v>
      </c>
      <c r="D51" s="14" t="s">
        <v>327</v>
      </c>
      <c r="E51" s="58" t="s">
        <v>344</v>
      </c>
      <c r="F51" s="84" t="s">
        <v>346</v>
      </c>
      <c r="G51" s="172" t="s">
        <v>347</v>
      </c>
      <c r="H51" s="170" t="str">
        <f>'3. Audit and Accountability'!$H7</f>
        <v>Comment is required</v>
      </c>
      <c r="I51" s="14">
        <f>'3. Audit and Accountability'!$G7</f>
        <v>0</v>
      </c>
      <c r="J51" s="14" t="str">
        <f t="shared" si="11"/>
        <v>Blank</v>
      </c>
      <c r="K51" s="155" t="s">
        <v>1131</v>
      </c>
      <c r="L51" s="14" t="str">
        <f t="shared" si="1"/>
        <v>Blank</v>
      </c>
      <c r="N51" s="14" t="str">
        <f t="shared" si="3"/>
        <v/>
      </c>
      <c r="O51" s="14" t="str">
        <f t="shared" si="4"/>
        <v/>
      </c>
      <c r="P51" s="14" t="str">
        <f t="shared" si="5"/>
        <v>Comment is required</v>
      </c>
      <c r="Q51" s="14" t="str">
        <f t="shared" si="6"/>
        <v>Blank</v>
      </c>
      <c r="R51" s="14" t="str">
        <f t="shared" si="7"/>
        <v>No Override</v>
      </c>
      <c r="S51" s="14">
        <f t="shared" si="8"/>
        <v>3</v>
      </c>
      <c r="T51" s="14" t="str">
        <f t="shared" si="9"/>
        <v/>
      </c>
    </row>
    <row r="52" spans="1:20" x14ac:dyDescent="0.3">
      <c r="A52" s="224">
        <v>3</v>
      </c>
      <c r="C52" s="14">
        <f t="shared" si="2"/>
        <v>3</v>
      </c>
      <c r="D52" s="14" t="s">
        <v>327</v>
      </c>
      <c r="E52" s="58" t="s">
        <v>348</v>
      </c>
      <c r="F52" s="84" t="s">
        <v>350</v>
      </c>
      <c r="G52" s="172" t="s">
        <v>351</v>
      </c>
      <c r="H52" s="170" t="str">
        <f>'3. Audit and Accountability'!$H8</f>
        <v>Comment is required</v>
      </c>
      <c r="I52" s="14">
        <f>'3. Audit and Accountability'!$G8</f>
        <v>0</v>
      </c>
      <c r="J52" s="14" t="str">
        <f t="shared" si="11"/>
        <v>Blank</v>
      </c>
      <c r="K52" s="155" t="s">
        <v>1131</v>
      </c>
      <c r="L52" s="14" t="str">
        <f t="shared" si="1"/>
        <v>Blank</v>
      </c>
      <c r="N52" s="14" t="str">
        <f t="shared" si="3"/>
        <v/>
      </c>
      <c r="O52" s="14" t="str">
        <f t="shared" si="4"/>
        <v/>
      </c>
      <c r="P52" s="14" t="str">
        <f t="shared" si="5"/>
        <v>Comment is required</v>
      </c>
      <c r="Q52" s="14" t="str">
        <f t="shared" si="6"/>
        <v>Blank</v>
      </c>
      <c r="R52" s="14" t="str">
        <f t="shared" si="7"/>
        <v>No Override</v>
      </c>
      <c r="S52" s="14">
        <f t="shared" si="8"/>
        <v>3</v>
      </c>
      <c r="T52" s="14" t="str">
        <f t="shared" si="9"/>
        <v/>
      </c>
    </row>
    <row r="53" spans="1:20" ht="22.8" x14ac:dyDescent="0.3">
      <c r="A53" s="224">
        <v>2</v>
      </c>
      <c r="C53" s="14">
        <f t="shared" si="2"/>
        <v>2</v>
      </c>
      <c r="D53" s="14" t="s">
        <v>327</v>
      </c>
      <c r="E53" s="58" t="s">
        <v>352</v>
      </c>
      <c r="F53" s="84" t="s">
        <v>355</v>
      </c>
      <c r="G53" s="172" t="s">
        <v>356</v>
      </c>
      <c r="H53" s="170" t="str">
        <f>'3. Audit and Accountability'!$H9</f>
        <v>Comment is required</v>
      </c>
      <c r="I53" s="14">
        <f>'3. Audit and Accountability'!$G9</f>
        <v>0</v>
      </c>
      <c r="J53" s="14" t="str">
        <f t="shared" si="11"/>
        <v>Blank</v>
      </c>
      <c r="K53" s="155" t="s">
        <v>1131</v>
      </c>
      <c r="L53" s="14" t="str">
        <f t="shared" si="1"/>
        <v>Blank</v>
      </c>
      <c r="N53" s="14" t="str">
        <f t="shared" si="3"/>
        <v/>
      </c>
      <c r="O53" s="14" t="str">
        <f t="shared" si="4"/>
        <v/>
      </c>
      <c r="P53" s="14" t="str">
        <f t="shared" si="5"/>
        <v>Comment is required</v>
      </c>
      <c r="Q53" s="14" t="str">
        <f t="shared" si="6"/>
        <v>Blank</v>
      </c>
      <c r="R53" s="14" t="str">
        <f t="shared" si="7"/>
        <v>No Override</v>
      </c>
      <c r="S53" s="14">
        <f t="shared" si="8"/>
        <v>2</v>
      </c>
      <c r="T53" s="14" t="str">
        <f t="shared" si="9"/>
        <v/>
      </c>
    </row>
    <row r="54" spans="1:20" x14ac:dyDescent="0.3">
      <c r="A54" s="224">
        <v>3</v>
      </c>
      <c r="C54" s="14">
        <f t="shared" si="2"/>
        <v>3</v>
      </c>
      <c r="D54" s="14" t="s">
        <v>327</v>
      </c>
      <c r="E54" s="58" t="s">
        <v>357</v>
      </c>
      <c r="F54" s="84" t="s">
        <v>360</v>
      </c>
      <c r="G54" s="172" t="s">
        <v>361</v>
      </c>
      <c r="H54" s="170" t="str">
        <f>'3. Audit and Accountability'!$H10</f>
        <v>Comment is required</v>
      </c>
      <c r="I54" s="14">
        <f>'3. Audit and Accountability'!$G10</f>
        <v>0</v>
      </c>
      <c r="J54" s="14" t="str">
        <f t="shared" si="11"/>
        <v>Blank</v>
      </c>
      <c r="K54" s="155" t="s">
        <v>1131</v>
      </c>
      <c r="L54" s="14" t="str">
        <f t="shared" si="1"/>
        <v>Blank</v>
      </c>
      <c r="N54" s="14" t="str">
        <f t="shared" si="3"/>
        <v/>
      </c>
      <c r="O54" s="14" t="str">
        <f t="shared" si="4"/>
        <v/>
      </c>
      <c r="P54" s="14" t="str">
        <f t="shared" si="5"/>
        <v>Comment is required</v>
      </c>
      <c r="Q54" s="14" t="str">
        <f t="shared" si="6"/>
        <v>Blank</v>
      </c>
      <c r="R54" s="14" t="str">
        <f t="shared" si="7"/>
        <v>No Override</v>
      </c>
      <c r="S54" s="14">
        <f t="shared" si="8"/>
        <v>3</v>
      </c>
      <c r="T54" s="14" t="str">
        <f t="shared" si="9"/>
        <v/>
      </c>
    </row>
    <row r="55" spans="1:20" x14ac:dyDescent="0.3">
      <c r="A55" s="224">
        <v>4</v>
      </c>
      <c r="C55" s="14">
        <f t="shared" si="2"/>
        <v>4</v>
      </c>
      <c r="D55" s="14" t="s">
        <v>327</v>
      </c>
      <c r="E55" s="58" t="s">
        <v>362</v>
      </c>
      <c r="F55" s="84" t="s">
        <v>360</v>
      </c>
      <c r="G55" s="173" t="s">
        <v>363</v>
      </c>
      <c r="H55" s="170" t="str">
        <f>'3. Audit and Accountability'!$H11</f>
        <v>Comment is required</v>
      </c>
      <c r="I55" s="14">
        <f>'3. Audit and Accountability'!$G11</f>
        <v>0</v>
      </c>
      <c r="J55" s="14" t="str">
        <f>IF($I55="Yes","Inadequate",IF($I55="No","Adequate",IF($I55="Partial","Inadequate",IF($I55="N/A","Inadequate",IF(OR($I55="",$I55=0),"Blank","Error")))))</f>
        <v>Blank</v>
      </c>
      <c r="K55" s="155" t="s">
        <v>1131</v>
      </c>
      <c r="L55" s="14" t="str">
        <f t="shared" si="1"/>
        <v>Blank</v>
      </c>
      <c r="N55" s="14" t="str">
        <f t="shared" si="3"/>
        <v/>
      </c>
      <c r="O55" s="14" t="str">
        <f t="shared" si="4"/>
        <v/>
      </c>
      <c r="P55" s="14" t="str">
        <f t="shared" si="5"/>
        <v>Comment is required</v>
      </c>
      <c r="Q55" s="14" t="str">
        <f t="shared" si="6"/>
        <v>Blank</v>
      </c>
      <c r="R55" s="14" t="str">
        <f t="shared" si="7"/>
        <v>No Override</v>
      </c>
      <c r="S55" s="14">
        <f t="shared" si="8"/>
        <v>4</v>
      </c>
      <c r="T55" s="14" t="str">
        <f t="shared" si="9"/>
        <v/>
      </c>
    </row>
    <row r="56" spans="1:20" x14ac:dyDescent="0.3">
      <c r="A56" s="224">
        <v>2</v>
      </c>
      <c r="C56" s="14">
        <f t="shared" si="2"/>
        <v>2</v>
      </c>
      <c r="D56" s="14" t="s">
        <v>327</v>
      </c>
      <c r="E56" s="58" t="s">
        <v>364</v>
      </c>
      <c r="F56" s="84" t="s">
        <v>366</v>
      </c>
      <c r="G56" s="172" t="s">
        <v>367</v>
      </c>
      <c r="H56" s="170" t="str">
        <f>'3. Audit and Accountability'!$H12</f>
        <v>Comment is required</v>
      </c>
      <c r="I56" s="14">
        <f>'3. Audit and Accountability'!$G12</f>
        <v>0</v>
      </c>
      <c r="J56" s="14" t="str">
        <f t="shared" ref="J56:J63" si="12">IF($I56="Yes","Adequate",IF($I56="No","Inadequate",IF($I56="Partial","Inadequate",IF($I56="N/A","Inadequate",IF(OR($I56="",$I56=0),"Blank","Error")))))</f>
        <v>Blank</v>
      </c>
      <c r="K56" s="155" t="s">
        <v>1131</v>
      </c>
      <c r="L56" s="14" t="str">
        <f t="shared" si="1"/>
        <v>Blank</v>
      </c>
      <c r="N56" s="14" t="str">
        <f t="shared" si="3"/>
        <v/>
      </c>
      <c r="O56" s="14" t="str">
        <f t="shared" si="4"/>
        <v/>
      </c>
      <c r="P56" s="14" t="str">
        <f t="shared" si="5"/>
        <v>Comment is required</v>
      </c>
      <c r="Q56" s="14" t="str">
        <f t="shared" si="6"/>
        <v>Blank</v>
      </c>
      <c r="R56" s="14" t="str">
        <f t="shared" si="7"/>
        <v>No Override</v>
      </c>
      <c r="S56" s="14">
        <f t="shared" si="8"/>
        <v>2</v>
      </c>
      <c r="T56" s="14" t="str">
        <f t="shared" si="9"/>
        <v/>
      </c>
    </row>
    <row r="57" spans="1:20" x14ac:dyDescent="0.3">
      <c r="A57" s="224">
        <v>2</v>
      </c>
      <c r="C57" s="14">
        <f t="shared" si="2"/>
        <v>2</v>
      </c>
      <c r="D57" s="14" t="s">
        <v>327</v>
      </c>
      <c r="E57" s="58" t="s">
        <v>368</v>
      </c>
      <c r="F57" s="84" t="s">
        <v>370</v>
      </c>
      <c r="G57" s="174" t="s">
        <v>371</v>
      </c>
      <c r="H57" s="170" t="str">
        <f>'3. Audit and Accountability'!$H13</f>
        <v>Comment is required</v>
      </c>
      <c r="I57" s="14">
        <f>'3. Audit and Accountability'!$G13</f>
        <v>0</v>
      </c>
      <c r="J57" s="14" t="str">
        <f t="shared" si="12"/>
        <v>Blank</v>
      </c>
      <c r="K57" s="155" t="s">
        <v>1131</v>
      </c>
      <c r="L57" s="14" t="str">
        <f t="shared" si="1"/>
        <v>Blank</v>
      </c>
      <c r="N57" s="14" t="str">
        <f t="shared" si="3"/>
        <v/>
      </c>
      <c r="O57" s="14" t="str">
        <f t="shared" si="4"/>
        <v/>
      </c>
      <c r="P57" s="14" t="str">
        <f t="shared" si="5"/>
        <v>Comment is required</v>
      </c>
      <c r="Q57" s="14" t="str">
        <f t="shared" si="6"/>
        <v>Blank</v>
      </c>
      <c r="R57" s="14" t="str">
        <f t="shared" si="7"/>
        <v>No Override</v>
      </c>
      <c r="S57" s="14">
        <f t="shared" si="8"/>
        <v>2</v>
      </c>
      <c r="T57" s="14" t="str">
        <f t="shared" si="9"/>
        <v/>
      </c>
    </row>
    <row r="58" spans="1:20" x14ac:dyDescent="0.3">
      <c r="A58" s="224">
        <v>3</v>
      </c>
      <c r="C58" s="14">
        <f t="shared" si="2"/>
        <v>3</v>
      </c>
      <c r="D58" s="14" t="s">
        <v>327</v>
      </c>
      <c r="E58" s="58" t="s">
        <v>372</v>
      </c>
      <c r="F58" s="84" t="s">
        <v>374</v>
      </c>
      <c r="G58" s="172" t="s">
        <v>375</v>
      </c>
      <c r="H58" s="170" t="str">
        <f>'3. Audit and Accountability'!$H14</f>
        <v>Comment is required</v>
      </c>
      <c r="I58" s="14">
        <f>'3. Audit and Accountability'!$G14</f>
        <v>0</v>
      </c>
      <c r="J58" s="14" t="str">
        <f t="shared" si="12"/>
        <v>Blank</v>
      </c>
      <c r="K58" s="155" t="s">
        <v>1131</v>
      </c>
      <c r="L58" s="14" t="str">
        <f t="shared" si="1"/>
        <v>Blank</v>
      </c>
      <c r="N58" s="14" t="str">
        <f t="shared" si="3"/>
        <v/>
      </c>
      <c r="O58" s="14" t="str">
        <f t="shared" si="4"/>
        <v/>
      </c>
      <c r="P58" s="14" t="str">
        <f t="shared" si="5"/>
        <v>Comment is required</v>
      </c>
      <c r="Q58" s="14" t="str">
        <f t="shared" si="6"/>
        <v>Blank</v>
      </c>
      <c r="R58" s="14" t="str">
        <f t="shared" si="7"/>
        <v>No Override</v>
      </c>
      <c r="S58" s="14">
        <f t="shared" si="8"/>
        <v>3</v>
      </c>
      <c r="T58" s="14" t="str">
        <f t="shared" si="9"/>
        <v/>
      </c>
    </row>
    <row r="59" spans="1:20" x14ac:dyDescent="0.3">
      <c r="A59" s="224">
        <v>3</v>
      </c>
      <c r="C59" s="14">
        <f t="shared" si="2"/>
        <v>3</v>
      </c>
      <c r="D59" s="14" t="s">
        <v>327</v>
      </c>
      <c r="E59" s="58" t="s">
        <v>376</v>
      </c>
      <c r="F59" s="84" t="s">
        <v>378</v>
      </c>
      <c r="G59" s="172" t="s">
        <v>379</v>
      </c>
      <c r="H59" s="170" t="str">
        <f>'3. Audit and Accountability'!$H15</f>
        <v>Comment is required</v>
      </c>
      <c r="I59" s="14">
        <f>'3. Audit and Accountability'!$G15</f>
        <v>0</v>
      </c>
      <c r="J59" s="14" t="str">
        <f t="shared" si="12"/>
        <v>Blank</v>
      </c>
      <c r="K59" s="155" t="s">
        <v>1131</v>
      </c>
      <c r="L59" s="14" t="str">
        <f t="shared" si="1"/>
        <v>Blank</v>
      </c>
      <c r="N59" s="14" t="str">
        <f t="shared" si="3"/>
        <v/>
      </c>
      <c r="O59" s="14" t="str">
        <f t="shared" si="4"/>
        <v/>
      </c>
      <c r="P59" s="14" t="str">
        <f t="shared" si="5"/>
        <v>Comment is required</v>
      </c>
      <c r="Q59" s="14" t="str">
        <f t="shared" si="6"/>
        <v>Blank</v>
      </c>
      <c r="R59" s="14" t="str">
        <f t="shared" si="7"/>
        <v>No Override</v>
      </c>
      <c r="S59" s="14">
        <f t="shared" si="8"/>
        <v>3</v>
      </c>
      <c r="T59" s="14" t="str">
        <f t="shared" si="9"/>
        <v/>
      </c>
    </row>
    <row r="60" spans="1:20" ht="24" x14ac:dyDescent="0.3">
      <c r="A60" s="224">
        <v>4</v>
      </c>
      <c r="C60" s="14">
        <f t="shared" si="2"/>
        <v>4</v>
      </c>
      <c r="D60" t="s">
        <v>1134</v>
      </c>
      <c r="E60" s="58" t="s">
        <v>381</v>
      </c>
      <c r="F60" s="82" t="s">
        <v>384</v>
      </c>
      <c r="G60" s="175" t="s">
        <v>385</v>
      </c>
      <c r="H60" s="175" t="str">
        <f>'4. Security Assessment'!$H3</f>
        <v>Comment is required</v>
      </c>
      <c r="I60">
        <f>'4. Security Assessment'!$G3</f>
        <v>0</v>
      </c>
      <c r="J60" s="14" t="str">
        <f t="shared" si="12"/>
        <v>Blank</v>
      </c>
      <c r="K60" s="155" t="s">
        <v>1131</v>
      </c>
      <c r="L60" s="14" t="str">
        <f t="shared" si="1"/>
        <v>Blank</v>
      </c>
      <c r="N60" s="14" t="str">
        <f t="shared" si="3"/>
        <v/>
      </c>
      <c r="O60" s="14" t="str">
        <f t="shared" si="4"/>
        <v/>
      </c>
      <c r="P60" s="14" t="str">
        <f t="shared" si="5"/>
        <v>Comment is required</v>
      </c>
      <c r="Q60" s="14" t="str">
        <f t="shared" si="6"/>
        <v>Blank</v>
      </c>
      <c r="R60" s="14" t="str">
        <f t="shared" si="7"/>
        <v>No Override</v>
      </c>
      <c r="S60" s="14">
        <f t="shared" si="8"/>
        <v>4</v>
      </c>
      <c r="T60" s="14" t="str">
        <f t="shared" si="9"/>
        <v/>
      </c>
    </row>
    <row r="61" spans="1:20" ht="34.200000000000003" x14ac:dyDescent="0.3">
      <c r="A61" s="224">
        <v>3</v>
      </c>
      <c r="C61" s="14">
        <f t="shared" si="2"/>
        <v>3</v>
      </c>
      <c r="D61" s="14" t="s">
        <v>1134</v>
      </c>
      <c r="E61" s="58" t="s">
        <v>386</v>
      </c>
      <c r="F61" s="82" t="s">
        <v>389</v>
      </c>
      <c r="G61" s="176" t="s">
        <v>390</v>
      </c>
      <c r="H61" s="175" t="str">
        <f>'4. Security Assessment'!$H4</f>
        <v>Comment is required</v>
      </c>
      <c r="I61" s="14">
        <f>'4. Security Assessment'!$G4</f>
        <v>0</v>
      </c>
      <c r="J61" s="14" t="str">
        <f t="shared" si="12"/>
        <v>Blank</v>
      </c>
      <c r="K61" s="155" t="s">
        <v>1131</v>
      </c>
      <c r="L61" s="14" t="str">
        <f t="shared" si="1"/>
        <v>Blank</v>
      </c>
      <c r="N61" s="14" t="str">
        <f t="shared" si="3"/>
        <v/>
      </c>
      <c r="O61" s="14" t="str">
        <f t="shared" si="4"/>
        <v/>
      </c>
      <c r="P61" s="14" t="str">
        <f t="shared" si="5"/>
        <v>Comment is required</v>
      </c>
      <c r="Q61" s="14" t="str">
        <f t="shared" si="6"/>
        <v>Blank</v>
      </c>
      <c r="R61" s="14" t="str">
        <f t="shared" si="7"/>
        <v>No Override</v>
      </c>
      <c r="S61" s="14">
        <f t="shared" si="8"/>
        <v>3</v>
      </c>
      <c r="T61" s="14" t="str">
        <f t="shared" si="9"/>
        <v/>
      </c>
    </row>
    <row r="62" spans="1:20" ht="34.200000000000003" x14ac:dyDescent="0.3">
      <c r="A62" s="224">
        <v>3</v>
      </c>
      <c r="C62" s="14">
        <f t="shared" si="2"/>
        <v>3</v>
      </c>
      <c r="D62" s="14" t="s">
        <v>1134</v>
      </c>
      <c r="E62" s="58" t="s">
        <v>391</v>
      </c>
      <c r="F62" s="82" t="s">
        <v>389</v>
      </c>
      <c r="G62" s="176" t="s">
        <v>392</v>
      </c>
      <c r="H62" s="175" t="str">
        <f>'4. Security Assessment'!$H5</f>
        <v>Comment is required</v>
      </c>
      <c r="I62" s="14">
        <f>'4. Security Assessment'!$G5</f>
        <v>0</v>
      </c>
      <c r="J62" s="14" t="str">
        <f t="shared" si="12"/>
        <v>Blank</v>
      </c>
      <c r="K62" s="155" t="s">
        <v>1131</v>
      </c>
      <c r="L62" s="14" t="str">
        <f t="shared" si="1"/>
        <v>Blank</v>
      </c>
      <c r="N62" s="14" t="str">
        <f t="shared" si="3"/>
        <v/>
      </c>
      <c r="O62" s="14" t="str">
        <f t="shared" si="4"/>
        <v/>
      </c>
      <c r="P62" s="14" t="str">
        <f t="shared" si="5"/>
        <v>Comment is required</v>
      </c>
      <c r="Q62" s="14" t="str">
        <f t="shared" si="6"/>
        <v>Blank</v>
      </c>
      <c r="R62" s="14" t="str">
        <f t="shared" si="7"/>
        <v>No Override</v>
      </c>
      <c r="S62" s="14">
        <f t="shared" si="8"/>
        <v>3</v>
      </c>
      <c r="T62" s="14" t="str">
        <f t="shared" si="9"/>
        <v/>
      </c>
    </row>
    <row r="63" spans="1:20" ht="22.8" x14ac:dyDescent="0.3">
      <c r="A63" s="224">
        <v>3</v>
      </c>
      <c r="C63" s="14">
        <f t="shared" si="2"/>
        <v>3</v>
      </c>
      <c r="D63" s="14" t="s">
        <v>1134</v>
      </c>
      <c r="E63" s="58" t="s">
        <v>393</v>
      </c>
      <c r="F63" s="82" t="s">
        <v>389</v>
      </c>
      <c r="G63" s="176" t="s">
        <v>394</v>
      </c>
      <c r="H63" s="175" t="str">
        <f>'4. Security Assessment'!$H6</f>
        <v>Comment is required</v>
      </c>
      <c r="I63" s="14">
        <f>'4. Security Assessment'!$G6</f>
        <v>0</v>
      </c>
      <c r="J63" s="14" t="str">
        <f t="shared" si="12"/>
        <v>Blank</v>
      </c>
      <c r="K63" s="155" t="s">
        <v>1131</v>
      </c>
      <c r="L63" s="14" t="str">
        <f t="shared" si="1"/>
        <v>Blank</v>
      </c>
      <c r="N63" s="14" t="str">
        <f t="shared" si="3"/>
        <v/>
      </c>
      <c r="O63" s="14" t="str">
        <f t="shared" si="4"/>
        <v/>
      </c>
      <c r="P63" s="14" t="str">
        <f t="shared" si="5"/>
        <v>Comment is required</v>
      </c>
      <c r="Q63" s="14" t="str">
        <f t="shared" si="6"/>
        <v>Blank</v>
      </c>
      <c r="R63" s="14" t="str">
        <f t="shared" si="7"/>
        <v>No Override</v>
      </c>
      <c r="S63" s="14">
        <f t="shared" si="8"/>
        <v>3</v>
      </c>
      <c r="T63" s="14" t="str">
        <f t="shared" si="9"/>
        <v/>
      </c>
    </row>
    <row r="64" spans="1:20" x14ac:dyDescent="0.3">
      <c r="A64" s="224">
        <v>4</v>
      </c>
      <c r="C64" s="14">
        <f t="shared" si="2"/>
        <v>4</v>
      </c>
      <c r="D64" s="14" t="s">
        <v>1134</v>
      </c>
      <c r="E64" s="58" t="s">
        <v>395</v>
      </c>
      <c r="F64" s="82" t="s">
        <v>398</v>
      </c>
      <c r="G64" s="170" t="s">
        <v>399</v>
      </c>
      <c r="H64" s="175" t="str">
        <f>'4. Security Assessment'!$H7</f>
        <v>Comment is required</v>
      </c>
      <c r="I64" s="14">
        <f>'4. Security Assessment'!$G7</f>
        <v>0</v>
      </c>
      <c r="J64" s="48" t="str">
        <f>IF(AND($I64="Yes",$I65="Yes",$I66="Yes"),"Adequate",IF(AND($I64="Yes",OR(NOT($I65="Yes"),NOT($I66="Yes"))),"Inadequate",IF($I64="No","N/A",IF($I64="Partial","Inadequate",IF($I64="N/A","N/A",IF(OR($I64="",$I64=0),"Blank","Error"))))))</f>
        <v>Blank</v>
      </c>
      <c r="K64" s="155" t="s">
        <v>1131</v>
      </c>
      <c r="L64" s="14" t="str">
        <f t="shared" si="1"/>
        <v>Blank</v>
      </c>
      <c r="N64" s="14" t="str">
        <f t="shared" si="3"/>
        <v/>
      </c>
      <c r="O64" s="14" t="str">
        <f t="shared" si="4"/>
        <v/>
      </c>
      <c r="P64" s="14" t="str">
        <f t="shared" si="5"/>
        <v>Comment is required</v>
      </c>
      <c r="Q64" s="14" t="str">
        <f t="shared" si="6"/>
        <v>Blank</v>
      </c>
      <c r="R64" s="14" t="str">
        <f t="shared" si="7"/>
        <v>No Override</v>
      </c>
      <c r="S64" s="14">
        <f t="shared" si="8"/>
        <v>4</v>
      </c>
      <c r="T64" s="14" t="str">
        <f t="shared" si="9"/>
        <v/>
      </c>
    </row>
    <row r="65" spans="1:20" x14ac:dyDescent="0.3">
      <c r="A65" s="224">
        <v>1</v>
      </c>
      <c r="C65" s="14">
        <f t="shared" si="2"/>
        <v>1</v>
      </c>
      <c r="D65" s="14" t="s">
        <v>1134</v>
      </c>
      <c r="E65" s="58" t="s">
        <v>400</v>
      </c>
      <c r="F65" s="82" t="s">
        <v>398</v>
      </c>
      <c r="G65" s="170" t="s">
        <v>401</v>
      </c>
      <c r="H65" s="175" t="str">
        <f>'4. Security Assessment'!$H8</f>
        <v>Comment is required</v>
      </c>
      <c r="I65" s="14">
        <f>'4. Security Assessment'!$G8</f>
        <v>0</v>
      </c>
      <c r="J65" s="60" t="str">
        <f>IF(OR($I64="N/A",$I64="No"),"N/A",IF($I65="Yes","Adequate",IF($I65="No","Inadequate",IF($I65="Partial","Inadequate",IF(AND($I65="N/A",NOT($I64="No"),NOT($I64="N/A")),"Inadequate",IF(OR($I65="",$I65=0),"Blank","Error"))))))</f>
        <v>Blank</v>
      </c>
      <c r="K65" s="155" t="s">
        <v>1131</v>
      </c>
      <c r="L65" s="14" t="str">
        <f t="shared" si="1"/>
        <v>Blank</v>
      </c>
      <c r="N65" s="14" t="str">
        <f t="shared" si="3"/>
        <v/>
      </c>
      <c r="O65" s="14" t="str">
        <f t="shared" si="4"/>
        <v/>
      </c>
      <c r="P65" s="14" t="str">
        <f t="shared" si="5"/>
        <v>Comment is required</v>
      </c>
      <c r="Q65" s="14" t="str">
        <f t="shared" si="6"/>
        <v>Blank</v>
      </c>
      <c r="R65" s="14" t="str">
        <f t="shared" si="7"/>
        <v>No Override</v>
      </c>
      <c r="S65" s="14">
        <f t="shared" si="8"/>
        <v>1</v>
      </c>
      <c r="T65" s="14" t="str">
        <f t="shared" si="9"/>
        <v/>
      </c>
    </row>
    <row r="66" spans="1:20" ht="22.8" x14ac:dyDescent="0.3">
      <c r="A66" s="224">
        <v>1</v>
      </c>
      <c r="C66" s="14">
        <f t="shared" si="2"/>
        <v>1</v>
      </c>
      <c r="D66" s="14" t="s">
        <v>1134</v>
      </c>
      <c r="E66" s="58" t="s">
        <v>402</v>
      </c>
      <c r="F66" s="82" t="s">
        <v>398</v>
      </c>
      <c r="G66" s="170" t="s">
        <v>403</v>
      </c>
      <c r="H66" s="175" t="str">
        <f>'4. Security Assessment'!$H9</f>
        <v>Comment is required</v>
      </c>
      <c r="I66" s="14">
        <f>'4. Security Assessment'!$G9</f>
        <v>0</v>
      </c>
      <c r="J66" s="60" t="str">
        <f>IF(OR($I64="N/A",$I64="No"),"N/A",IF($I66="Yes","Adequate",IF($I66="No","Inadequate",IF($I66="Partial","Inadequate",IF(AND($I66="N/A",NOT($I64="No"),NOT($I64="N/A")),"Inadequate",IF(OR($I66="",$I66=0),"Blank","Error"))))))</f>
        <v>Blank</v>
      </c>
      <c r="K66" s="155" t="s">
        <v>1131</v>
      </c>
      <c r="L66" s="14" t="str">
        <f t="shared" si="1"/>
        <v>Blank</v>
      </c>
      <c r="N66" s="14" t="str">
        <f t="shared" si="3"/>
        <v/>
      </c>
      <c r="O66" s="14" t="str">
        <f t="shared" si="4"/>
        <v/>
      </c>
      <c r="P66" s="14" t="str">
        <f t="shared" si="5"/>
        <v>Comment is required</v>
      </c>
      <c r="Q66" s="14" t="str">
        <f t="shared" si="6"/>
        <v>Blank</v>
      </c>
      <c r="R66" s="14" t="str">
        <f t="shared" si="7"/>
        <v>No Override</v>
      </c>
      <c r="S66" s="14">
        <f t="shared" si="8"/>
        <v>1</v>
      </c>
      <c r="T66" s="14" t="str">
        <f t="shared" si="9"/>
        <v/>
      </c>
    </row>
    <row r="67" spans="1:20" x14ac:dyDescent="0.3">
      <c r="A67" s="224">
        <v>2</v>
      </c>
      <c r="C67" s="14">
        <f t="shared" si="2"/>
        <v>2</v>
      </c>
      <c r="D67" s="14" t="s">
        <v>1134</v>
      </c>
      <c r="E67" s="58" t="s">
        <v>404</v>
      </c>
      <c r="F67" s="82" t="s">
        <v>406</v>
      </c>
      <c r="G67" s="176" t="s">
        <v>407</v>
      </c>
      <c r="H67" s="175" t="str">
        <f>'4. Security Assessment'!$H10</f>
        <v>Comment is required</v>
      </c>
      <c r="I67" s="14">
        <f>'4. Security Assessment'!$G10</f>
        <v>0</v>
      </c>
      <c r="J67" s="14" t="str">
        <f>IF($I67="Yes","Adequate",IF($I67="No","Inadequate",IF($I67="Partial","Inadequate",IF($I67="N/A","Inadequate",IF(OR($I67="",$I67=0),"Blank","Error")))))</f>
        <v>Blank</v>
      </c>
      <c r="K67" s="155" t="s">
        <v>1131</v>
      </c>
      <c r="L67" s="14" t="str">
        <f t="shared" si="1"/>
        <v>Blank</v>
      </c>
      <c r="N67" s="14" t="str">
        <f t="shared" si="3"/>
        <v/>
      </c>
      <c r="O67" s="14" t="str">
        <f t="shared" si="4"/>
        <v/>
      </c>
      <c r="P67" s="14" t="str">
        <f t="shared" si="5"/>
        <v>Comment is required</v>
      </c>
      <c r="Q67" s="14" t="str">
        <f t="shared" si="6"/>
        <v>Blank</v>
      </c>
      <c r="R67" s="14" t="str">
        <f t="shared" si="7"/>
        <v>No Override</v>
      </c>
      <c r="S67" s="14">
        <f t="shared" si="8"/>
        <v>2</v>
      </c>
      <c r="T67" s="14" t="str">
        <f t="shared" si="9"/>
        <v/>
      </c>
    </row>
    <row r="68" spans="1:20" ht="22.8" x14ac:dyDescent="0.3">
      <c r="A68" s="224">
        <v>3</v>
      </c>
      <c r="C68" s="14">
        <f t="shared" si="2"/>
        <v>3</v>
      </c>
      <c r="D68" s="14" t="s">
        <v>1134</v>
      </c>
      <c r="E68" s="58" t="s">
        <v>408</v>
      </c>
      <c r="F68" s="82" t="s">
        <v>411</v>
      </c>
      <c r="G68" s="176" t="s">
        <v>412</v>
      </c>
      <c r="H68" s="175" t="str">
        <f>'4. Security Assessment'!$H11</f>
        <v>Comment is required</v>
      </c>
      <c r="I68" s="14">
        <f>'4. Security Assessment'!$G11</f>
        <v>0</v>
      </c>
      <c r="J68" s="48" t="str">
        <f>IF(AND($I68="Yes",$I69="Yes"),"Adequate",IF(AND($I68="Yes",NOT($I69="Yes")),"Inadequate",IF($I68="No","Inadequate",IF($I68="Partial","Inadequate",IF($I68="N/A","Inadequate",IF(OR($I68="",$I68=0),"Blank","Error"))))))</f>
        <v>Blank</v>
      </c>
      <c r="K68" s="155" t="s">
        <v>1131</v>
      </c>
      <c r="L68" s="14" t="str">
        <f t="shared" si="1"/>
        <v>Blank</v>
      </c>
      <c r="N68" s="14" t="str">
        <f t="shared" si="3"/>
        <v/>
      </c>
      <c r="O68" s="14" t="str">
        <f t="shared" si="4"/>
        <v/>
      </c>
      <c r="P68" s="14" t="str">
        <f t="shared" si="5"/>
        <v>Comment is required</v>
      </c>
      <c r="Q68" s="14" t="str">
        <f t="shared" si="6"/>
        <v>Blank</v>
      </c>
      <c r="R68" s="14" t="str">
        <f t="shared" si="7"/>
        <v>No Override</v>
      </c>
      <c r="S68" s="14">
        <f t="shared" si="8"/>
        <v>3</v>
      </c>
      <c r="T68" s="14" t="str">
        <f t="shared" si="9"/>
        <v/>
      </c>
    </row>
    <row r="69" spans="1:20" ht="22.8" x14ac:dyDescent="0.3">
      <c r="A69" s="224">
        <v>3</v>
      </c>
      <c r="C69" s="14">
        <f t="shared" si="2"/>
        <v>3</v>
      </c>
      <c r="D69" s="14" t="s">
        <v>1134</v>
      </c>
      <c r="E69" s="58" t="s">
        <v>413</v>
      </c>
      <c r="F69" s="82" t="s">
        <v>411</v>
      </c>
      <c r="G69" s="176" t="s">
        <v>414</v>
      </c>
      <c r="H69" s="175" t="str">
        <f>'4. Security Assessment'!$H12</f>
        <v>Comment is required</v>
      </c>
      <c r="I69" s="14">
        <f>'4. Security Assessment'!$G12</f>
        <v>0</v>
      </c>
      <c r="J69" s="60" t="str">
        <f>IF($I69="Yes","Adequate",IF($I69="No","Inadequate",IF($I69="Partial","Inadequate",IF(AND($I69="N/A",$I68="No"),"N/A",IF(AND($I69="N/A",NOT($I68="No")),"Inadequate",IF(OR($I69="",$I69=0),"Blank","Error"))))))</f>
        <v>Blank</v>
      </c>
      <c r="K69" s="155" t="s">
        <v>1131</v>
      </c>
      <c r="L69" s="14" t="str">
        <f t="shared" si="1"/>
        <v>Blank</v>
      </c>
      <c r="N69" s="14" t="str">
        <f t="shared" si="3"/>
        <v/>
      </c>
      <c r="O69" s="14" t="str">
        <f t="shared" si="4"/>
        <v/>
      </c>
      <c r="P69" s="14" t="str">
        <f t="shared" si="5"/>
        <v>Comment is required</v>
      </c>
      <c r="Q69" s="14" t="str">
        <f t="shared" si="6"/>
        <v>Blank</v>
      </c>
      <c r="R69" s="14" t="str">
        <f t="shared" si="7"/>
        <v>No Override</v>
      </c>
      <c r="S69" s="14">
        <f t="shared" si="8"/>
        <v>3</v>
      </c>
      <c r="T69" s="14" t="str">
        <f t="shared" si="9"/>
        <v/>
      </c>
    </row>
    <row r="70" spans="1:20" x14ac:dyDescent="0.3">
      <c r="A70" s="224">
        <v>1</v>
      </c>
      <c r="C70" s="14">
        <f t="shared" si="2"/>
        <v>1</v>
      </c>
      <c r="D70" s="14" t="s">
        <v>1134</v>
      </c>
      <c r="E70" s="58" t="s">
        <v>415</v>
      </c>
      <c r="F70" s="82" t="s">
        <v>418</v>
      </c>
      <c r="G70" s="170" t="s">
        <v>419</v>
      </c>
      <c r="H70" s="175" t="str">
        <f>'4. Security Assessment'!$H13</f>
        <v>Comment is required</v>
      </c>
      <c r="I70" s="14">
        <f>'4. Security Assessment'!$G13</f>
        <v>0</v>
      </c>
      <c r="J70" s="14" t="str">
        <f>IF($I70="Yes","Adequate",IF($I70="No","Inadequate",IF($I70="Partial","Inadequate",IF($I70="N/A","Inadequate",IF(OR($I70="",$I70=0),"Blank","Error")))))</f>
        <v>Blank</v>
      </c>
      <c r="K70" s="155" t="s">
        <v>1131</v>
      </c>
      <c r="L70" s="14" t="str">
        <f t="shared" si="1"/>
        <v>Blank</v>
      </c>
      <c r="N70" s="14" t="str">
        <f t="shared" si="3"/>
        <v/>
      </c>
      <c r="O70" s="14" t="str">
        <f t="shared" si="4"/>
        <v/>
      </c>
      <c r="P70" s="14" t="str">
        <f t="shared" si="5"/>
        <v>Comment is required</v>
      </c>
      <c r="Q70" s="14" t="str">
        <f t="shared" si="6"/>
        <v>Blank</v>
      </c>
      <c r="R70" s="14" t="str">
        <f t="shared" si="7"/>
        <v>No Override</v>
      </c>
      <c r="S70" s="14">
        <f t="shared" si="8"/>
        <v>1</v>
      </c>
      <c r="T70" s="14" t="str">
        <f t="shared" si="9"/>
        <v/>
      </c>
    </row>
    <row r="71" spans="1:20" x14ac:dyDescent="0.3">
      <c r="A71" s="224">
        <v>1</v>
      </c>
      <c r="C71" s="14">
        <f t="shared" si="2"/>
        <v>1</v>
      </c>
      <c r="D71" s="14" t="s">
        <v>1134</v>
      </c>
      <c r="E71" s="58" t="s">
        <v>420</v>
      </c>
      <c r="F71" s="82" t="s">
        <v>418</v>
      </c>
      <c r="G71" s="170" t="s">
        <v>421</v>
      </c>
      <c r="H71" s="175" t="str">
        <f>'4. Security Assessment'!$H14</f>
        <v>Comment is required</v>
      </c>
      <c r="I71" s="14">
        <f>'4. Security Assessment'!$G14</f>
        <v>0</v>
      </c>
      <c r="J71" s="14" t="str">
        <f>IF($I71="Yes","Adequate",IF($I71="No","Inadequate",IF($I71="Partial","Inadequate",IF($I71="N/A","Inadequate",IF(OR($I71="",$I71=0),"Blank","Error")))))</f>
        <v>Blank</v>
      </c>
      <c r="K71" s="155" t="s">
        <v>1131</v>
      </c>
      <c r="L71" s="14" t="str">
        <f t="shared" si="1"/>
        <v>Blank</v>
      </c>
      <c r="N71" s="14" t="str">
        <f t="shared" si="3"/>
        <v/>
      </c>
      <c r="O71" s="14" t="str">
        <f t="shared" si="4"/>
        <v/>
      </c>
      <c r="P71" s="14" t="str">
        <f t="shared" si="5"/>
        <v>Comment is required</v>
      </c>
      <c r="Q71" s="14" t="str">
        <f t="shared" si="6"/>
        <v>Blank</v>
      </c>
      <c r="R71" s="14" t="str">
        <f t="shared" si="7"/>
        <v>No Override</v>
      </c>
      <c r="S71" s="14">
        <f t="shared" si="8"/>
        <v>1</v>
      </c>
      <c r="T71" s="14" t="str">
        <f t="shared" si="9"/>
        <v/>
      </c>
    </row>
    <row r="72" spans="1:20" x14ac:dyDescent="0.3">
      <c r="A72" s="224">
        <v>1</v>
      </c>
      <c r="C72" s="14">
        <f t="shared" si="2"/>
        <v>1</v>
      </c>
      <c r="D72" s="14" t="s">
        <v>1134</v>
      </c>
      <c r="E72" s="58" t="s">
        <v>422</v>
      </c>
      <c r="F72" s="82" t="s">
        <v>418</v>
      </c>
      <c r="G72" s="170" t="s">
        <v>423</v>
      </c>
      <c r="H72" s="175" t="str">
        <f>'4. Security Assessment'!$H15</f>
        <v>Comment is required</v>
      </c>
      <c r="I72" s="14">
        <f>'4. Security Assessment'!$G15</f>
        <v>0</v>
      </c>
      <c r="J72" s="14" t="str">
        <f>IF($I72="Yes","Adequate",IF($I72="No","Inadequate",IF($I72="Partial","Inadequate",IF($I72="N/A","Inadequate",IF(OR($I72="",$I72=0),"Blank","Error")))))</f>
        <v>Blank</v>
      </c>
      <c r="K72" s="155" t="s">
        <v>1131</v>
      </c>
      <c r="L72" s="14" t="str">
        <f t="shared" si="1"/>
        <v>Blank</v>
      </c>
      <c r="N72" s="14" t="str">
        <f t="shared" si="3"/>
        <v/>
      </c>
      <c r="O72" s="14" t="str">
        <f t="shared" si="4"/>
        <v/>
      </c>
      <c r="P72" s="14" t="str">
        <f t="shared" si="5"/>
        <v>Comment is required</v>
      </c>
      <c r="Q72" s="14" t="str">
        <f t="shared" si="6"/>
        <v>Blank</v>
      </c>
      <c r="R72" s="14" t="str">
        <f t="shared" si="7"/>
        <v>No Override</v>
      </c>
      <c r="S72" s="14">
        <f t="shared" si="8"/>
        <v>1</v>
      </c>
      <c r="T72" s="14" t="str">
        <f t="shared" si="9"/>
        <v/>
      </c>
    </row>
    <row r="73" spans="1:20" x14ac:dyDescent="0.3">
      <c r="A73" s="224">
        <v>1</v>
      </c>
      <c r="C73" s="14">
        <f t="shared" si="2"/>
        <v>1</v>
      </c>
      <c r="D73" s="14" t="s">
        <v>1134</v>
      </c>
      <c r="E73" s="58" t="s">
        <v>424</v>
      </c>
      <c r="F73" s="82" t="s">
        <v>418</v>
      </c>
      <c r="G73" s="170" t="s">
        <v>425</v>
      </c>
      <c r="H73" s="175" t="str">
        <f>'4. Security Assessment'!$H16</f>
        <v>Comment is required</v>
      </c>
      <c r="I73" s="14">
        <f>'4. Security Assessment'!$G16</f>
        <v>0</v>
      </c>
      <c r="J73" s="14" t="str">
        <f>IF($I73="Yes","Adequate",IF($I73="No","Inadequate",IF($I73="Partial","Inadequate",IF($I73="N/A","Inadequate",IF(OR($I73="",$I73=0),"Blank","Error")))))</f>
        <v>Blank</v>
      </c>
      <c r="K73" s="155" t="s">
        <v>1131</v>
      </c>
      <c r="L73" s="14" t="str">
        <f t="shared" si="1"/>
        <v>Blank</v>
      </c>
      <c r="N73" s="14" t="str">
        <f t="shared" si="3"/>
        <v/>
      </c>
      <c r="O73" s="14" t="str">
        <f t="shared" si="4"/>
        <v/>
      </c>
      <c r="P73" s="14" t="str">
        <f t="shared" si="5"/>
        <v>Comment is required</v>
      </c>
      <c r="Q73" s="14" t="str">
        <f t="shared" si="6"/>
        <v>Blank</v>
      </c>
      <c r="R73" s="14" t="str">
        <f t="shared" si="7"/>
        <v>No Override</v>
      </c>
      <c r="S73" s="14">
        <f t="shared" si="8"/>
        <v>1</v>
      </c>
      <c r="T73" s="14" t="str">
        <f t="shared" si="9"/>
        <v/>
      </c>
    </row>
    <row r="74" spans="1:20" x14ac:dyDescent="0.3">
      <c r="A74" s="224">
        <v>1</v>
      </c>
      <c r="C74" s="14">
        <f t="shared" si="2"/>
        <v>1</v>
      </c>
      <c r="D74" s="14" t="s">
        <v>1134</v>
      </c>
      <c r="E74" s="58" t="s">
        <v>426</v>
      </c>
      <c r="F74" s="82" t="s">
        <v>428</v>
      </c>
      <c r="G74" s="170" t="s">
        <v>429</v>
      </c>
      <c r="H74" s="175" t="str">
        <f>'4. Security Assessment'!$H17</f>
        <v>Comment is required</v>
      </c>
      <c r="I74" s="14">
        <f>'4. Security Assessment'!$G17</f>
        <v>0</v>
      </c>
      <c r="J74" s="14" t="str">
        <f>IF($I74="Yes","Adequate",IF($I74="No","Inadequate",IF($I74="Partial","Inadequate",IF($I74="N/A","Inadequate",IF(OR($I74="",$I74=0),"Blank","Error")))))</f>
        <v>Blank</v>
      </c>
      <c r="K74" s="155" t="s">
        <v>1131</v>
      </c>
      <c r="L74" s="14" t="str">
        <f t="shared" si="1"/>
        <v>Blank</v>
      </c>
      <c r="N74" s="14" t="str">
        <f t="shared" si="3"/>
        <v/>
      </c>
      <c r="O74" s="14" t="str">
        <f t="shared" si="4"/>
        <v/>
      </c>
      <c r="P74" s="14" t="str">
        <f t="shared" si="5"/>
        <v>Comment is required</v>
      </c>
      <c r="Q74" s="14" t="str">
        <f t="shared" si="6"/>
        <v>Blank</v>
      </c>
      <c r="R74" s="14" t="str">
        <f t="shared" si="7"/>
        <v>No Override</v>
      </c>
      <c r="S74" s="14">
        <f t="shared" si="8"/>
        <v>1</v>
      </c>
      <c r="T74" s="14" t="str">
        <f t="shared" si="9"/>
        <v/>
      </c>
    </row>
    <row r="75" spans="1:20" ht="22.8" x14ac:dyDescent="0.3">
      <c r="A75" s="224">
        <v>4</v>
      </c>
      <c r="C75" s="14">
        <f t="shared" si="2"/>
        <v>4</v>
      </c>
      <c r="D75" s="14" t="s">
        <v>1134</v>
      </c>
      <c r="E75" s="58" t="s">
        <v>430</v>
      </c>
      <c r="F75" s="82" t="s">
        <v>432</v>
      </c>
      <c r="G75" s="170" t="s">
        <v>433</v>
      </c>
      <c r="H75" s="175" t="str">
        <f>'4. Security Assessment'!$H18</f>
        <v>Comment is required</v>
      </c>
      <c r="I75" s="14">
        <f>'4. Security Assessment'!$G18</f>
        <v>0</v>
      </c>
      <c r="J75" s="48" t="str">
        <f>IF(AND($I75="Yes",$I76="Yes"),"Adequate",IF(AND($I75="Yes",NOT($I76="Yes")),"Inadequate",IF($I75="No","N/A",IF($I75="Partial","Inadequate",IF($I75="N/A","N/A",IF(OR($I75="",$I75=0),"Blank","Error"))))))</f>
        <v>Blank</v>
      </c>
      <c r="K75" s="155" t="s">
        <v>1131</v>
      </c>
      <c r="L75" s="14" t="str">
        <f t="shared" si="1"/>
        <v>Blank</v>
      </c>
      <c r="N75" s="14" t="str">
        <f t="shared" si="3"/>
        <v/>
      </c>
      <c r="O75" s="14" t="str">
        <f t="shared" si="4"/>
        <v/>
      </c>
      <c r="P75" s="14" t="str">
        <f t="shared" si="5"/>
        <v>Comment is required</v>
      </c>
      <c r="Q75" s="14" t="str">
        <f t="shared" si="6"/>
        <v>Blank</v>
      </c>
      <c r="R75" s="14" t="str">
        <f t="shared" si="7"/>
        <v>No Override</v>
      </c>
      <c r="S75" s="14">
        <f t="shared" si="8"/>
        <v>4</v>
      </c>
      <c r="T75" s="14" t="str">
        <f t="shared" si="9"/>
        <v/>
      </c>
    </row>
    <row r="76" spans="1:20" ht="22.8" x14ac:dyDescent="0.3">
      <c r="A76" s="224">
        <v>1</v>
      </c>
      <c r="C76" s="14">
        <f t="shared" si="2"/>
        <v>1</v>
      </c>
      <c r="D76" s="14" t="s">
        <v>1134</v>
      </c>
      <c r="E76" s="58" t="s">
        <v>434</v>
      </c>
      <c r="F76" s="84" t="s">
        <v>432</v>
      </c>
      <c r="G76" s="170" t="s">
        <v>435</v>
      </c>
      <c r="H76" s="175" t="str">
        <f>'4. Security Assessment'!$H19</f>
        <v>Comment is required</v>
      </c>
      <c r="I76" s="14">
        <f>'4. Security Assessment'!$G19</f>
        <v>0</v>
      </c>
      <c r="J76" s="60" t="str">
        <f>IF(OR($I75="N/A",$I75="No"),"N/A",IF($I76="Yes","Adequate",IF($I76="No","Inadequate",IF($I76="Partial","Inadequate",IF(AND($I76="N/A",NOT($I75="No"),NOT($I75="N/A")),"Inadequate",IF(OR($I76="",$I76=0),"Blank","Error"))))))</f>
        <v>Blank</v>
      </c>
      <c r="K76" s="155" t="s">
        <v>1131</v>
      </c>
      <c r="L76" s="14" t="str">
        <f t="shared" ref="L76:L144" si="13">IF($K76="No Override",$J76,$K76)</f>
        <v>Blank</v>
      </c>
      <c r="N76" s="14" t="str">
        <f t="shared" si="3"/>
        <v/>
      </c>
      <c r="O76" s="14" t="str">
        <f t="shared" si="4"/>
        <v/>
      </c>
      <c r="P76" s="14" t="str">
        <f t="shared" si="5"/>
        <v>Comment is required</v>
      </c>
      <c r="Q76" s="14" t="str">
        <f t="shared" si="6"/>
        <v>Blank</v>
      </c>
      <c r="R76" s="14" t="str">
        <f t="shared" si="7"/>
        <v>No Override</v>
      </c>
      <c r="S76" s="14">
        <f t="shared" si="8"/>
        <v>1</v>
      </c>
      <c r="T76" s="14" t="str">
        <f t="shared" si="9"/>
        <v/>
      </c>
    </row>
    <row r="77" spans="1:20" ht="22.8" x14ac:dyDescent="0.3">
      <c r="A77" s="224">
        <v>4</v>
      </c>
      <c r="C77" s="14">
        <f t="shared" ref="C77:C145" si="14">IF($B77="",$A77,$B77)</f>
        <v>4</v>
      </c>
      <c r="D77" t="s">
        <v>436</v>
      </c>
      <c r="E77" s="58" t="s">
        <v>437</v>
      </c>
      <c r="F77" s="82" t="s">
        <v>439</v>
      </c>
      <c r="G77" s="170" t="s">
        <v>440</v>
      </c>
      <c r="H77" s="170" t="str">
        <f>'5. Configuration'!$H3</f>
        <v>Comment is required</v>
      </c>
      <c r="I77">
        <f>'5. Configuration'!$G3</f>
        <v>0</v>
      </c>
      <c r="J77" s="14" t="str">
        <f t="shared" ref="J77:J116" si="15">IF($I77="Yes","Adequate",IF($I77="No","Inadequate",IF($I77="Partial","Inadequate",IF($I77="N/A","Inadequate",IF(OR($I77="",$I77=0),"Blank","Error")))))</f>
        <v>Blank</v>
      </c>
      <c r="K77" s="155" t="s">
        <v>1131</v>
      </c>
      <c r="L77" s="14" t="str">
        <f t="shared" si="13"/>
        <v>Blank</v>
      </c>
      <c r="N77" s="14" t="str">
        <f t="shared" ref="N77:N145" si="16">IF($J77=$L77,"","***")</f>
        <v/>
      </c>
      <c r="O77" s="14" t="str">
        <f t="shared" ref="O77:O145" si="17">IF(OR($I77="",$I77=0),"",$I77)</f>
        <v/>
      </c>
      <c r="P77" s="14" t="str">
        <f t="shared" ref="P77:P145" si="18">IF(OR($H77="",$H77=0),"",$H77)</f>
        <v>Comment is required</v>
      </c>
      <c r="Q77" s="14" t="str">
        <f t="shared" ref="Q77:Q145" si="19">$L77</f>
        <v>Blank</v>
      </c>
      <c r="R77" s="14" t="str">
        <f t="shared" ref="R77:R145" si="20">$K77</f>
        <v>No Override</v>
      </c>
      <c r="S77" s="14">
        <f t="shared" ref="S77:S145" si="21">$C77</f>
        <v>4</v>
      </c>
      <c r="T77" s="14" t="str">
        <f t="shared" ref="T77:T145" si="22">IF($L77=$Q77,"","***")</f>
        <v/>
      </c>
    </row>
    <row r="78" spans="1:20" ht="22.8" x14ac:dyDescent="0.3">
      <c r="A78" s="224">
        <v>1</v>
      </c>
      <c r="C78" s="14">
        <f t="shared" si="14"/>
        <v>1</v>
      </c>
      <c r="D78" s="14" t="s">
        <v>436</v>
      </c>
      <c r="E78" s="58" t="s">
        <v>441</v>
      </c>
      <c r="F78" s="82" t="s">
        <v>443</v>
      </c>
      <c r="G78" s="176" t="s">
        <v>444</v>
      </c>
      <c r="H78" s="170" t="str">
        <f>'5. Configuration'!$H4</f>
        <v>Comment is required</v>
      </c>
      <c r="I78" s="14">
        <f>'5. Configuration'!$G4</f>
        <v>0</v>
      </c>
      <c r="J78" s="14" t="str">
        <f t="shared" si="15"/>
        <v>Blank</v>
      </c>
      <c r="K78" s="155" t="s">
        <v>1131</v>
      </c>
      <c r="L78" s="14" t="str">
        <f t="shared" si="13"/>
        <v>Blank</v>
      </c>
      <c r="N78" s="14" t="str">
        <f t="shared" si="16"/>
        <v/>
      </c>
      <c r="O78" s="14" t="str">
        <f t="shared" si="17"/>
        <v/>
      </c>
      <c r="P78" s="14" t="str">
        <f t="shared" si="18"/>
        <v>Comment is required</v>
      </c>
      <c r="Q78" s="14" t="str">
        <f t="shared" si="19"/>
        <v>Blank</v>
      </c>
      <c r="R78" s="14" t="str">
        <f t="shared" si="20"/>
        <v>No Override</v>
      </c>
      <c r="S78" s="14">
        <f t="shared" si="21"/>
        <v>1</v>
      </c>
      <c r="T78" s="14" t="str">
        <f t="shared" si="22"/>
        <v/>
      </c>
    </row>
    <row r="79" spans="1:20" x14ac:dyDescent="0.3">
      <c r="A79" s="224">
        <v>1</v>
      </c>
      <c r="C79" s="14">
        <f t="shared" si="14"/>
        <v>1</v>
      </c>
      <c r="D79" s="14" t="s">
        <v>436</v>
      </c>
      <c r="E79" s="58" t="s">
        <v>445</v>
      </c>
      <c r="F79" s="82" t="s">
        <v>447</v>
      </c>
      <c r="G79" s="176" t="s">
        <v>448</v>
      </c>
      <c r="H79" s="170" t="str">
        <f>'5. Configuration'!$H5</f>
        <v>Comment is required</v>
      </c>
      <c r="I79" s="14">
        <f>'5. Configuration'!$G5</f>
        <v>0</v>
      </c>
      <c r="J79" s="14" t="str">
        <f t="shared" si="15"/>
        <v>Blank</v>
      </c>
      <c r="K79" s="155" t="s">
        <v>1131</v>
      </c>
      <c r="L79" s="14" t="str">
        <f t="shared" si="13"/>
        <v>Blank</v>
      </c>
      <c r="N79" s="14" t="str">
        <f t="shared" si="16"/>
        <v/>
      </c>
      <c r="O79" s="14" t="str">
        <f t="shared" si="17"/>
        <v/>
      </c>
      <c r="P79" s="14" t="str">
        <f t="shared" si="18"/>
        <v>Comment is required</v>
      </c>
      <c r="Q79" s="14" t="str">
        <f t="shared" si="19"/>
        <v>Blank</v>
      </c>
      <c r="R79" s="14" t="str">
        <f t="shared" si="20"/>
        <v>No Override</v>
      </c>
      <c r="S79" s="14">
        <f t="shared" si="21"/>
        <v>1</v>
      </c>
      <c r="T79" s="14" t="str">
        <f t="shared" si="22"/>
        <v/>
      </c>
    </row>
    <row r="80" spans="1:20" ht="22.8" x14ac:dyDescent="0.3">
      <c r="A80" s="224">
        <v>1</v>
      </c>
      <c r="C80" s="14">
        <f t="shared" si="14"/>
        <v>1</v>
      </c>
      <c r="D80" s="14" t="s">
        <v>436</v>
      </c>
      <c r="E80" s="58" t="s">
        <v>449</v>
      </c>
      <c r="F80" s="82" t="s">
        <v>447</v>
      </c>
      <c r="G80" s="176" t="s">
        <v>450</v>
      </c>
      <c r="H80" s="170" t="str">
        <f>'5. Configuration'!$H6</f>
        <v>Comment is required</v>
      </c>
      <c r="I80" s="14">
        <f>'5. Configuration'!$G6</f>
        <v>0</v>
      </c>
      <c r="J80" s="14" t="str">
        <f t="shared" si="15"/>
        <v>Blank</v>
      </c>
      <c r="K80" s="155" t="s">
        <v>1131</v>
      </c>
      <c r="L80" s="14" t="str">
        <f t="shared" si="13"/>
        <v>Blank</v>
      </c>
      <c r="N80" s="14" t="str">
        <f t="shared" si="16"/>
        <v/>
      </c>
      <c r="O80" s="14" t="str">
        <f t="shared" si="17"/>
        <v/>
      </c>
      <c r="P80" s="14" t="str">
        <f t="shared" si="18"/>
        <v>Comment is required</v>
      </c>
      <c r="Q80" s="14" t="str">
        <f t="shared" si="19"/>
        <v>Blank</v>
      </c>
      <c r="R80" s="14" t="str">
        <f t="shared" si="20"/>
        <v>No Override</v>
      </c>
      <c r="S80" s="14">
        <f t="shared" si="21"/>
        <v>1</v>
      </c>
      <c r="T80" s="14" t="str">
        <f t="shared" si="22"/>
        <v/>
      </c>
    </row>
    <row r="81" spans="1:20" x14ac:dyDescent="0.3">
      <c r="A81" s="224">
        <v>1</v>
      </c>
      <c r="C81" s="14">
        <f t="shared" si="14"/>
        <v>1</v>
      </c>
      <c r="D81" s="14" t="s">
        <v>436</v>
      </c>
      <c r="E81" s="58" t="s">
        <v>451</v>
      </c>
      <c r="F81" s="82" t="s">
        <v>447</v>
      </c>
      <c r="G81" s="176" t="s">
        <v>452</v>
      </c>
      <c r="H81" s="170" t="str">
        <f>'5. Configuration'!$H7</f>
        <v>Comment is required</v>
      </c>
      <c r="I81" s="14">
        <f>'5. Configuration'!$G7</f>
        <v>0</v>
      </c>
      <c r="J81" s="14" t="str">
        <f t="shared" si="15"/>
        <v>Blank</v>
      </c>
      <c r="K81" s="155" t="s">
        <v>1131</v>
      </c>
      <c r="L81" s="14" t="str">
        <f t="shared" si="13"/>
        <v>Blank</v>
      </c>
      <c r="N81" s="14" t="str">
        <f t="shared" si="16"/>
        <v/>
      </c>
      <c r="O81" s="14" t="str">
        <f t="shared" si="17"/>
        <v/>
      </c>
      <c r="P81" s="14" t="str">
        <f t="shared" si="18"/>
        <v>Comment is required</v>
      </c>
      <c r="Q81" s="14" t="str">
        <f t="shared" si="19"/>
        <v>Blank</v>
      </c>
      <c r="R81" s="14" t="str">
        <f t="shared" si="20"/>
        <v>No Override</v>
      </c>
      <c r="S81" s="14">
        <f t="shared" si="21"/>
        <v>1</v>
      </c>
      <c r="T81" s="14" t="str">
        <f t="shared" si="22"/>
        <v/>
      </c>
    </row>
    <row r="82" spans="1:20" x14ac:dyDescent="0.3">
      <c r="A82" s="224">
        <v>1</v>
      </c>
      <c r="C82" s="14">
        <f t="shared" si="14"/>
        <v>1</v>
      </c>
      <c r="D82" s="14" t="s">
        <v>436</v>
      </c>
      <c r="E82" s="58" t="s">
        <v>453</v>
      </c>
      <c r="F82" s="82" t="s">
        <v>447</v>
      </c>
      <c r="G82" s="176" t="s">
        <v>454</v>
      </c>
      <c r="H82" s="170" t="str">
        <f>'5. Configuration'!$H8</f>
        <v>Comment is required</v>
      </c>
      <c r="I82" s="14">
        <f>'5. Configuration'!$G8</f>
        <v>0</v>
      </c>
      <c r="J82" s="14" t="str">
        <f t="shared" si="15"/>
        <v>Blank</v>
      </c>
      <c r="K82" s="155" t="s">
        <v>1131</v>
      </c>
      <c r="L82" s="14" t="str">
        <f t="shared" si="13"/>
        <v>Blank</v>
      </c>
      <c r="N82" s="14" t="str">
        <f t="shared" si="16"/>
        <v/>
      </c>
      <c r="O82" s="14" t="str">
        <f t="shared" si="17"/>
        <v/>
      </c>
      <c r="P82" s="14" t="str">
        <f t="shared" si="18"/>
        <v>Comment is required</v>
      </c>
      <c r="Q82" s="14" t="str">
        <f t="shared" si="19"/>
        <v>Blank</v>
      </c>
      <c r="R82" s="14" t="str">
        <f t="shared" si="20"/>
        <v>No Override</v>
      </c>
      <c r="S82" s="14">
        <f t="shared" si="21"/>
        <v>1</v>
      </c>
      <c r="T82" s="14" t="str">
        <f t="shared" si="22"/>
        <v/>
      </c>
    </row>
    <row r="83" spans="1:20" x14ac:dyDescent="0.3">
      <c r="A83" s="224">
        <v>1</v>
      </c>
      <c r="C83" s="14">
        <f t="shared" si="14"/>
        <v>1</v>
      </c>
      <c r="D83" s="14" t="s">
        <v>436</v>
      </c>
      <c r="E83" s="58" t="s">
        <v>455</v>
      </c>
      <c r="F83" s="82" t="s">
        <v>447</v>
      </c>
      <c r="G83" s="176" t="s">
        <v>456</v>
      </c>
      <c r="H83" s="170" t="str">
        <f>'5. Configuration'!$H9</f>
        <v>Comment is required</v>
      </c>
      <c r="I83" s="14">
        <f>'5. Configuration'!$G9</f>
        <v>0</v>
      </c>
      <c r="J83" s="14" t="str">
        <f t="shared" si="15"/>
        <v>Blank</v>
      </c>
      <c r="K83" s="155" t="s">
        <v>1131</v>
      </c>
      <c r="L83" s="14" t="str">
        <f t="shared" si="13"/>
        <v>Blank</v>
      </c>
      <c r="N83" s="14" t="str">
        <f t="shared" si="16"/>
        <v/>
      </c>
      <c r="O83" s="14" t="str">
        <f t="shared" si="17"/>
        <v/>
      </c>
      <c r="P83" s="14" t="str">
        <f t="shared" si="18"/>
        <v>Comment is required</v>
      </c>
      <c r="Q83" s="14" t="str">
        <f t="shared" si="19"/>
        <v>Blank</v>
      </c>
      <c r="R83" s="14" t="str">
        <f t="shared" si="20"/>
        <v>No Override</v>
      </c>
      <c r="S83" s="14">
        <f t="shared" si="21"/>
        <v>1</v>
      </c>
      <c r="T83" s="14" t="str">
        <f t="shared" si="22"/>
        <v/>
      </c>
    </row>
    <row r="84" spans="1:20" x14ac:dyDescent="0.3">
      <c r="A84" s="224">
        <v>1</v>
      </c>
      <c r="C84" s="14">
        <f t="shared" si="14"/>
        <v>1</v>
      </c>
      <c r="D84" s="14" t="s">
        <v>436</v>
      </c>
      <c r="E84" s="58" t="s">
        <v>457</v>
      </c>
      <c r="F84" s="82" t="s">
        <v>447</v>
      </c>
      <c r="G84" s="176" t="s">
        <v>458</v>
      </c>
      <c r="H84" s="170" t="str">
        <f>'5. Configuration'!$H10</f>
        <v>Comment is required</v>
      </c>
      <c r="I84" s="14">
        <f>'5. Configuration'!$G10</f>
        <v>0</v>
      </c>
      <c r="J84" s="14" t="str">
        <f t="shared" si="15"/>
        <v>Blank</v>
      </c>
      <c r="K84" s="155" t="s">
        <v>1131</v>
      </c>
      <c r="L84" s="14" t="str">
        <f t="shared" si="13"/>
        <v>Blank</v>
      </c>
      <c r="N84" s="14" t="str">
        <f t="shared" si="16"/>
        <v/>
      </c>
      <c r="O84" s="14" t="str">
        <f t="shared" si="17"/>
        <v/>
      </c>
      <c r="P84" s="14" t="str">
        <f t="shared" si="18"/>
        <v>Comment is required</v>
      </c>
      <c r="Q84" s="14" t="str">
        <f t="shared" si="19"/>
        <v>Blank</v>
      </c>
      <c r="R84" s="14" t="str">
        <f t="shared" si="20"/>
        <v>No Override</v>
      </c>
      <c r="S84" s="14">
        <f t="shared" si="21"/>
        <v>1</v>
      </c>
      <c r="T84" s="14" t="str">
        <f t="shared" si="22"/>
        <v/>
      </c>
    </row>
    <row r="85" spans="1:20" ht="22.8" x14ac:dyDescent="0.3">
      <c r="A85" s="225">
        <v>3</v>
      </c>
      <c r="C85" s="14">
        <f t="shared" si="14"/>
        <v>3</v>
      </c>
      <c r="D85" s="14" t="s">
        <v>436</v>
      </c>
      <c r="E85" s="58" t="s">
        <v>459</v>
      </c>
      <c r="F85" s="82" t="s">
        <v>461</v>
      </c>
      <c r="G85" s="176" t="s">
        <v>462</v>
      </c>
      <c r="H85" s="170" t="str">
        <f>'5. Configuration'!$H11</f>
        <v>Comment is required</v>
      </c>
      <c r="I85" s="14">
        <f>'5. Configuration'!$G11</f>
        <v>0</v>
      </c>
      <c r="J85" s="14" t="str">
        <f t="shared" si="15"/>
        <v>Blank</v>
      </c>
      <c r="K85" s="155" t="s">
        <v>1131</v>
      </c>
      <c r="L85" s="14" t="str">
        <f t="shared" si="13"/>
        <v>Blank</v>
      </c>
      <c r="N85" s="14" t="str">
        <f t="shared" si="16"/>
        <v/>
      </c>
      <c r="O85" s="14" t="str">
        <f t="shared" si="17"/>
        <v/>
      </c>
      <c r="P85" s="14" t="str">
        <f t="shared" si="18"/>
        <v>Comment is required</v>
      </c>
      <c r="Q85" s="14" t="str">
        <f t="shared" si="19"/>
        <v>Blank</v>
      </c>
      <c r="R85" s="14" t="str">
        <f t="shared" si="20"/>
        <v>No Override</v>
      </c>
      <c r="S85" s="14">
        <f t="shared" si="21"/>
        <v>3</v>
      </c>
      <c r="T85" s="14" t="str">
        <f t="shared" si="22"/>
        <v/>
      </c>
    </row>
    <row r="86" spans="1:20" ht="22.8" x14ac:dyDescent="0.3">
      <c r="A86" s="224">
        <v>1</v>
      </c>
      <c r="C86" s="14">
        <f t="shared" si="14"/>
        <v>1</v>
      </c>
      <c r="D86" s="14" t="s">
        <v>436</v>
      </c>
      <c r="E86" s="58" t="s">
        <v>463</v>
      </c>
      <c r="F86" s="82" t="s">
        <v>465</v>
      </c>
      <c r="G86" s="176" t="s">
        <v>466</v>
      </c>
      <c r="H86" s="170" t="str">
        <f>'5. Configuration'!$H12</f>
        <v>Comment is required</v>
      </c>
      <c r="I86" s="14">
        <f>'5. Configuration'!$G12</f>
        <v>0</v>
      </c>
      <c r="J86" s="14" t="str">
        <f t="shared" si="15"/>
        <v>Blank</v>
      </c>
      <c r="K86" s="155" t="s">
        <v>1131</v>
      </c>
      <c r="L86" s="14" t="str">
        <f t="shared" si="13"/>
        <v>Blank</v>
      </c>
      <c r="N86" s="14" t="str">
        <f t="shared" si="16"/>
        <v/>
      </c>
      <c r="O86" s="14" t="str">
        <f t="shared" si="17"/>
        <v/>
      </c>
      <c r="P86" s="14" t="str">
        <f t="shared" si="18"/>
        <v>Comment is required</v>
      </c>
      <c r="Q86" s="14" t="str">
        <f t="shared" si="19"/>
        <v>Blank</v>
      </c>
      <c r="R86" s="14" t="str">
        <f t="shared" si="20"/>
        <v>No Override</v>
      </c>
      <c r="S86" s="14">
        <f t="shared" si="21"/>
        <v>1</v>
      </c>
      <c r="T86" s="14" t="str">
        <f t="shared" si="22"/>
        <v/>
      </c>
    </row>
    <row r="87" spans="1:20" ht="22.8" x14ac:dyDescent="0.3">
      <c r="A87" s="224">
        <v>1</v>
      </c>
      <c r="C87" s="14">
        <f t="shared" si="14"/>
        <v>1</v>
      </c>
      <c r="D87" s="14" t="s">
        <v>436</v>
      </c>
      <c r="E87" s="58" t="s">
        <v>467</v>
      </c>
      <c r="F87" s="82" t="s">
        <v>469</v>
      </c>
      <c r="G87" s="176" t="s">
        <v>470</v>
      </c>
      <c r="H87" s="170" t="str">
        <f>'5. Configuration'!$H13</f>
        <v>Comment is required</v>
      </c>
      <c r="I87" s="14">
        <f>'5. Configuration'!$G13</f>
        <v>0</v>
      </c>
      <c r="J87" s="14" t="str">
        <f t="shared" si="15"/>
        <v>Blank</v>
      </c>
      <c r="K87" s="155" t="s">
        <v>1131</v>
      </c>
      <c r="L87" s="14" t="str">
        <f t="shared" si="13"/>
        <v>Blank</v>
      </c>
      <c r="N87" s="14" t="str">
        <f t="shared" si="16"/>
        <v/>
      </c>
      <c r="O87" s="14" t="str">
        <f t="shared" si="17"/>
        <v/>
      </c>
      <c r="P87" s="14" t="str">
        <f t="shared" si="18"/>
        <v>Comment is required</v>
      </c>
      <c r="Q87" s="14" t="str">
        <f t="shared" si="19"/>
        <v>Blank</v>
      </c>
      <c r="R87" s="14" t="str">
        <f t="shared" si="20"/>
        <v>No Override</v>
      </c>
      <c r="S87" s="14">
        <f t="shared" si="21"/>
        <v>1</v>
      </c>
      <c r="T87" s="14" t="str">
        <f t="shared" si="22"/>
        <v/>
      </c>
    </row>
    <row r="88" spans="1:20" x14ac:dyDescent="0.3">
      <c r="A88" s="224">
        <v>1</v>
      </c>
      <c r="C88" s="14">
        <f t="shared" si="14"/>
        <v>1</v>
      </c>
      <c r="D88" s="14" t="s">
        <v>436</v>
      </c>
      <c r="E88" s="58" t="s">
        <v>471</v>
      </c>
      <c r="F88" s="82" t="s">
        <v>469</v>
      </c>
      <c r="G88" s="176" t="s">
        <v>472</v>
      </c>
      <c r="H88" s="170" t="str">
        <f>'5. Configuration'!$H14</f>
        <v>Comment is required</v>
      </c>
      <c r="I88" s="14">
        <f>'5. Configuration'!$G14</f>
        <v>0</v>
      </c>
      <c r="J88" s="14" t="str">
        <f t="shared" si="15"/>
        <v>Blank</v>
      </c>
      <c r="K88" s="155" t="s">
        <v>1131</v>
      </c>
      <c r="L88" s="14" t="str">
        <f t="shared" si="13"/>
        <v>Blank</v>
      </c>
      <c r="N88" s="14" t="str">
        <f t="shared" si="16"/>
        <v/>
      </c>
      <c r="O88" s="14" t="str">
        <f t="shared" si="17"/>
        <v/>
      </c>
      <c r="P88" s="14" t="str">
        <f t="shared" si="18"/>
        <v>Comment is required</v>
      </c>
      <c r="Q88" s="14" t="str">
        <f t="shared" si="19"/>
        <v>Blank</v>
      </c>
      <c r="R88" s="14" t="str">
        <f t="shared" si="20"/>
        <v>No Override</v>
      </c>
      <c r="S88" s="14">
        <f t="shared" si="21"/>
        <v>1</v>
      </c>
      <c r="T88" s="14" t="str">
        <f t="shared" si="22"/>
        <v/>
      </c>
    </row>
    <row r="89" spans="1:20" x14ac:dyDescent="0.3">
      <c r="A89" s="224">
        <v>1</v>
      </c>
      <c r="C89" s="14">
        <f t="shared" si="14"/>
        <v>1</v>
      </c>
      <c r="D89" s="14" t="s">
        <v>436</v>
      </c>
      <c r="E89" s="58" t="s">
        <v>473</v>
      </c>
      <c r="F89" s="82" t="s">
        <v>469</v>
      </c>
      <c r="G89" s="177" t="s">
        <v>474</v>
      </c>
      <c r="H89" s="170" t="str">
        <f>'5. Configuration'!$H15</f>
        <v>Comment is required</v>
      </c>
      <c r="I89" s="14">
        <f>'5. Configuration'!$G15</f>
        <v>0</v>
      </c>
      <c r="J89" s="14" t="str">
        <f t="shared" si="15"/>
        <v>Blank</v>
      </c>
      <c r="K89" s="155" t="s">
        <v>1131</v>
      </c>
      <c r="L89" s="14" t="str">
        <f t="shared" si="13"/>
        <v>Blank</v>
      </c>
      <c r="N89" s="14" t="str">
        <f t="shared" si="16"/>
        <v/>
      </c>
      <c r="O89" s="14" t="str">
        <f t="shared" si="17"/>
        <v/>
      </c>
      <c r="P89" s="14" t="str">
        <f t="shared" si="18"/>
        <v>Comment is required</v>
      </c>
      <c r="Q89" s="14" t="str">
        <f t="shared" si="19"/>
        <v>Blank</v>
      </c>
      <c r="R89" s="14" t="str">
        <f t="shared" si="20"/>
        <v>No Override</v>
      </c>
      <c r="S89" s="14">
        <f t="shared" si="21"/>
        <v>1</v>
      </c>
      <c r="T89" s="14" t="str">
        <f t="shared" si="22"/>
        <v/>
      </c>
    </row>
    <row r="90" spans="1:20" ht="22.8" x14ac:dyDescent="0.3">
      <c r="A90" s="224">
        <v>1</v>
      </c>
      <c r="C90" s="14">
        <f t="shared" si="14"/>
        <v>1</v>
      </c>
      <c r="D90" s="14" t="s">
        <v>436</v>
      </c>
      <c r="E90" s="58" t="s">
        <v>475</v>
      </c>
      <c r="F90" s="82" t="s">
        <v>477</v>
      </c>
      <c r="G90" s="177" t="s">
        <v>478</v>
      </c>
      <c r="H90" s="170" t="str">
        <f>'5. Configuration'!$H16</f>
        <v>Comment is required</v>
      </c>
      <c r="I90" s="14">
        <f>'5. Configuration'!$G16</f>
        <v>0</v>
      </c>
      <c r="J90" s="14" t="str">
        <f t="shared" si="15"/>
        <v>Blank</v>
      </c>
      <c r="K90" s="155" t="s">
        <v>1131</v>
      </c>
      <c r="L90" s="14" t="str">
        <f t="shared" si="13"/>
        <v>Blank</v>
      </c>
      <c r="N90" s="14" t="str">
        <f t="shared" si="16"/>
        <v/>
      </c>
      <c r="O90" s="14" t="str">
        <f t="shared" si="17"/>
        <v/>
      </c>
      <c r="P90" s="14" t="str">
        <f t="shared" si="18"/>
        <v>Comment is required</v>
      </c>
      <c r="Q90" s="14" t="str">
        <f t="shared" si="19"/>
        <v>Blank</v>
      </c>
      <c r="R90" s="14" t="str">
        <f t="shared" si="20"/>
        <v>No Override</v>
      </c>
      <c r="S90" s="14">
        <f t="shared" si="21"/>
        <v>1</v>
      </c>
      <c r="T90" s="14" t="str">
        <f t="shared" si="22"/>
        <v/>
      </c>
    </row>
    <row r="91" spans="1:20" x14ac:dyDescent="0.3">
      <c r="A91" s="224">
        <v>1</v>
      </c>
      <c r="C91" s="14">
        <f t="shared" si="14"/>
        <v>1</v>
      </c>
      <c r="D91" s="14" t="s">
        <v>436</v>
      </c>
      <c r="E91" s="58" t="s">
        <v>479</v>
      </c>
      <c r="F91" s="82" t="s">
        <v>482</v>
      </c>
      <c r="G91" s="176" t="s">
        <v>483</v>
      </c>
      <c r="H91" s="170" t="str">
        <f>'5. Configuration'!$H17</f>
        <v>Comment is required</v>
      </c>
      <c r="I91" s="14">
        <f>'5. Configuration'!$G17</f>
        <v>0</v>
      </c>
      <c r="J91" s="14" t="str">
        <f t="shared" si="15"/>
        <v>Blank</v>
      </c>
      <c r="K91" s="155" t="s">
        <v>1131</v>
      </c>
      <c r="L91" s="14" t="str">
        <f t="shared" si="13"/>
        <v>Blank</v>
      </c>
      <c r="N91" s="14" t="str">
        <f t="shared" si="16"/>
        <v/>
      </c>
      <c r="O91" s="14" t="str">
        <f t="shared" si="17"/>
        <v/>
      </c>
      <c r="P91" s="14" t="str">
        <f t="shared" si="18"/>
        <v>Comment is required</v>
      </c>
      <c r="Q91" s="14" t="str">
        <f t="shared" si="19"/>
        <v>Blank</v>
      </c>
      <c r="R91" s="14" t="str">
        <f t="shared" si="20"/>
        <v>No Override</v>
      </c>
      <c r="S91" s="14">
        <f t="shared" si="21"/>
        <v>1</v>
      </c>
      <c r="T91" s="14" t="str">
        <f t="shared" si="22"/>
        <v/>
      </c>
    </row>
    <row r="92" spans="1:20" x14ac:dyDescent="0.3">
      <c r="A92" s="224">
        <v>1</v>
      </c>
      <c r="C92" s="14">
        <f t="shared" si="14"/>
        <v>1</v>
      </c>
      <c r="D92" s="14" t="s">
        <v>436</v>
      </c>
      <c r="E92" s="58" t="s">
        <v>484</v>
      </c>
      <c r="F92" s="82" t="s">
        <v>482</v>
      </c>
      <c r="G92" s="176" t="s">
        <v>485</v>
      </c>
      <c r="H92" s="170" t="str">
        <f>'5. Configuration'!$H18</f>
        <v>Comment is required</v>
      </c>
      <c r="I92" s="14">
        <f>'5. Configuration'!$G18</f>
        <v>0</v>
      </c>
      <c r="J92" s="14" t="str">
        <f t="shared" si="15"/>
        <v>Blank</v>
      </c>
      <c r="K92" s="155" t="s">
        <v>1131</v>
      </c>
      <c r="L92" s="14" t="str">
        <f t="shared" si="13"/>
        <v>Blank</v>
      </c>
      <c r="N92" s="14" t="str">
        <f t="shared" si="16"/>
        <v/>
      </c>
      <c r="O92" s="14" t="str">
        <f t="shared" si="17"/>
        <v/>
      </c>
      <c r="P92" s="14" t="str">
        <f t="shared" si="18"/>
        <v>Comment is required</v>
      </c>
      <c r="Q92" s="14" t="str">
        <f t="shared" si="19"/>
        <v>Blank</v>
      </c>
      <c r="R92" s="14" t="str">
        <f t="shared" si="20"/>
        <v>No Override</v>
      </c>
      <c r="S92" s="14">
        <f t="shared" si="21"/>
        <v>1</v>
      </c>
      <c r="T92" s="14" t="str">
        <f t="shared" si="22"/>
        <v/>
      </c>
    </row>
    <row r="93" spans="1:20" ht="22.8" x14ac:dyDescent="0.3">
      <c r="A93" s="224">
        <v>1</v>
      </c>
      <c r="C93" s="14">
        <f t="shared" si="14"/>
        <v>1</v>
      </c>
      <c r="D93" s="14" t="s">
        <v>436</v>
      </c>
      <c r="E93" s="58" t="s">
        <v>486</v>
      </c>
      <c r="F93" s="82" t="s">
        <v>488</v>
      </c>
      <c r="G93" s="177" t="s">
        <v>489</v>
      </c>
      <c r="H93" s="170" t="str">
        <f>'5. Configuration'!$H19</f>
        <v>Comment is required</v>
      </c>
      <c r="I93" s="14">
        <f>'5. Configuration'!$G19</f>
        <v>0</v>
      </c>
      <c r="J93" s="14" t="str">
        <f t="shared" si="15"/>
        <v>Blank</v>
      </c>
      <c r="K93" s="155" t="s">
        <v>1131</v>
      </c>
      <c r="L93" s="14" t="str">
        <f t="shared" si="13"/>
        <v>Blank</v>
      </c>
      <c r="N93" s="14" t="str">
        <f t="shared" si="16"/>
        <v/>
      </c>
      <c r="O93" s="14" t="str">
        <f t="shared" si="17"/>
        <v/>
      </c>
      <c r="P93" s="14" t="str">
        <f t="shared" si="18"/>
        <v>Comment is required</v>
      </c>
      <c r="Q93" s="14" t="str">
        <f t="shared" si="19"/>
        <v>Blank</v>
      </c>
      <c r="R93" s="14" t="str">
        <f t="shared" si="20"/>
        <v>No Override</v>
      </c>
      <c r="S93" s="14">
        <f t="shared" si="21"/>
        <v>1</v>
      </c>
      <c r="T93" s="14" t="str">
        <f t="shared" si="22"/>
        <v/>
      </c>
    </row>
    <row r="94" spans="1:20" ht="22.8" x14ac:dyDescent="0.3">
      <c r="A94" s="224">
        <v>1</v>
      </c>
      <c r="C94" s="14">
        <f t="shared" si="14"/>
        <v>1</v>
      </c>
      <c r="D94" s="14" t="s">
        <v>436</v>
      </c>
      <c r="E94" s="58" t="s">
        <v>490</v>
      </c>
      <c r="F94" s="82" t="s">
        <v>488</v>
      </c>
      <c r="G94" s="177" t="s">
        <v>491</v>
      </c>
      <c r="H94" s="170" t="str">
        <f>'5. Configuration'!$H20</f>
        <v>Comment is required</v>
      </c>
      <c r="I94" s="14">
        <f>'5. Configuration'!$G20</f>
        <v>0</v>
      </c>
      <c r="J94" s="14" t="str">
        <f t="shared" si="15"/>
        <v>Blank</v>
      </c>
      <c r="K94" s="155" t="s">
        <v>1131</v>
      </c>
      <c r="L94" s="14" t="str">
        <f t="shared" si="13"/>
        <v>Blank</v>
      </c>
      <c r="N94" s="14" t="str">
        <f t="shared" si="16"/>
        <v/>
      </c>
      <c r="O94" s="14" t="str">
        <f t="shared" si="17"/>
        <v/>
      </c>
      <c r="P94" s="14" t="str">
        <f t="shared" si="18"/>
        <v>Comment is required</v>
      </c>
      <c r="Q94" s="14" t="str">
        <f t="shared" si="19"/>
        <v>Blank</v>
      </c>
      <c r="R94" s="14" t="str">
        <f t="shared" si="20"/>
        <v>No Override</v>
      </c>
      <c r="S94" s="14">
        <f t="shared" si="21"/>
        <v>1</v>
      </c>
      <c r="T94" s="14" t="str">
        <f t="shared" si="22"/>
        <v/>
      </c>
    </row>
    <row r="95" spans="1:20" x14ac:dyDescent="0.3">
      <c r="A95" s="224">
        <v>1</v>
      </c>
      <c r="C95" s="14">
        <f t="shared" si="14"/>
        <v>1</v>
      </c>
      <c r="D95" s="14" t="s">
        <v>436</v>
      </c>
      <c r="E95" s="58" t="s">
        <v>492</v>
      </c>
      <c r="F95" s="82" t="s">
        <v>488</v>
      </c>
      <c r="G95" s="177" t="s">
        <v>493</v>
      </c>
      <c r="H95" s="170" t="str">
        <f>'5. Configuration'!$H21</f>
        <v>Comment is required</v>
      </c>
      <c r="I95" s="14">
        <f>'5. Configuration'!$G21</f>
        <v>0</v>
      </c>
      <c r="J95" s="14" t="str">
        <f t="shared" si="15"/>
        <v>Blank</v>
      </c>
      <c r="K95" s="155" t="s">
        <v>1131</v>
      </c>
      <c r="L95" s="14" t="str">
        <f t="shared" si="13"/>
        <v>Blank</v>
      </c>
      <c r="N95" s="14" t="str">
        <f t="shared" si="16"/>
        <v/>
      </c>
      <c r="O95" s="14" t="str">
        <f t="shared" si="17"/>
        <v/>
      </c>
      <c r="P95" s="14" t="str">
        <f t="shared" si="18"/>
        <v>Comment is required</v>
      </c>
      <c r="Q95" s="14" t="str">
        <f t="shared" si="19"/>
        <v>Blank</v>
      </c>
      <c r="R95" s="14" t="str">
        <f t="shared" si="20"/>
        <v>No Override</v>
      </c>
      <c r="S95" s="14">
        <f t="shared" si="21"/>
        <v>1</v>
      </c>
      <c r="T95" s="14" t="str">
        <f t="shared" si="22"/>
        <v/>
      </c>
    </row>
    <row r="96" spans="1:20" x14ac:dyDescent="0.3">
      <c r="A96" s="224">
        <v>1</v>
      </c>
      <c r="C96" s="14">
        <f t="shared" si="14"/>
        <v>1</v>
      </c>
      <c r="D96" s="14" t="s">
        <v>436</v>
      </c>
      <c r="E96" s="58" t="s">
        <v>494</v>
      </c>
      <c r="F96" s="82" t="s">
        <v>488</v>
      </c>
      <c r="G96" s="177" t="s">
        <v>495</v>
      </c>
      <c r="H96" s="170" t="str">
        <f>'5. Configuration'!$H22</f>
        <v>Comment is required</v>
      </c>
      <c r="I96" s="14">
        <f>'5. Configuration'!$G22</f>
        <v>0</v>
      </c>
      <c r="J96" s="14" t="str">
        <f t="shared" si="15"/>
        <v>Blank</v>
      </c>
      <c r="K96" s="155" t="s">
        <v>1131</v>
      </c>
      <c r="L96" s="14" t="str">
        <f t="shared" si="13"/>
        <v>Blank</v>
      </c>
      <c r="N96" s="14" t="str">
        <f t="shared" si="16"/>
        <v/>
      </c>
      <c r="O96" s="14" t="str">
        <f t="shared" si="17"/>
        <v/>
      </c>
      <c r="P96" s="14" t="str">
        <f t="shared" si="18"/>
        <v>Comment is required</v>
      </c>
      <c r="Q96" s="14" t="str">
        <f t="shared" si="19"/>
        <v>Blank</v>
      </c>
      <c r="R96" s="14" t="str">
        <f t="shared" si="20"/>
        <v>No Override</v>
      </c>
      <c r="S96" s="14">
        <f t="shared" si="21"/>
        <v>1</v>
      </c>
      <c r="T96" s="14" t="str">
        <f t="shared" si="22"/>
        <v/>
      </c>
    </row>
    <row r="97" spans="1:20" x14ac:dyDescent="0.3">
      <c r="A97" s="224">
        <v>1</v>
      </c>
      <c r="C97" s="14">
        <f t="shared" si="14"/>
        <v>1</v>
      </c>
      <c r="D97" s="14" t="s">
        <v>436</v>
      </c>
      <c r="E97" s="58" t="s">
        <v>496</v>
      </c>
      <c r="F97" s="82" t="s">
        <v>498</v>
      </c>
      <c r="G97" s="170" t="s">
        <v>499</v>
      </c>
      <c r="H97" s="170" t="str">
        <f>'5. Configuration'!$H23</f>
        <v>Comment is required</v>
      </c>
      <c r="I97" s="14">
        <f>'5. Configuration'!$G23</f>
        <v>0</v>
      </c>
      <c r="J97" s="14" t="str">
        <f t="shared" si="15"/>
        <v>Blank</v>
      </c>
      <c r="K97" s="155" t="s">
        <v>1131</v>
      </c>
      <c r="L97" s="14" t="str">
        <f t="shared" si="13"/>
        <v>Blank</v>
      </c>
      <c r="N97" s="14" t="str">
        <f t="shared" si="16"/>
        <v/>
      </c>
      <c r="O97" s="14" t="str">
        <f t="shared" si="17"/>
        <v/>
      </c>
      <c r="P97" s="14" t="str">
        <f t="shared" si="18"/>
        <v>Comment is required</v>
      </c>
      <c r="Q97" s="14" t="str">
        <f t="shared" si="19"/>
        <v>Blank</v>
      </c>
      <c r="R97" s="14" t="str">
        <f t="shared" si="20"/>
        <v>No Override</v>
      </c>
      <c r="S97" s="14">
        <f t="shared" si="21"/>
        <v>1</v>
      </c>
      <c r="T97" s="14" t="str">
        <f t="shared" si="22"/>
        <v/>
      </c>
    </row>
    <row r="98" spans="1:20" x14ac:dyDescent="0.3">
      <c r="A98" s="224">
        <v>1</v>
      </c>
      <c r="C98" s="14">
        <f t="shared" si="14"/>
        <v>1</v>
      </c>
      <c r="D98" s="14" t="s">
        <v>436</v>
      </c>
      <c r="E98" s="58" t="s">
        <v>500</v>
      </c>
      <c r="F98" s="82" t="s">
        <v>502</v>
      </c>
      <c r="G98" s="170" t="s">
        <v>503</v>
      </c>
      <c r="H98" s="170" t="str">
        <f>'5. Configuration'!$H24</f>
        <v>Comment is required</v>
      </c>
      <c r="I98" s="14">
        <f>'5. Configuration'!$G24</f>
        <v>0</v>
      </c>
      <c r="J98" s="14" t="str">
        <f t="shared" si="15"/>
        <v>Blank</v>
      </c>
      <c r="K98" s="155" t="s">
        <v>1131</v>
      </c>
      <c r="L98" s="14" t="str">
        <f t="shared" si="13"/>
        <v>Blank</v>
      </c>
      <c r="N98" s="14" t="str">
        <f t="shared" si="16"/>
        <v/>
      </c>
      <c r="O98" s="14" t="str">
        <f t="shared" si="17"/>
        <v/>
      </c>
      <c r="P98" s="14" t="str">
        <f t="shared" si="18"/>
        <v>Comment is required</v>
      </c>
      <c r="Q98" s="14" t="str">
        <f t="shared" si="19"/>
        <v>Blank</v>
      </c>
      <c r="R98" s="14" t="str">
        <f t="shared" si="20"/>
        <v>No Override</v>
      </c>
      <c r="S98" s="14">
        <f t="shared" si="21"/>
        <v>1</v>
      </c>
      <c r="T98" s="14" t="str">
        <f t="shared" si="22"/>
        <v/>
      </c>
    </row>
    <row r="99" spans="1:20" s="14" customFormat="1" x14ac:dyDescent="0.3">
      <c r="A99" s="224">
        <v>1</v>
      </c>
      <c r="C99" s="14">
        <f t="shared" si="14"/>
        <v>1</v>
      </c>
      <c r="D99" s="14" t="s">
        <v>436</v>
      </c>
      <c r="E99" s="58" t="s">
        <v>1294</v>
      </c>
      <c r="F99" s="58" t="s">
        <v>1295</v>
      </c>
      <c r="G99" s="177" t="s">
        <v>1296</v>
      </c>
      <c r="H99" s="170" t="str">
        <f>'5. Configuration'!$H25</f>
        <v>Comment is required</v>
      </c>
      <c r="I99" s="14">
        <f>'5. Configuration'!$G25</f>
        <v>0</v>
      </c>
      <c r="J99" s="14" t="str">
        <f t="shared" si="15"/>
        <v>Blank</v>
      </c>
      <c r="K99" s="155" t="s">
        <v>1131</v>
      </c>
      <c r="L99" s="14" t="str">
        <f t="shared" si="13"/>
        <v>Blank</v>
      </c>
      <c r="N99" s="14" t="str">
        <f t="shared" si="16"/>
        <v/>
      </c>
      <c r="O99" s="14" t="str">
        <f t="shared" si="17"/>
        <v/>
      </c>
      <c r="P99" s="14" t="str">
        <f t="shared" si="18"/>
        <v>Comment is required</v>
      </c>
      <c r="Q99" s="14" t="str">
        <f t="shared" si="19"/>
        <v>Blank</v>
      </c>
      <c r="R99" s="14" t="str">
        <f t="shared" si="20"/>
        <v>No Override</v>
      </c>
      <c r="S99" s="14">
        <f t="shared" si="21"/>
        <v>1</v>
      </c>
    </row>
    <row r="100" spans="1:20" s="14" customFormat="1" x14ac:dyDescent="0.3">
      <c r="A100" s="224">
        <v>3</v>
      </c>
      <c r="C100" s="14">
        <f t="shared" si="14"/>
        <v>3</v>
      </c>
      <c r="D100" s="14" t="s">
        <v>436</v>
      </c>
      <c r="E100" s="58" t="s">
        <v>1297</v>
      </c>
      <c r="F100" s="58" t="s">
        <v>1298</v>
      </c>
      <c r="G100" s="177" t="s">
        <v>1299</v>
      </c>
      <c r="H100" s="170" t="str">
        <f>'5. Configuration'!$H26</f>
        <v>Comment is required</v>
      </c>
      <c r="I100" s="14">
        <f>'5. Configuration'!$G26</f>
        <v>0</v>
      </c>
      <c r="J100" s="14" t="str">
        <f t="shared" si="15"/>
        <v>Blank</v>
      </c>
      <c r="K100" s="155" t="s">
        <v>1131</v>
      </c>
      <c r="L100" s="14" t="str">
        <f t="shared" si="13"/>
        <v>Blank</v>
      </c>
      <c r="N100" s="14" t="str">
        <f t="shared" si="16"/>
        <v/>
      </c>
      <c r="O100" s="14" t="str">
        <f t="shared" si="17"/>
        <v/>
      </c>
      <c r="P100" s="14" t="str">
        <f t="shared" si="18"/>
        <v>Comment is required</v>
      </c>
      <c r="Q100" s="14" t="str">
        <f t="shared" si="19"/>
        <v>Blank</v>
      </c>
      <c r="R100" s="14" t="str">
        <f t="shared" si="20"/>
        <v>No Override</v>
      </c>
      <c r="S100" s="14">
        <f t="shared" si="21"/>
        <v>3</v>
      </c>
    </row>
    <row r="101" spans="1:20" s="14" customFormat="1" ht="22.8" x14ac:dyDescent="0.3">
      <c r="A101" s="224">
        <v>4</v>
      </c>
      <c r="C101" s="14">
        <f t="shared" si="14"/>
        <v>4</v>
      </c>
      <c r="D101" s="14" t="s">
        <v>436</v>
      </c>
      <c r="E101" s="58" t="s">
        <v>1300</v>
      </c>
      <c r="F101" s="58" t="s">
        <v>1301</v>
      </c>
      <c r="G101" s="177" t="s">
        <v>1302</v>
      </c>
      <c r="H101" s="170" t="str">
        <f>'5. Configuration'!$H27</f>
        <v>Comment is required</v>
      </c>
      <c r="I101" s="14">
        <f>'5. Configuration'!$G27</f>
        <v>0</v>
      </c>
      <c r="J101" s="14" t="str">
        <f t="shared" si="15"/>
        <v>Blank</v>
      </c>
      <c r="K101" s="155" t="s">
        <v>1131</v>
      </c>
      <c r="L101" s="14" t="str">
        <f t="shared" si="13"/>
        <v>Blank</v>
      </c>
      <c r="N101" s="14" t="str">
        <f t="shared" si="16"/>
        <v/>
      </c>
      <c r="O101" s="14" t="str">
        <f t="shared" si="17"/>
        <v/>
      </c>
      <c r="P101" s="14" t="str">
        <f t="shared" si="18"/>
        <v>Comment is required</v>
      </c>
      <c r="Q101" s="14" t="str">
        <f t="shared" si="19"/>
        <v>Blank</v>
      </c>
      <c r="R101" s="14" t="str">
        <f t="shared" si="20"/>
        <v>No Override</v>
      </c>
      <c r="S101" s="14">
        <f t="shared" si="21"/>
        <v>4</v>
      </c>
    </row>
    <row r="102" spans="1:20" s="14" customFormat="1" ht="22.8" x14ac:dyDescent="0.3">
      <c r="A102" s="224">
        <v>2</v>
      </c>
      <c r="C102" s="14">
        <f t="shared" si="14"/>
        <v>2</v>
      </c>
      <c r="D102" s="14" t="s">
        <v>436</v>
      </c>
      <c r="E102" s="58" t="s">
        <v>1361</v>
      </c>
      <c r="F102" s="171" t="s">
        <v>1360</v>
      </c>
      <c r="G102" s="177" t="s">
        <v>1366</v>
      </c>
      <c r="H102" s="170" t="str">
        <f>'5. Configuration'!$H28</f>
        <v>Comment is required</v>
      </c>
      <c r="I102" s="14">
        <f>'5. Configuration'!$G28</f>
        <v>0</v>
      </c>
      <c r="J102" s="14" t="str">
        <f t="shared" si="15"/>
        <v>Blank</v>
      </c>
      <c r="K102" s="155" t="s">
        <v>1131</v>
      </c>
      <c r="L102" s="14" t="str">
        <f>IF($K102="No Override",$J102,$K102)</f>
        <v>Blank</v>
      </c>
      <c r="N102" s="14" t="str">
        <f t="shared" si="16"/>
        <v/>
      </c>
      <c r="O102" s="14" t="str">
        <f t="shared" si="17"/>
        <v/>
      </c>
      <c r="P102" s="14" t="str">
        <f t="shared" si="18"/>
        <v>Comment is required</v>
      </c>
      <c r="Q102" s="14" t="str">
        <f t="shared" si="19"/>
        <v>Blank</v>
      </c>
      <c r="R102" s="14" t="str">
        <f t="shared" si="20"/>
        <v>No Override</v>
      </c>
      <c r="S102" s="14">
        <f t="shared" si="21"/>
        <v>2</v>
      </c>
    </row>
    <row r="103" spans="1:20" s="14" customFormat="1" x14ac:dyDescent="0.3">
      <c r="A103" s="224">
        <v>2</v>
      </c>
      <c r="C103" s="14">
        <f t="shared" si="14"/>
        <v>2</v>
      </c>
      <c r="D103" s="14" t="s">
        <v>436</v>
      </c>
      <c r="E103" s="58" t="s">
        <v>1362</v>
      </c>
      <c r="F103" s="171" t="s">
        <v>1360</v>
      </c>
      <c r="G103" s="177" t="s">
        <v>1367</v>
      </c>
      <c r="H103" s="170" t="str">
        <f>'5. Configuration'!$H29</f>
        <v>Comment is required</v>
      </c>
      <c r="I103" s="14">
        <f>'5. Configuration'!$G29</f>
        <v>0</v>
      </c>
      <c r="J103" s="14" t="str">
        <f t="shared" si="15"/>
        <v>Blank</v>
      </c>
      <c r="K103" s="155" t="s">
        <v>1131</v>
      </c>
      <c r="L103" s="14" t="str">
        <f t="shared" ref="L103" si="23">IF($K103="No Override",$J103,$K103)</f>
        <v>Blank</v>
      </c>
      <c r="N103" s="14" t="str">
        <f t="shared" si="16"/>
        <v/>
      </c>
      <c r="O103" s="14" t="str">
        <f t="shared" si="17"/>
        <v/>
      </c>
      <c r="P103" s="14" t="str">
        <f t="shared" si="18"/>
        <v>Comment is required</v>
      </c>
      <c r="Q103" s="14" t="str">
        <f t="shared" si="19"/>
        <v>Blank</v>
      </c>
      <c r="R103" s="14" t="str">
        <f t="shared" si="20"/>
        <v>No Override</v>
      </c>
      <c r="S103" s="14">
        <f t="shared" si="21"/>
        <v>2</v>
      </c>
    </row>
    <row r="104" spans="1:20" x14ac:dyDescent="0.3">
      <c r="A104" s="224">
        <v>4</v>
      </c>
      <c r="C104" s="14">
        <f t="shared" si="14"/>
        <v>4</v>
      </c>
      <c r="D104" t="s">
        <v>504</v>
      </c>
      <c r="E104" s="58" t="s">
        <v>505</v>
      </c>
      <c r="F104" s="85" t="s">
        <v>508</v>
      </c>
      <c r="G104" s="173" t="s">
        <v>509</v>
      </c>
      <c r="H104" s="175" t="str">
        <f>'6. Contingency Planning'!$H3</f>
        <v>Comment is required</v>
      </c>
      <c r="I104">
        <f>'6. Contingency Planning'!$G3</f>
        <v>0</v>
      </c>
      <c r="J104" s="14" t="str">
        <f t="shared" si="15"/>
        <v>Blank</v>
      </c>
      <c r="K104" s="155" t="s">
        <v>1131</v>
      </c>
      <c r="L104" s="14" t="str">
        <f t="shared" si="13"/>
        <v>Blank</v>
      </c>
      <c r="N104" s="14" t="str">
        <f t="shared" si="16"/>
        <v/>
      </c>
      <c r="O104" s="14" t="str">
        <f t="shared" si="17"/>
        <v/>
      </c>
      <c r="P104" s="14" t="str">
        <f t="shared" si="18"/>
        <v>Comment is required</v>
      </c>
      <c r="Q104" s="14" t="str">
        <f t="shared" si="19"/>
        <v>Blank</v>
      </c>
      <c r="R104" s="14" t="str">
        <f t="shared" si="20"/>
        <v>No Override</v>
      </c>
      <c r="S104" s="14">
        <f t="shared" si="21"/>
        <v>4</v>
      </c>
      <c r="T104" s="14" t="str">
        <f t="shared" si="22"/>
        <v/>
      </c>
    </row>
    <row r="105" spans="1:20" x14ac:dyDescent="0.3">
      <c r="A105" s="224">
        <v>4</v>
      </c>
      <c r="C105" s="14">
        <f t="shared" si="14"/>
        <v>4</v>
      </c>
      <c r="D105" s="14" t="s">
        <v>504</v>
      </c>
      <c r="E105" s="58" t="s">
        <v>510</v>
      </c>
      <c r="F105" s="85" t="s">
        <v>513</v>
      </c>
      <c r="G105" s="173" t="s">
        <v>514</v>
      </c>
      <c r="H105" s="175" t="str">
        <f>'6. Contingency Planning'!$H4</f>
        <v>Comment is required</v>
      </c>
      <c r="I105" s="14">
        <f>'6. Contingency Planning'!$G4</f>
        <v>0</v>
      </c>
      <c r="J105" s="14" t="str">
        <f t="shared" si="15"/>
        <v>Blank</v>
      </c>
      <c r="K105" s="155" t="s">
        <v>1131</v>
      </c>
      <c r="L105" s="14" t="str">
        <f t="shared" si="13"/>
        <v>Blank</v>
      </c>
      <c r="N105" s="14" t="str">
        <f t="shared" si="16"/>
        <v/>
      </c>
      <c r="O105" s="14" t="str">
        <f t="shared" si="17"/>
        <v/>
      </c>
      <c r="P105" s="14" t="str">
        <f t="shared" si="18"/>
        <v>Comment is required</v>
      </c>
      <c r="Q105" s="14" t="str">
        <f t="shared" si="19"/>
        <v>Blank</v>
      </c>
      <c r="R105" s="14" t="str">
        <f t="shared" si="20"/>
        <v>No Override</v>
      </c>
      <c r="S105" s="14">
        <f t="shared" si="21"/>
        <v>4</v>
      </c>
      <c r="T105" s="14" t="str">
        <f t="shared" si="22"/>
        <v/>
      </c>
    </row>
    <row r="106" spans="1:20" ht="115.2" x14ac:dyDescent="0.3">
      <c r="A106" s="224">
        <v>4</v>
      </c>
      <c r="C106" s="14">
        <f t="shared" si="14"/>
        <v>4</v>
      </c>
      <c r="D106" s="14" t="s">
        <v>504</v>
      </c>
      <c r="E106" s="58" t="s">
        <v>515</v>
      </c>
      <c r="F106" s="85" t="s">
        <v>513</v>
      </c>
      <c r="G106" s="173" t="s">
        <v>516</v>
      </c>
      <c r="H106" s="175" t="str">
        <f>'6. Contingency Planning'!$H5</f>
        <v>Comment is required</v>
      </c>
      <c r="I106" s="14">
        <f>'6. Contingency Planning'!$G5</f>
        <v>0</v>
      </c>
      <c r="J106" s="14" t="str">
        <f t="shared" si="15"/>
        <v>Blank</v>
      </c>
      <c r="K106" s="155" t="s">
        <v>1131</v>
      </c>
      <c r="L106" s="14" t="str">
        <f t="shared" si="13"/>
        <v>Blank</v>
      </c>
      <c r="N106" s="14" t="str">
        <f t="shared" si="16"/>
        <v/>
      </c>
      <c r="O106" s="14" t="str">
        <f t="shared" si="17"/>
        <v/>
      </c>
      <c r="P106" s="14" t="str">
        <f t="shared" si="18"/>
        <v>Comment is required</v>
      </c>
      <c r="Q106" s="14" t="str">
        <f t="shared" si="19"/>
        <v>Blank</v>
      </c>
      <c r="R106" s="14" t="str">
        <f t="shared" si="20"/>
        <v>No Override</v>
      </c>
      <c r="S106" s="14">
        <f t="shared" si="21"/>
        <v>4</v>
      </c>
      <c r="T106" s="14" t="str">
        <f t="shared" si="22"/>
        <v/>
      </c>
    </row>
    <row r="107" spans="1:20" ht="24" x14ac:dyDescent="0.3">
      <c r="A107" s="224">
        <v>4</v>
      </c>
      <c r="C107" s="14">
        <f t="shared" si="14"/>
        <v>4</v>
      </c>
      <c r="D107" s="14" t="s">
        <v>504</v>
      </c>
      <c r="E107" s="58" t="s">
        <v>517</v>
      </c>
      <c r="F107" s="85" t="s">
        <v>520</v>
      </c>
      <c r="G107" s="173" t="s">
        <v>521</v>
      </c>
      <c r="H107" s="175" t="str">
        <f>'6. Contingency Planning'!$H6</f>
        <v>Comment is required</v>
      </c>
      <c r="I107" s="14">
        <f>'6. Contingency Planning'!$G6</f>
        <v>0</v>
      </c>
      <c r="J107" s="14" t="str">
        <f t="shared" si="15"/>
        <v>Blank</v>
      </c>
      <c r="K107" s="155" t="s">
        <v>1131</v>
      </c>
      <c r="L107" s="14" t="str">
        <f t="shared" si="13"/>
        <v>Blank</v>
      </c>
      <c r="N107" s="14" t="str">
        <f t="shared" si="16"/>
        <v/>
      </c>
      <c r="O107" s="14" t="str">
        <f t="shared" si="17"/>
        <v/>
      </c>
      <c r="P107" s="14" t="str">
        <f t="shared" si="18"/>
        <v>Comment is required</v>
      </c>
      <c r="Q107" s="14" t="str">
        <f t="shared" si="19"/>
        <v>Blank</v>
      </c>
      <c r="R107" s="14" t="str">
        <f t="shared" si="20"/>
        <v>No Override</v>
      </c>
      <c r="S107" s="14">
        <f t="shared" si="21"/>
        <v>4</v>
      </c>
      <c r="T107" s="14" t="str">
        <f t="shared" si="22"/>
        <v/>
      </c>
    </row>
    <row r="108" spans="1:20" ht="24" x14ac:dyDescent="0.3">
      <c r="A108" s="224">
        <v>4</v>
      </c>
      <c r="C108" s="14">
        <f t="shared" si="14"/>
        <v>4</v>
      </c>
      <c r="D108" s="14" t="s">
        <v>504</v>
      </c>
      <c r="E108" s="58" t="s">
        <v>522</v>
      </c>
      <c r="F108" s="85" t="s">
        <v>524</v>
      </c>
      <c r="G108" s="173" t="s">
        <v>525</v>
      </c>
      <c r="H108" s="175" t="str">
        <f>'6. Contingency Planning'!$H7</f>
        <v>Comment is required</v>
      </c>
      <c r="I108" s="14">
        <f>'6. Contingency Planning'!$G7</f>
        <v>0</v>
      </c>
      <c r="J108" s="14" t="str">
        <f t="shared" si="15"/>
        <v>Blank</v>
      </c>
      <c r="K108" s="155" t="s">
        <v>1131</v>
      </c>
      <c r="L108" s="14" t="str">
        <f t="shared" si="13"/>
        <v>Blank</v>
      </c>
      <c r="N108" s="14" t="str">
        <f t="shared" si="16"/>
        <v/>
      </c>
      <c r="O108" s="14" t="str">
        <f t="shared" si="17"/>
        <v/>
      </c>
      <c r="P108" s="14" t="str">
        <f t="shared" si="18"/>
        <v>Comment is required</v>
      </c>
      <c r="Q108" s="14" t="str">
        <f t="shared" si="19"/>
        <v>Blank</v>
      </c>
      <c r="R108" s="14" t="str">
        <f t="shared" si="20"/>
        <v>No Override</v>
      </c>
      <c r="S108" s="14">
        <f t="shared" si="21"/>
        <v>4</v>
      </c>
      <c r="T108" s="14" t="str">
        <f t="shared" si="22"/>
        <v/>
      </c>
    </row>
    <row r="109" spans="1:20" ht="24" x14ac:dyDescent="0.3">
      <c r="A109" s="224">
        <v>4</v>
      </c>
      <c r="C109" s="14">
        <f t="shared" si="14"/>
        <v>4</v>
      </c>
      <c r="D109" s="14" t="s">
        <v>504</v>
      </c>
      <c r="E109" s="58" t="s">
        <v>526</v>
      </c>
      <c r="F109" s="85" t="s">
        <v>529</v>
      </c>
      <c r="G109" s="173" t="s">
        <v>530</v>
      </c>
      <c r="H109" s="175" t="str">
        <f>'6. Contingency Planning'!$H8</f>
        <v>Comment is required</v>
      </c>
      <c r="I109" s="14">
        <f>'6. Contingency Planning'!$G8</f>
        <v>0</v>
      </c>
      <c r="J109" s="14" t="str">
        <f t="shared" si="15"/>
        <v>Blank</v>
      </c>
      <c r="K109" s="155" t="s">
        <v>1131</v>
      </c>
      <c r="L109" s="14" t="str">
        <f t="shared" si="13"/>
        <v>Blank</v>
      </c>
      <c r="N109" s="14" t="str">
        <f t="shared" si="16"/>
        <v/>
      </c>
      <c r="O109" s="14" t="str">
        <f t="shared" si="17"/>
        <v/>
      </c>
      <c r="P109" s="14" t="str">
        <f t="shared" si="18"/>
        <v>Comment is required</v>
      </c>
      <c r="Q109" s="14" t="str">
        <f t="shared" si="19"/>
        <v>Blank</v>
      </c>
      <c r="R109" s="14" t="str">
        <f t="shared" si="20"/>
        <v>No Override</v>
      </c>
      <c r="S109" s="14">
        <f t="shared" si="21"/>
        <v>4</v>
      </c>
      <c r="T109" s="14" t="str">
        <f t="shared" si="22"/>
        <v/>
      </c>
    </row>
    <row r="110" spans="1:20" x14ac:dyDescent="0.3">
      <c r="A110" s="224">
        <v>4</v>
      </c>
      <c r="C110" s="14">
        <f t="shared" si="14"/>
        <v>4</v>
      </c>
      <c r="D110" s="14" t="s">
        <v>504</v>
      </c>
      <c r="E110" s="58" t="s">
        <v>531</v>
      </c>
      <c r="F110" s="85" t="s">
        <v>529</v>
      </c>
      <c r="G110" s="173" t="s">
        <v>532</v>
      </c>
      <c r="H110" s="175" t="str">
        <f>'6. Contingency Planning'!$H9</f>
        <v>Comment is required</v>
      </c>
      <c r="I110" s="14">
        <f>'6. Contingency Planning'!$G9</f>
        <v>0</v>
      </c>
      <c r="J110" s="14" t="str">
        <f t="shared" si="15"/>
        <v>Blank</v>
      </c>
      <c r="K110" s="155" t="s">
        <v>1131</v>
      </c>
      <c r="L110" s="14" t="str">
        <f t="shared" si="13"/>
        <v>Blank</v>
      </c>
      <c r="N110" s="14" t="str">
        <f t="shared" si="16"/>
        <v/>
      </c>
      <c r="O110" s="14" t="str">
        <f t="shared" si="17"/>
        <v/>
      </c>
      <c r="P110" s="14" t="str">
        <f t="shared" si="18"/>
        <v>Comment is required</v>
      </c>
      <c r="Q110" s="14" t="str">
        <f t="shared" si="19"/>
        <v>Blank</v>
      </c>
      <c r="R110" s="14" t="str">
        <f t="shared" si="20"/>
        <v>No Override</v>
      </c>
      <c r="S110" s="14">
        <f t="shared" si="21"/>
        <v>4</v>
      </c>
      <c r="T110" s="14" t="str">
        <f t="shared" si="22"/>
        <v/>
      </c>
    </row>
    <row r="111" spans="1:20" ht="24" x14ac:dyDescent="0.3">
      <c r="A111" s="224">
        <v>4</v>
      </c>
      <c r="C111" s="14">
        <f t="shared" si="14"/>
        <v>4</v>
      </c>
      <c r="D111" s="14" t="s">
        <v>504</v>
      </c>
      <c r="E111" s="58" t="s">
        <v>533</v>
      </c>
      <c r="F111" s="85" t="s">
        <v>535</v>
      </c>
      <c r="G111" s="173" t="s">
        <v>536</v>
      </c>
      <c r="H111" s="175" t="str">
        <f>'6. Contingency Planning'!$H10</f>
        <v>Comment is required</v>
      </c>
      <c r="I111" s="14">
        <f>'6. Contingency Planning'!$G10</f>
        <v>0</v>
      </c>
      <c r="J111" s="14" t="str">
        <f t="shared" si="15"/>
        <v>Blank</v>
      </c>
      <c r="K111" s="155" t="s">
        <v>1131</v>
      </c>
      <c r="L111" s="14" t="str">
        <f t="shared" si="13"/>
        <v>Blank</v>
      </c>
      <c r="N111" s="14" t="str">
        <f t="shared" si="16"/>
        <v/>
      </c>
      <c r="O111" s="14" t="str">
        <f t="shared" si="17"/>
        <v/>
      </c>
      <c r="P111" s="14" t="str">
        <f t="shared" si="18"/>
        <v>Comment is required</v>
      </c>
      <c r="Q111" s="14" t="str">
        <f t="shared" si="19"/>
        <v>Blank</v>
      </c>
      <c r="R111" s="14" t="str">
        <f t="shared" si="20"/>
        <v>No Override</v>
      </c>
      <c r="S111" s="14">
        <f t="shared" si="21"/>
        <v>4</v>
      </c>
      <c r="T111" s="14" t="str">
        <f t="shared" si="22"/>
        <v/>
      </c>
    </row>
    <row r="112" spans="1:20" x14ac:dyDescent="0.3">
      <c r="A112" s="224">
        <v>4</v>
      </c>
      <c r="C112" s="14">
        <f t="shared" si="14"/>
        <v>4</v>
      </c>
      <c r="D112" s="14" t="s">
        <v>504</v>
      </c>
      <c r="E112" s="58" t="s">
        <v>537</v>
      </c>
      <c r="F112" s="85" t="s">
        <v>535</v>
      </c>
      <c r="G112" s="173" t="s">
        <v>538</v>
      </c>
      <c r="H112" s="175" t="str">
        <f>'6. Contingency Planning'!$H11</f>
        <v>Comment is required</v>
      </c>
      <c r="I112" s="14">
        <f>'6. Contingency Planning'!$G11</f>
        <v>0</v>
      </c>
      <c r="J112" s="14" t="str">
        <f t="shared" si="15"/>
        <v>Blank</v>
      </c>
      <c r="K112" s="155" t="s">
        <v>1131</v>
      </c>
      <c r="L112" s="14" t="str">
        <f t="shared" si="13"/>
        <v>Blank</v>
      </c>
      <c r="N112" s="14" t="str">
        <f t="shared" si="16"/>
        <v/>
      </c>
      <c r="O112" s="14" t="str">
        <f t="shared" si="17"/>
        <v/>
      </c>
      <c r="P112" s="14" t="str">
        <f t="shared" si="18"/>
        <v>Comment is required</v>
      </c>
      <c r="Q112" s="14" t="str">
        <f t="shared" si="19"/>
        <v>Blank</v>
      </c>
      <c r="R112" s="14" t="str">
        <f t="shared" si="20"/>
        <v>No Override</v>
      </c>
      <c r="S112" s="14">
        <f t="shared" si="21"/>
        <v>4</v>
      </c>
      <c r="T112" s="14" t="str">
        <f t="shared" si="22"/>
        <v/>
      </c>
    </row>
    <row r="113" spans="1:21" ht="24" x14ac:dyDescent="0.3">
      <c r="A113" s="224">
        <v>4</v>
      </c>
      <c r="C113" s="14">
        <f t="shared" si="14"/>
        <v>4</v>
      </c>
      <c r="D113" s="14" t="s">
        <v>504</v>
      </c>
      <c r="E113" s="58" t="s">
        <v>539</v>
      </c>
      <c r="F113" s="85" t="s">
        <v>542</v>
      </c>
      <c r="G113" s="173" t="s">
        <v>543</v>
      </c>
      <c r="H113" s="175" t="str">
        <f>'6. Contingency Planning'!$H12</f>
        <v>Comment is required</v>
      </c>
      <c r="I113" s="14">
        <f>'6. Contingency Planning'!$G12</f>
        <v>0</v>
      </c>
      <c r="J113" s="14" t="str">
        <f t="shared" si="15"/>
        <v>Blank</v>
      </c>
      <c r="K113" s="155" t="s">
        <v>1131</v>
      </c>
      <c r="L113" s="14" t="str">
        <f t="shared" si="13"/>
        <v>Blank</v>
      </c>
      <c r="N113" s="14" t="str">
        <f t="shared" si="16"/>
        <v/>
      </c>
      <c r="O113" s="14" t="str">
        <f t="shared" si="17"/>
        <v/>
      </c>
      <c r="P113" s="14" t="str">
        <f t="shared" si="18"/>
        <v>Comment is required</v>
      </c>
      <c r="Q113" s="14" t="str">
        <f t="shared" si="19"/>
        <v>Blank</v>
      </c>
      <c r="R113" s="14" t="str">
        <f t="shared" si="20"/>
        <v>No Override</v>
      </c>
      <c r="S113" s="14">
        <f t="shared" si="21"/>
        <v>4</v>
      </c>
      <c r="T113" s="14" t="str">
        <f t="shared" si="22"/>
        <v/>
      </c>
    </row>
    <row r="114" spans="1:21" x14ac:dyDescent="0.3">
      <c r="A114" s="224">
        <v>2</v>
      </c>
      <c r="C114" s="14">
        <f t="shared" si="14"/>
        <v>2</v>
      </c>
      <c r="D114" s="14" t="s">
        <v>504</v>
      </c>
      <c r="E114" s="58" t="s">
        <v>544</v>
      </c>
      <c r="F114" s="85" t="s">
        <v>547</v>
      </c>
      <c r="G114" s="173" t="s">
        <v>548</v>
      </c>
      <c r="H114" s="175" t="str">
        <f>'6. Contingency Planning'!$H13</f>
        <v>Comment is required</v>
      </c>
      <c r="I114" s="14">
        <f>'6. Contingency Planning'!$G13</f>
        <v>0</v>
      </c>
      <c r="J114" s="14" t="str">
        <f t="shared" si="15"/>
        <v>Blank</v>
      </c>
      <c r="K114" s="155" t="s">
        <v>1131</v>
      </c>
      <c r="L114" s="14" t="str">
        <f t="shared" si="13"/>
        <v>Blank</v>
      </c>
      <c r="N114" s="14" t="str">
        <f t="shared" si="16"/>
        <v/>
      </c>
      <c r="O114" s="14" t="str">
        <f t="shared" si="17"/>
        <v/>
      </c>
      <c r="P114" s="14" t="str">
        <f t="shared" si="18"/>
        <v>Comment is required</v>
      </c>
      <c r="Q114" s="14" t="str">
        <f t="shared" si="19"/>
        <v>Blank</v>
      </c>
      <c r="R114" s="14" t="str">
        <f t="shared" si="20"/>
        <v>No Override</v>
      </c>
      <c r="S114" s="14">
        <f t="shared" si="21"/>
        <v>2</v>
      </c>
      <c r="T114" s="14" t="str">
        <f t="shared" si="22"/>
        <v/>
      </c>
    </row>
    <row r="115" spans="1:21" x14ac:dyDescent="0.3">
      <c r="A115" s="224">
        <v>2</v>
      </c>
      <c r="C115" s="14">
        <f t="shared" si="14"/>
        <v>2</v>
      </c>
      <c r="D115" s="14" t="s">
        <v>504</v>
      </c>
      <c r="E115" s="58" t="s">
        <v>549</v>
      </c>
      <c r="F115" s="85" t="s">
        <v>547</v>
      </c>
      <c r="G115" s="173" t="s">
        <v>550</v>
      </c>
      <c r="H115" s="175" t="str">
        <f>'6. Contingency Planning'!$H14</f>
        <v>Comment is required</v>
      </c>
      <c r="I115" s="14">
        <f>'6. Contingency Planning'!$G14</f>
        <v>0</v>
      </c>
      <c r="J115" s="14" t="str">
        <f t="shared" si="15"/>
        <v>Blank</v>
      </c>
      <c r="K115" s="155" t="s">
        <v>1131</v>
      </c>
      <c r="L115" s="14" t="str">
        <f t="shared" si="13"/>
        <v>Blank</v>
      </c>
      <c r="N115" s="14" t="str">
        <f t="shared" si="16"/>
        <v/>
      </c>
      <c r="O115" s="14" t="str">
        <f t="shared" si="17"/>
        <v/>
      </c>
      <c r="P115" s="14" t="str">
        <f t="shared" si="18"/>
        <v>Comment is required</v>
      </c>
      <c r="Q115" s="14" t="str">
        <f t="shared" si="19"/>
        <v>Blank</v>
      </c>
      <c r="R115" s="14" t="str">
        <f t="shared" si="20"/>
        <v>No Override</v>
      </c>
      <c r="S115" s="14">
        <f t="shared" si="21"/>
        <v>2</v>
      </c>
      <c r="T115" s="14" t="str">
        <f t="shared" si="22"/>
        <v/>
      </c>
    </row>
    <row r="116" spans="1:21" ht="24" x14ac:dyDescent="0.3">
      <c r="A116" s="224">
        <v>2</v>
      </c>
      <c r="C116" s="14">
        <f t="shared" si="14"/>
        <v>2</v>
      </c>
      <c r="D116" s="14" t="s">
        <v>504</v>
      </c>
      <c r="E116" s="58" t="s">
        <v>551</v>
      </c>
      <c r="F116" s="85" t="s">
        <v>554</v>
      </c>
      <c r="G116" s="173" t="s">
        <v>555</v>
      </c>
      <c r="H116" s="175" t="str">
        <f>'6. Contingency Planning'!$H15</f>
        <v>Comment is required</v>
      </c>
      <c r="I116" s="14">
        <f>'6. Contingency Planning'!$G15</f>
        <v>0</v>
      </c>
      <c r="J116" s="14" t="str">
        <f t="shared" si="15"/>
        <v>Blank</v>
      </c>
      <c r="K116" s="155" t="s">
        <v>1131</v>
      </c>
      <c r="L116" s="14" t="str">
        <f t="shared" si="13"/>
        <v>Blank</v>
      </c>
      <c r="N116" s="14" t="str">
        <f t="shared" si="16"/>
        <v/>
      </c>
      <c r="O116" s="14" t="str">
        <f t="shared" si="17"/>
        <v/>
      </c>
      <c r="P116" s="14" t="str">
        <f t="shared" si="18"/>
        <v>Comment is required</v>
      </c>
      <c r="Q116" s="14" t="str">
        <f t="shared" si="19"/>
        <v>Blank</v>
      </c>
      <c r="R116" s="14" t="str">
        <f t="shared" si="20"/>
        <v>No Override</v>
      </c>
      <c r="S116" s="14">
        <f t="shared" si="21"/>
        <v>2</v>
      </c>
      <c r="T116" s="14" t="str">
        <f t="shared" si="22"/>
        <v/>
      </c>
    </row>
    <row r="117" spans="1:21" ht="22.8" x14ac:dyDescent="0.3">
      <c r="A117" s="224">
        <v>4</v>
      </c>
      <c r="C117" s="14">
        <f t="shared" si="14"/>
        <v>4</v>
      </c>
      <c r="D117" t="s">
        <v>1135</v>
      </c>
      <c r="E117" s="58" t="s">
        <v>557</v>
      </c>
      <c r="F117" s="82" t="s">
        <v>559</v>
      </c>
      <c r="G117" s="176" t="s">
        <v>560</v>
      </c>
      <c r="H117" s="176" t="str">
        <f>'7. Authentication&amp;Authorization'!$H3</f>
        <v>Comment is required</v>
      </c>
      <c r="I117">
        <f>'7. Authentication&amp;Authorization'!$G3</f>
        <v>0</v>
      </c>
      <c r="J117" s="49" t="str">
        <f>IF($I117="Yes","Adequate",IF($I117="No","Adequate",IF($I117="Partial","Inadequate",IF($I117="N/A","Inadequate",IF(OR($I117="",$I117=0),"Blank","Error")))))</f>
        <v>Blank</v>
      </c>
      <c r="K117" s="155" t="s">
        <v>1131</v>
      </c>
      <c r="L117" s="14" t="str">
        <f t="shared" si="13"/>
        <v>Blank</v>
      </c>
      <c r="N117" s="14" t="str">
        <f t="shared" si="16"/>
        <v/>
      </c>
      <c r="O117" s="14" t="str">
        <f t="shared" si="17"/>
        <v/>
      </c>
      <c r="P117" s="14" t="str">
        <f t="shared" si="18"/>
        <v>Comment is required</v>
      </c>
      <c r="Q117" s="14" t="str">
        <f t="shared" si="19"/>
        <v>Blank</v>
      </c>
      <c r="R117" s="14" t="str">
        <f t="shared" si="20"/>
        <v>No Override</v>
      </c>
      <c r="S117" s="14">
        <f t="shared" si="21"/>
        <v>4</v>
      </c>
      <c r="T117" s="14" t="str">
        <f t="shared" si="22"/>
        <v/>
      </c>
    </row>
    <row r="118" spans="1:21" x14ac:dyDescent="0.3">
      <c r="A118" s="224">
        <v>4</v>
      </c>
      <c r="C118" s="14">
        <f t="shared" si="14"/>
        <v>4</v>
      </c>
      <c r="D118" s="14" t="s">
        <v>1135</v>
      </c>
      <c r="E118" s="58" t="s">
        <v>561</v>
      </c>
      <c r="F118" s="82" t="s">
        <v>559</v>
      </c>
      <c r="G118" s="170" t="s">
        <v>562</v>
      </c>
      <c r="H118" s="176" t="str">
        <f>'7. Authentication&amp;Authorization'!$H4</f>
        <v>Comment is required</v>
      </c>
      <c r="I118" s="14">
        <f>'7. Authentication&amp;Authorization'!$G4</f>
        <v>0</v>
      </c>
      <c r="J118" s="61" t="str">
        <f t="shared" ref="J118:J144" si="24">IF($I118="Yes","Adequate",IF($I118="No","Inadequate",IF($I118="Partial","Inadequate",IF($I118="N/A","Inadequate",IF(OR($I118="",$I118=0),"Blank","Error")))))</f>
        <v>Blank</v>
      </c>
      <c r="K118" s="155" t="s">
        <v>1131</v>
      </c>
      <c r="L118" s="14" t="str">
        <f t="shared" si="13"/>
        <v>Blank</v>
      </c>
      <c r="N118" s="14" t="str">
        <f t="shared" si="16"/>
        <v/>
      </c>
      <c r="O118" s="14" t="str">
        <f t="shared" si="17"/>
        <v/>
      </c>
      <c r="P118" s="14" t="str">
        <f t="shared" si="18"/>
        <v>Comment is required</v>
      </c>
      <c r="Q118" s="14" t="str">
        <f t="shared" si="19"/>
        <v>Blank</v>
      </c>
      <c r="R118" s="14" t="str">
        <f t="shared" si="20"/>
        <v>No Override</v>
      </c>
      <c r="S118" s="14">
        <f t="shared" si="21"/>
        <v>4</v>
      </c>
      <c r="T118" s="14" t="str">
        <f t="shared" si="22"/>
        <v/>
      </c>
    </row>
    <row r="119" spans="1:21" ht="22.8" x14ac:dyDescent="0.3">
      <c r="A119" s="224">
        <v>4</v>
      </c>
      <c r="C119" s="14">
        <f t="shared" si="14"/>
        <v>4</v>
      </c>
      <c r="D119" s="14" t="s">
        <v>1135</v>
      </c>
      <c r="E119" s="58" t="s">
        <v>563</v>
      </c>
      <c r="F119" s="82" t="s">
        <v>566</v>
      </c>
      <c r="G119" s="176" t="s">
        <v>567</v>
      </c>
      <c r="H119" s="176" t="str">
        <f>'7. Authentication&amp;Authorization'!$H5</f>
        <v>Comment is required</v>
      </c>
      <c r="I119" s="14">
        <f>'7. Authentication&amp;Authorization'!$G5</f>
        <v>0</v>
      </c>
      <c r="J119" s="14" t="str">
        <f t="shared" si="24"/>
        <v>Blank</v>
      </c>
      <c r="K119" s="155" t="s">
        <v>1131</v>
      </c>
      <c r="L119" s="14" t="str">
        <f t="shared" si="13"/>
        <v>Blank</v>
      </c>
      <c r="N119" s="14" t="str">
        <f t="shared" si="16"/>
        <v/>
      </c>
      <c r="O119" s="14" t="str">
        <f t="shared" si="17"/>
        <v/>
      </c>
      <c r="P119" s="14" t="str">
        <f t="shared" si="18"/>
        <v>Comment is required</v>
      </c>
      <c r="Q119" s="14" t="str">
        <f t="shared" si="19"/>
        <v>Blank</v>
      </c>
      <c r="R119" s="14" t="str">
        <f t="shared" si="20"/>
        <v>No Override</v>
      </c>
      <c r="S119" s="14">
        <f t="shared" si="21"/>
        <v>4</v>
      </c>
      <c r="T119" s="14" t="str">
        <f t="shared" si="22"/>
        <v/>
      </c>
    </row>
    <row r="120" spans="1:21" ht="22.8" x14ac:dyDescent="0.3">
      <c r="A120" s="224">
        <v>2</v>
      </c>
      <c r="C120" s="14">
        <f t="shared" si="14"/>
        <v>2</v>
      </c>
      <c r="D120" s="14" t="s">
        <v>1135</v>
      </c>
      <c r="E120" s="58" t="s">
        <v>568</v>
      </c>
      <c r="F120" s="82" t="s">
        <v>571</v>
      </c>
      <c r="G120" s="176" t="s">
        <v>572</v>
      </c>
      <c r="H120" s="176" t="str">
        <f>'7. Authentication&amp;Authorization'!$H6</f>
        <v>Comment is required</v>
      </c>
      <c r="I120" s="14">
        <f>'7. Authentication&amp;Authorization'!$G6</f>
        <v>0</v>
      </c>
      <c r="J120" s="14" t="str">
        <f t="shared" si="24"/>
        <v>Blank</v>
      </c>
      <c r="K120" s="155" t="s">
        <v>1131</v>
      </c>
      <c r="L120" s="14" t="str">
        <f t="shared" si="13"/>
        <v>Blank</v>
      </c>
      <c r="N120" s="14" t="str">
        <f t="shared" si="16"/>
        <v/>
      </c>
      <c r="O120" s="14" t="str">
        <f t="shared" si="17"/>
        <v/>
      </c>
      <c r="P120" s="14" t="str">
        <f t="shared" si="18"/>
        <v>Comment is required</v>
      </c>
      <c r="Q120" s="14" t="str">
        <f t="shared" si="19"/>
        <v>Blank</v>
      </c>
      <c r="R120" s="14" t="str">
        <f t="shared" si="20"/>
        <v>No Override</v>
      </c>
      <c r="S120" s="14">
        <f t="shared" si="21"/>
        <v>2</v>
      </c>
      <c r="T120" s="14" t="str">
        <f t="shared" si="22"/>
        <v/>
      </c>
      <c r="U120" s="14"/>
    </row>
    <row r="121" spans="1:21" ht="22.8" x14ac:dyDescent="0.3">
      <c r="A121" s="224">
        <v>2</v>
      </c>
      <c r="C121" s="14">
        <f t="shared" si="14"/>
        <v>2</v>
      </c>
      <c r="D121" s="14" t="s">
        <v>1135</v>
      </c>
      <c r="E121" s="58" t="s">
        <v>573</v>
      </c>
      <c r="F121" s="82" t="s">
        <v>575</v>
      </c>
      <c r="G121" s="176" t="s">
        <v>576</v>
      </c>
      <c r="H121" s="176" t="str">
        <f>'7. Authentication&amp;Authorization'!$H7</f>
        <v>Comment is required</v>
      </c>
      <c r="I121" s="14">
        <f>'7. Authentication&amp;Authorization'!$G7</f>
        <v>0</v>
      </c>
      <c r="J121" s="14" t="str">
        <f t="shared" si="24"/>
        <v>Blank</v>
      </c>
      <c r="K121" s="155" t="s">
        <v>1131</v>
      </c>
      <c r="L121" s="14" t="str">
        <f t="shared" si="13"/>
        <v>Blank</v>
      </c>
      <c r="N121" s="14" t="str">
        <f t="shared" si="16"/>
        <v/>
      </c>
      <c r="O121" s="14" t="str">
        <f t="shared" si="17"/>
        <v/>
      </c>
      <c r="P121" s="14" t="str">
        <f t="shared" si="18"/>
        <v>Comment is required</v>
      </c>
      <c r="Q121" s="14" t="str">
        <f t="shared" si="19"/>
        <v>Blank</v>
      </c>
      <c r="R121" s="14" t="str">
        <f t="shared" si="20"/>
        <v>No Override</v>
      </c>
      <c r="S121" s="14">
        <f t="shared" si="21"/>
        <v>2</v>
      </c>
      <c r="T121" s="14" t="str">
        <f t="shared" si="22"/>
        <v/>
      </c>
    </row>
    <row r="122" spans="1:21" x14ac:dyDescent="0.3">
      <c r="A122" s="224">
        <v>3</v>
      </c>
      <c r="C122" s="14">
        <f t="shared" si="14"/>
        <v>3</v>
      </c>
      <c r="D122" s="14" t="s">
        <v>1135</v>
      </c>
      <c r="E122" s="58" t="s">
        <v>577</v>
      </c>
      <c r="F122" s="82" t="s">
        <v>575</v>
      </c>
      <c r="G122" s="176" t="s">
        <v>578</v>
      </c>
      <c r="H122" s="176" t="str">
        <f>'7. Authentication&amp;Authorization'!$H8</f>
        <v>Comment is required</v>
      </c>
      <c r="I122" s="14">
        <f>'7. Authentication&amp;Authorization'!$G8</f>
        <v>0</v>
      </c>
      <c r="J122" s="14" t="str">
        <f t="shared" si="24"/>
        <v>Blank</v>
      </c>
      <c r="K122" s="155" t="s">
        <v>1131</v>
      </c>
      <c r="L122" s="14" t="str">
        <f t="shared" si="13"/>
        <v>Blank</v>
      </c>
      <c r="N122" s="14" t="str">
        <f t="shared" si="16"/>
        <v/>
      </c>
      <c r="O122" s="14" t="str">
        <f t="shared" si="17"/>
        <v/>
      </c>
      <c r="P122" s="14" t="str">
        <f t="shared" si="18"/>
        <v>Comment is required</v>
      </c>
      <c r="Q122" s="14" t="str">
        <f t="shared" si="19"/>
        <v>Blank</v>
      </c>
      <c r="R122" s="14" t="str">
        <f t="shared" si="20"/>
        <v>No Override</v>
      </c>
      <c r="S122" s="14">
        <f t="shared" si="21"/>
        <v>3</v>
      </c>
      <c r="T122" s="14" t="str">
        <f t="shared" si="22"/>
        <v/>
      </c>
    </row>
    <row r="123" spans="1:21" x14ac:dyDescent="0.3">
      <c r="A123" s="224">
        <v>2</v>
      </c>
      <c r="C123" s="14">
        <f t="shared" si="14"/>
        <v>2</v>
      </c>
      <c r="D123" s="14" t="s">
        <v>1135</v>
      </c>
      <c r="E123" s="58" t="s">
        <v>579</v>
      </c>
      <c r="F123" s="82" t="s">
        <v>575</v>
      </c>
      <c r="G123" s="176" t="s">
        <v>580</v>
      </c>
      <c r="H123" s="176" t="str">
        <f>'7. Authentication&amp;Authorization'!$H9</f>
        <v>Comment is required</v>
      </c>
      <c r="I123" s="14">
        <f>'7. Authentication&amp;Authorization'!$G9</f>
        <v>0</v>
      </c>
      <c r="J123" s="14" t="str">
        <f t="shared" si="24"/>
        <v>Blank</v>
      </c>
      <c r="K123" s="155" t="s">
        <v>1131</v>
      </c>
      <c r="L123" s="14" t="str">
        <f t="shared" si="13"/>
        <v>Blank</v>
      </c>
      <c r="N123" s="14" t="str">
        <f t="shared" si="16"/>
        <v/>
      </c>
      <c r="O123" s="14" t="str">
        <f t="shared" si="17"/>
        <v/>
      </c>
      <c r="P123" s="14" t="str">
        <f t="shared" si="18"/>
        <v>Comment is required</v>
      </c>
      <c r="Q123" s="14" t="str">
        <f t="shared" si="19"/>
        <v>Blank</v>
      </c>
      <c r="R123" s="14" t="str">
        <f t="shared" si="20"/>
        <v>No Override</v>
      </c>
      <c r="S123" s="14">
        <f t="shared" si="21"/>
        <v>2</v>
      </c>
      <c r="T123" s="14" t="str">
        <f t="shared" si="22"/>
        <v/>
      </c>
    </row>
    <row r="124" spans="1:21" x14ac:dyDescent="0.3">
      <c r="A124" s="224">
        <v>3</v>
      </c>
      <c r="C124" s="14">
        <f t="shared" si="14"/>
        <v>3</v>
      </c>
      <c r="D124" s="14" t="s">
        <v>1135</v>
      </c>
      <c r="E124" s="58" t="s">
        <v>581</v>
      </c>
      <c r="F124" s="82" t="s">
        <v>584</v>
      </c>
      <c r="G124" s="176" t="s">
        <v>585</v>
      </c>
      <c r="H124" s="176" t="str">
        <f>'7. Authentication&amp;Authorization'!$H10</f>
        <v>Comment is required</v>
      </c>
      <c r="I124" s="14">
        <f>'7. Authentication&amp;Authorization'!$G10</f>
        <v>0</v>
      </c>
      <c r="J124" s="14" t="str">
        <f t="shared" si="24"/>
        <v>Blank</v>
      </c>
      <c r="K124" s="155" t="s">
        <v>1131</v>
      </c>
      <c r="L124" s="14" t="str">
        <f t="shared" si="13"/>
        <v>Blank</v>
      </c>
      <c r="N124" s="14" t="str">
        <f t="shared" si="16"/>
        <v/>
      </c>
      <c r="O124" s="14" t="str">
        <f t="shared" si="17"/>
        <v/>
      </c>
      <c r="P124" s="14" t="str">
        <f t="shared" si="18"/>
        <v>Comment is required</v>
      </c>
      <c r="Q124" s="14" t="str">
        <f t="shared" si="19"/>
        <v>Blank</v>
      </c>
      <c r="R124" s="14" t="str">
        <f t="shared" si="20"/>
        <v>No Override</v>
      </c>
      <c r="S124" s="14">
        <f t="shared" si="21"/>
        <v>3</v>
      </c>
      <c r="T124" s="14" t="str">
        <f t="shared" si="22"/>
        <v/>
      </c>
    </row>
    <row r="125" spans="1:21" ht="114" x14ac:dyDescent="0.3">
      <c r="A125" s="224">
        <v>1</v>
      </c>
      <c r="C125" s="14">
        <f t="shared" si="14"/>
        <v>1</v>
      </c>
      <c r="D125" s="14" t="s">
        <v>1135</v>
      </c>
      <c r="E125" s="58" t="s">
        <v>586</v>
      </c>
      <c r="F125" s="82" t="s">
        <v>584</v>
      </c>
      <c r="G125" s="176" t="s">
        <v>1335</v>
      </c>
      <c r="H125" s="176" t="str">
        <f>'7. Authentication&amp;Authorization'!$H11</f>
        <v>Comment is required</v>
      </c>
      <c r="I125" s="14">
        <f>'7. Authentication&amp;Authorization'!$G11</f>
        <v>0</v>
      </c>
      <c r="J125" s="14" t="str">
        <f t="shared" si="24"/>
        <v>Blank</v>
      </c>
      <c r="K125" s="155" t="s">
        <v>1131</v>
      </c>
      <c r="L125" s="14" t="str">
        <f t="shared" si="13"/>
        <v>Blank</v>
      </c>
      <c r="N125" s="14" t="str">
        <f t="shared" si="16"/>
        <v/>
      </c>
      <c r="O125" s="14" t="str">
        <f t="shared" si="17"/>
        <v/>
      </c>
      <c r="P125" s="14" t="str">
        <f t="shared" si="18"/>
        <v>Comment is required</v>
      </c>
      <c r="Q125" s="14" t="str">
        <f t="shared" si="19"/>
        <v>Blank</v>
      </c>
      <c r="R125" s="14" t="str">
        <f t="shared" si="20"/>
        <v>No Override</v>
      </c>
      <c r="S125" s="14">
        <f t="shared" si="21"/>
        <v>1</v>
      </c>
      <c r="T125" s="14" t="str">
        <f t="shared" si="22"/>
        <v/>
      </c>
    </row>
    <row r="126" spans="1:21" x14ac:dyDescent="0.3">
      <c r="A126" s="224">
        <v>1</v>
      </c>
      <c r="C126" s="14">
        <f t="shared" si="14"/>
        <v>1</v>
      </c>
      <c r="D126" s="14" t="s">
        <v>1135</v>
      </c>
      <c r="E126" s="58" t="s">
        <v>587</v>
      </c>
      <c r="F126" s="82" t="s">
        <v>584</v>
      </c>
      <c r="G126" s="176" t="s">
        <v>588</v>
      </c>
      <c r="H126" s="176" t="str">
        <f>'7. Authentication&amp;Authorization'!$H12</f>
        <v>Comment is required</v>
      </c>
      <c r="I126" s="14">
        <f>'7. Authentication&amp;Authorization'!$G12</f>
        <v>0</v>
      </c>
      <c r="J126" s="14" t="str">
        <f t="shared" si="24"/>
        <v>Blank</v>
      </c>
      <c r="K126" s="155" t="s">
        <v>1131</v>
      </c>
      <c r="L126" s="14" t="str">
        <f t="shared" si="13"/>
        <v>Blank</v>
      </c>
      <c r="N126" s="14" t="str">
        <f t="shared" si="16"/>
        <v/>
      </c>
      <c r="O126" s="14" t="str">
        <f t="shared" si="17"/>
        <v/>
      </c>
      <c r="P126" s="14" t="str">
        <f t="shared" si="18"/>
        <v>Comment is required</v>
      </c>
      <c r="Q126" s="14" t="str">
        <f t="shared" si="19"/>
        <v>Blank</v>
      </c>
      <c r="R126" s="14" t="str">
        <f t="shared" si="20"/>
        <v>No Override</v>
      </c>
      <c r="S126" s="14">
        <f t="shared" si="21"/>
        <v>1</v>
      </c>
      <c r="T126" s="14" t="str">
        <f t="shared" si="22"/>
        <v/>
      </c>
    </row>
    <row r="127" spans="1:21" x14ac:dyDescent="0.3">
      <c r="A127" s="224">
        <v>1</v>
      </c>
      <c r="C127" s="14">
        <f t="shared" si="14"/>
        <v>1</v>
      </c>
      <c r="D127" s="14" t="s">
        <v>1135</v>
      </c>
      <c r="E127" s="58" t="s">
        <v>589</v>
      </c>
      <c r="F127" s="82" t="s">
        <v>584</v>
      </c>
      <c r="G127" s="176" t="s">
        <v>590</v>
      </c>
      <c r="H127" s="176" t="str">
        <f>'7. Authentication&amp;Authorization'!$H13</f>
        <v>Comment is required</v>
      </c>
      <c r="I127" s="14">
        <f>'7. Authentication&amp;Authorization'!$G13</f>
        <v>0</v>
      </c>
      <c r="J127" s="14" t="str">
        <f t="shared" si="24"/>
        <v>Blank</v>
      </c>
      <c r="K127" s="155" t="s">
        <v>1131</v>
      </c>
      <c r="L127" s="14" t="str">
        <f t="shared" si="13"/>
        <v>Blank</v>
      </c>
      <c r="N127" s="14" t="str">
        <f t="shared" si="16"/>
        <v/>
      </c>
      <c r="O127" s="14" t="str">
        <f t="shared" si="17"/>
        <v/>
      </c>
      <c r="P127" s="14" t="str">
        <f t="shared" si="18"/>
        <v>Comment is required</v>
      </c>
      <c r="Q127" s="14" t="str">
        <f t="shared" si="19"/>
        <v>Blank</v>
      </c>
      <c r="R127" s="14" t="str">
        <f t="shared" si="20"/>
        <v>No Override</v>
      </c>
      <c r="S127" s="14">
        <f t="shared" si="21"/>
        <v>1</v>
      </c>
      <c r="T127" s="14" t="str">
        <f t="shared" si="22"/>
        <v/>
      </c>
    </row>
    <row r="128" spans="1:21" x14ac:dyDescent="0.3">
      <c r="A128" s="224">
        <v>1</v>
      </c>
      <c r="C128" s="14">
        <f t="shared" si="14"/>
        <v>1</v>
      </c>
      <c r="D128" s="14" t="s">
        <v>1135</v>
      </c>
      <c r="E128" s="58" t="s">
        <v>591</v>
      </c>
      <c r="F128" s="82" t="s">
        <v>584</v>
      </c>
      <c r="G128" s="176" t="s">
        <v>592</v>
      </c>
      <c r="H128" s="176" t="str">
        <f>'7. Authentication&amp;Authorization'!$H14</f>
        <v>Comment is required</v>
      </c>
      <c r="I128" s="14">
        <f>'7. Authentication&amp;Authorization'!$G14</f>
        <v>0</v>
      </c>
      <c r="J128" s="14" t="str">
        <f t="shared" si="24"/>
        <v>Blank</v>
      </c>
      <c r="K128" s="155" t="s">
        <v>1131</v>
      </c>
      <c r="L128" s="14" t="str">
        <f t="shared" si="13"/>
        <v>Blank</v>
      </c>
      <c r="N128" s="14" t="str">
        <f t="shared" si="16"/>
        <v/>
      </c>
      <c r="O128" s="14" t="str">
        <f t="shared" si="17"/>
        <v/>
      </c>
      <c r="P128" s="14" t="str">
        <f t="shared" si="18"/>
        <v>Comment is required</v>
      </c>
      <c r="Q128" s="14" t="str">
        <f t="shared" si="19"/>
        <v>Blank</v>
      </c>
      <c r="R128" s="14" t="str">
        <f t="shared" si="20"/>
        <v>No Override</v>
      </c>
      <c r="S128" s="14">
        <f t="shared" si="21"/>
        <v>1</v>
      </c>
      <c r="T128" s="14" t="str">
        <f t="shared" si="22"/>
        <v/>
      </c>
    </row>
    <row r="129" spans="1:20" x14ac:dyDescent="0.3">
      <c r="A129" s="224">
        <v>3</v>
      </c>
      <c r="C129" s="14">
        <f t="shared" si="14"/>
        <v>3</v>
      </c>
      <c r="D129" s="14" t="s">
        <v>1135</v>
      </c>
      <c r="E129" s="58" t="s">
        <v>593</v>
      </c>
      <c r="F129" s="82" t="s">
        <v>584</v>
      </c>
      <c r="G129" s="176" t="s">
        <v>594</v>
      </c>
      <c r="H129" s="176" t="str">
        <f>'7. Authentication&amp;Authorization'!$H15</f>
        <v>Comment is required</v>
      </c>
      <c r="I129" s="14">
        <f>'7. Authentication&amp;Authorization'!$G15</f>
        <v>0</v>
      </c>
      <c r="J129" s="14" t="str">
        <f t="shared" si="24"/>
        <v>Blank</v>
      </c>
      <c r="K129" s="155" t="s">
        <v>1131</v>
      </c>
      <c r="L129" s="14" t="str">
        <f t="shared" si="13"/>
        <v>Blank</v>
      </c>
      <c r="N129" s="14" t="str">
        <f t="shared" si="16"/>
        <v/>
      </c>
      <c r="O129" s="14" t="str">
        <f t="shared" si="17"/>
        <v/>
      </c>
      <c r="P129" s="14" t="str">
        <f t="shared" si="18"/>
        <v>Comment is required</v>
      </c>
      <c r="Q129" s="14" t="str">
        <f t="shared" si="19"/>
        <v>Blank</v>
      </c>
      <c r="R129" s="14" t="str">
        <f t="shared" si="20"/>
        <v>No Override</v>
      </c>
      <c r="S129" s="14">
        <f t="shared" si="21"/>
        <v>3</v>
      </c>
      <c r="T129" s="14" t="str">
        <f t="shared" si="22"/>
        <v/>
      </c>
    </row>
    <row r="130" spans="1:20" x14ac:dyDescent="0.3">
      <c r="A130" s="224">
        <v>3</v>
      </c>
      <c r="C130" s="14">
        <f t="shared" si="14"/>
        <v>3</v>
      </c>
      <c r="D130" s="14" t="s">
        <v>1135</v>
      </c>
      <c r="E130" s="58" t="s">
        <v>595</v>
      </c>
      <c r="F130" s="82" t="s">
        <v>584</v>
      </c>
      <c r="G130" s="176" t="s">
        <v>596</v>
      </c>
      <c r="H130" s="176" t="str">
        <f>'7. Authentication&amp;Authorization'!$H16</f>
        <v>Comment is required</v>
      </c>
      <c r="I130" s="14">
        <f>'7. Authentication&amp;Authorization'!$G16</f>
        <v>0</v>
      </c>
      <c r="J130" s="14" t="str">
        <f t="shared" si="24"/>
        <v>Blank</v>
      </c>
      <c r="K130" s="155" t="s">
        <v>1131</v>
      </c>
      <c r="L130" s="14" t="str">
        <f t="shared" si="13"/>
        <v>Blank</v>
      </c>
      <c r="N130" s="14" t="str">
        <f t="shared" si="16"/>
        <v/>
      </c>
      <c r="O130" s="14" t="str">
        <f t="shared" si="17"/>
        <v/>
      </c>
      <c r="P130" s="14" t="str">
        <f t="shared" si="18"/>
        <v>Comment is required</v>
      </c>
      <c r="Q130" s="14" t="str">
        <f t="shared" si="19"/>
        <v>Blank</v>
      </c>
      <c r="R130" s="14" t="str">
        <f t="shared" si="20"/>
        <v>No Override</v>
      </c>
      <c r="S130" s="14">
        <f t="shared" si="21"/>
        <v>3</v>
      </c>
      <c r="T130" s="14" t="str">
        <f t="shared" si="22"/>
        <v/>
      </c>
    </row>
    <row r="131" spans="1:20" x14ac:dyDescent="0.3">
      <c r="A131" s="224">
        <v>1</v>
      </c>
      <c r="C131" s="14">
        <f t="shared" si="14"/>
        <v>1</v>
      </c>
      <c r="D131" s="14" t="s">
        <v>1135</v>
      </c>
      <c r="E131" s="58" t="s">
        <v>597</v>
      </c>
      <c r="F131" s="82" t="s">
        <v>584</v>
      </c>
      <c r="G131" s="176" t="s">
        <v>598</v>
      </c>
      <c r="H131" s="176" t="str">
        <f>'7. Authentication&amp;Authorization'!$H17</f>
        <v>Comment is required</v>
      </c>
      <c r="I131" s="14">
        <f>'7. Authentication&amp;Authorization'!$G17</f>
        <v>0</v>
      </c>
      <c r="J131" s="14" t="str">
        <f t="shared" si="24"/>
        <v>Blank</v>
      </c>
      <c r="K131" s="155" t="s">
        <v>1131</v>
      </c>
      <c r="L131" s="14" t="str">
        <f t="shared" si="13"/>
        <v>Blank</v>
      </c>
      <c r="N131" s="14" t="str">
        <f t="shared" si="16"/>
        <v/>
      </c>
      <c r="O131" s="14" t="str">
        <f t="shared" si="17"/>
        <v/>
      </c>
      <c r="P131" s="14" t="str">
        <f t="shared" si="18"/>
        <v>Comment is required</v>
      </c>
      <c r="Q131" s="14" t="str">
        <f t="shared" si="19"/>
        <v>Blank</v>
      </c>
      <c r="R131" s="14" t="str">
        <f t="shared" si="20"/>
        <v>No Override</v>
      </c>
      <c r="S131" s="14">
        <f t="shared" si="21"/>
        <v>1</v>
      </c>
      <c r="T131" s="14" t="str">
        <f t="shared" si="22"/>
        <v/>
      </c>
    </row>
    <row r="132" spans="1:20" x14ac:dyDescent="0.3">
      <c r="A132" s="224">
        <v>3</v>
      </c>
      <c r="C132" s="14">
        <f t="shared" si="14"/>
        <v>3</v>
      </c>
      <c r="D132" s="14" t="s">
        <v>1135</v>
      </c>
      <c r="E132" s="58" t="s">
        <v>599</v>
      </c>
      <c r="F132" s="82" t="s">
        <v>584</v>
      </c>
      <c r="G132" s="176" t="s">
        <v>600</v>
      </c>
      <c r="H132" s="176" t="str">
        <f>'7. Authentication&amp;Authorization'!$H18</f>
        <v>Comment is required</v>
      </c>
      <c r="I132" s="14">
        <f>'7. Authentication&amp;Authorization'!$G18</f>
        <v>0</v>
      </c>
      <c r="J132" s="14" t="str">
        <f t="shared" si="24"/>
        <v>Blank</v>
      </c>
      <c r="K132" s="155" t="s">
        <v>1131</v>
      </c>
      <c r="L132" s="14" t="str">
        <f t="shared" si="13"/>
        <v>Blank</v>
      </c>
      <c r="N132" s="14" t="str">
        <f t="shared" si="16"/>
        <v/>
      </c>
      <c r="O132" s="14" t="str">
        <f t="shared" si="17"/>
        <v/>
      </c>
      <c r="P132" s="14" t="str">
        <f t="shared" si="18"/>
        <v>Comment is required</v>
      </c>
      <c r="Q132" s="14" t="str">
        <f t="shared" si="19"/>
        <v>Blank</v>
      </c>
      <c r="R132" s="14" t="str">
        <f t="shared" si="20"/>
        <v>No Override</v>
      </c>
      <c r="S132" s="14">
        <f t="shared" si="21"/>
        <v>3</v>
      </c>
      <c r="T132" s="14" t="str">
        <f t="shared" si="22"/>
        <v/>
      </c>
    </row>
    <row r="133" spans="1:20" x14ac:dyDescent="0.3">
      <c r="A133" s="224">
        <v>4</v>
      </c>
      <c r="C133" s="14">
        <f t="shared" si="14"/>
        <v>4</v>
      </c>
      <c r="D133" s="14" t="s">
        <v>1135</v>
      </c>
      <c r="E133" s="58" t="s">
        <v>601</v>
      </c>
      <c r="F133" s="82" t="s">
        <v>603</v>
      </c>
      <c r="G133" s="176" t="s">
        <v>604</v>
      </c>
      <c r="H133" s="176" t="str">
        <f>'7. Authentication&amp;Authorization'!$H19</f>
        <v>Comment is required</v>
      </c>
      <c r="I133" s="14">
        <f>'7. Authentication&amp;Authorization'!$G19</f>
        <v>0</v>
      </c>
      <c r="J133" s="14" t="str">
        <f t="shared" si="24"/>
        <v>Blank</v>
      </c>
      <c r="K133" s="155" t="s">
        <v>1131</v>
      </c>
      <c r="L133" s="14" t="str">
        <f t="shared" si="13"/>
        <v>Blank</v>
      </c>
      <c r="N133" s="14" t="str">
        <f t="shared" si="16"/>
        <v/>
      </c>
      <c r="O133" s="14" t="str">
        <f t="shared" si="17"/>
        <v/>
      </c>
      <c r="P133" s="14" t="str">
        <f t="shared" si="18"/>
        <v>Comment is required</v>
      </c>
      <c r="Q133" s="14" t="str">
        <f t="shared" si="19"/>
        <v>Blank</v>
      </c>
      <c r="R133" s="14" t="str">
        <f t="shared" si="20"/>
        <v>No Override</v>
      </c>
      <c r="S133" s="14">
        <f t="shared" si="21"/>
        <v>4</v>
      </c>
      <c r="T133" s="14" t="str">
        <f t="shared" si="22"/>
        <v/>
      </c>
    </row>
    <row r="134" spans="1:20" ht="22.8" x14ac:dyDescent="0.3">
      <c r="A134" s="224">
        <v>4</v>
      </c>
      <c r="C134" s="14">
        <f t="shared" si="14"/>
        <v>4</v>
      </c>
      <c r="D134" s="14" t="s">
        <v>1135</v>
      </c>
      <c r="E134" s="58" t="s">
        <v>605</v>
      </c>
      <c r="F134" s="82" t="s">
        <v>607</v>
      </c>
      <c r="G134" s="176" t="s">
        <v>608</v>
      </c>
      <c r="H134" s="176" t="str">
        <f>'7. Authentication&amp;Authorization'!$H20</f>
        <v>Comment is required</v>
      </c>
      <c r="I134" s="14">
        <f>'7. Authentication&amp;Authorization'!$G20</f>
        <v>0</v>
      </c>
      <c r="J134" s="14" t="str">
        <f t="shared" si="24"/>
        <v>Blank</v>
      </c>
      <c r="K134" s="155" t="s">
        <v>1131</v>
      </c>
      <c r="L134" s="14" t="str">
        <f t="shared" si="13"/>
        <v>Blank</v>
      </c>
      <c r="N134" s="14" t="str">
        <f t="shared" si="16"/>
        <v/>
      </c>
      <c r="O134" s="14" t="str">
        <f t="shared" si="17"/>
        <v/>
      </c>
      <c r="P134" s="14" t="str">
        <f t="shared" si="18"/>
        <v>Comment is required</v>
      </c>
      <c r="Q134" s="14" t="str">
        <f t="shared" si="19"/>
        <v>Blank</v>
      </c>
      <c r="R134" s="14" t="str">
        <f t="shared" si="20"/>
        <v>No Override</v>
      </c>
      <c r="S134" s="14">
        <f t="shared" si="21"/>
        <v>4</v>
      </c>
      <c r="T134" s="14" t="str">
        <f t="shared" si="22"/>
        <v/>
      </c>
    </row>
    <row r="135" spans="1:20" ht="22.8" x14ac:dyDescent="0.3">
      <c r="A135" s="224">
        <v>4</v>
      </c>
      <c r="C135" s="14">
        <f t="shared" si="14"/>
        <v>4</v>
      </c>
      <c r="D135" s="14" t="s">
        <v>1135</v>
      </c>
      <c r="E135" s="58" t="s">
        <v>609</v>
      </c>
      <c r="F135" s="82" t="s">
        <v>611</v>
      </c>
      <c r="G135" s="176" t="s">
        <v>612</v>
      </c>
      <c r="H135" s="176" t="str">
        <f>'7. Authentication&amp;Authorization'!$H21</f>
        <v>Comment is required</v>
      </c>
      <c r="I135" s="14">
        <f>'7. Authentication&amp;Authorization'!$G21</f>
        <v>0</v>
      </c>
      <c r="J135" s="14" t="str">
        <f t="shared" si="24"/>
        <v>Blank</v>
      </c>
      <c r="K135" s="155" t="s">
        <v>1131</v>
      </c>
      <c r="L135" s="14" t="str">
        <f t="shared" si="13"/>
        <v>Blank</v>
      </c>
      <c r="N135" s="14" t="str">
        <f t="shared" si="16"/>
        <v/>
      </c>
      <c r="O135" s="14" t="str">
        <f t="shared" si="17"/>
        <v/>
      </c>
      <c r="P135" s="14" t="str">
        <f t="shared" si="18"/>
        <v>Comment is required</v>
      </c>
      <c r="Q135" s="14" t="str">
        <f t="shared" si="19"/>
        <v>Blank</v>
      </c>
      <c r="R135" s="14" t="str">
        <f t="shared" si="20"/>
        <v>No Override</v>
      </c>
      <c r="S135" s="14">
        <f t="shared" si="21"/>
        <v>4</v>
      </c>
      <c r="T135" s="14" t="str">
        <f t="shared" si="22"/>
        <v/>
      </c>
    </row>
    <row r="136" spans="1:20" x14ac:dyDescent="0.3">
      <c r="A136" s="224">
        <v>1</v>
      </c>
      <c r="C136" s="14">
        <f t="shared" si="14"/>
        <v>1</v>
      </c>
      <c r="D136" t="s">
        <v>1136</v>
      </c>
      <c r="E136" s="58" t="s">
        <v>614</v>
      </c>
      <c r="F136" s="82" t="s">
        <v>617</v>
      </c>
      <c r="G136" s="173" t="s">
        <v>618</v>
      </c>
      <c r="H136" s="175" t="str">
        <f>'8. Incident Response'!$H3</f>
        <v>Comment is required</v>
      </c>
      <c r="I136">
        <f>'8. Incident Response'!$G3</f>
        <v>0</v>
      </c>
      <c r="J136" s="14" t="str">
        <f t="shared" si="24"/>
        <v>Blank</v>
      </c>
      <c r="K136" s="155" t="s">
        <v>1131</v>
      </c>
      <c r="L136" s="14" t="str">
        <f t="shared" si="13"/>
        <v>Blank</v>
      </c>
      <c r="N136" s="14" t="str">
        <f t="shared" si="16"/>
        <v/>
      </c>
      <c r="O136" s="14" t="str">
        <f t="shared" si="17"/>
        <v/>
      </c>
      <c r="P136" s="14" t="str">
        <f t="shared" si="18"/>
        <v>Comment is required</v>
      </c>
      <c r="Q136" s="14" t="str">
        <f t="shared" si="19"/>
        <v>Blank</v>
      </c>
      <c r="R136" s="14" t="str">
        <f t="shared" si="20"/>
        <v>No Override</v>
      </c>
      <c r="S136" s="14">
        <f t="shared" si="21"/>
        <v>1</v>
      </c>
      <c r="T136" s="14" t="str">
        <f t="shared" si="22"/>
        <v/>
      </c>
    </row>
    <row r="137" spans="1:20" x14ac:dyDescent="0.3">
      <c r="A137" s="224">
        <v>2</v>
      </c>
      <c r="C137" s="14">
        <f t="shared" si="14"/>
        <v>2</v>
      </c>
      <c r="D137" s="14" t="s">
        <v>1136</v>
      </c>
      <c r="E137" s="58" t="s">
        <v>619</v>
      </c>
      <c r="F137" s="82" t="s">
        <v>621</v>
      </c>
      <c r="G137" s="176" t="s">
        <v>622</v>
      </c>
      <c r="H137" s="175" t="str">
        <f>'8. Incident Response'!$H4</f>
        <v>Comment is required</v>
      </c>
      <c r="I137" s="14">
        <f>'8. Incident Response'!$G4</f>
        <v>0</v>
      </c>
      <c r="J137" s="14" t="str">
        <f t="shared" si="24"/>
        <v>Blank</v>
      </c>
      <c r="K137" s="155" t="s">
        <v>1131</v>
      </c>
      <c r="L137" s="14" t="str">
        <f t="shared" si="13"/>
        <v>Blank</v>
      </c>
      <c r="N137" s="14" t="str">
        <f t="shared" si="16"/>
        <v/>
      </c>
      <c r="O137" s="14" t="str">
        <f t="shared" si="17"/>
        <v/>
      </c>
      <c r="P137" s="14" t="str">
        <f t="shared" si="18"/>
        <v>Comment is required</v>
      </c>
      <c r="Q137" s="14" t="str">
        <f t="shared" si="19"/>
        <v>Blank</v>
      </c>
      <c r="R137" s="14" t="str">
        <f t="shared" si="20"/>
        <v>No Override</v>
      </c>
      <c r="S137" s="14">
        <f t="shared" si="21"/>
        <v>2</v>
      </c>
      <c r="T137" s="14" t="str">
        <f t="shared" si="22"/>
        <v/>
      </c>
    </row>
    <row r="138" spans="1:20" x14ac:dyDescent="0.3">
      <c r="A138" s="224">
        <v>2</v>
      </c>
      <c r="C138" s="14">
        <f t="shared" si="14"/>
        <v>2</v>
      </c>
      <c r="D138" s="14" t="s">
        <v>1136</v>
      </c>
      <c r="E138" s="58" t="s">
        <v>623</v>
      </c>
      <c r="F138" s="82" t="s">
        <v>621</v>
      </c>
      <c r="G138" s="176" t="s">
        <v>624</v>
      </c>
      <c r="H138" s="175" t="str">
        <f>'8. Incident Response'!$H5</f>
        <v>Comment is required</v>
      </c>
      <c r="I138" s="14">
        <f>'8. Incident Response'!$G5</f>
        <v>0</v>
      </c>
      <c r="J138" s="14" t="str">
        <f t="shared" si="24"/>
        <v>Blank</v>
      </c>
      <c r="K138" s="155" t="s">
        <v>1131</v>
      </c>
      <c r="L138" s="14" t="str">
        <f t="shared" si="13"/>
        <v>Blank</v>
      </c>
      <c r="N138" s="14" t="str">
        <f t="shared" si="16"/>
        <v/>
      </c>
      <c r="O138" s="14" t="str">
        <f t="shared" si="17"/>
        <v/>
      </c>
      <c r="P138" s="14" t="str">
        <f t="shared" si="18"/>
        <v>Comment is required</v>
      </c>
      <c r="Q138" s="14" t="str">
        <f t="shared" si="19"/>
        <v>Blank</v>
      </c>
      <c r="R138" s="14" t="str">
        <f t="shared" si="20"/>
        <v>No Override</v>
      </c>
      <c r="S138" s="14">
        <f t="shared" si="21"/>
        <v>2</v>
      </c>
      <c r="T138" s="14" t="str">
        <f t="shared" si="22"/>
        <v/>
      </c>
    </row>
    <row r="139" spans="1:20" x14ac:dyDescent="0.3">
      <c r="A139" s="224">
        <v>2</v>
      </c>
      <c r="C139" s="14">
        <f t="shared" si="14"/>
        <v>2</v>
      </c>
      <c r="D139" s="14" t="s">
        <v>1136</v>
      </c>
      <c r="E139" s="58" t="s">
        <v>625</v>
      </c>
      <c r="F139" s="82" t="s">
        <v>627</v>
      </c>
      <c r="G139" s="176" t="s">
        <v>628</v>
      </c>
      <c r="H139" s="175" t="str">
        <f>'8. Incident Response'!$H6</f>
        <v>Comment is required</v>
      </c>
      <c r="I139" s="14">
        <f>'8. Incident Response'!$G6</f>
        <v>0</v>
      </c>
      <c r="J139" s="14" t="str">
        <f t="shared" si="24"/>
        <v>Blank</v>
      </c>
      <c r="K139" s="155" t="s">
        <v>1131</v>
      </c>
      <c r="L139" s="14" t="str">
        <f t="shared" si="13"/>
        <v>Blank</v>
      </c>
      <c r="N139" s="14" t="str">
        <f t="shared" si="16"/>
        <v/>
      </c>
      <c r="O139" s="14" t="str">
        <f t="shared" si="17"/>
        <v/>
      </c>
      <c r="P139" s="14" t="str">
        <f t="shared" si="18"/>
        <v>Comment is required</v>
      </c>
      <c r="Q139" s="14" t="str">
        <f t="shared" si="19"/>
        <v>Blank</v>
      </c>
      <c r="R139" s="14" t="str">
        <f t="shared" si="20"/>
        <v>No Override</v>
      </c>
      <c r="S139" s="14">
        <f t="shared" si="21"/>
        <v>2</v>
      </c>
      <c r="T139" s="14" t="str">
        <f t="shared" si="22"/>
        <v/>
      </c>
    </row>
    <row r="140" spans="1:20" x14ac:dyDescent="0.3">
      <c r="A140" s="224">
        <v>2</v>
      </c>
      <c r="C140" s="14">
        <f t="shared" si="14"/>
        <v>2</v>
      </c>
      <c r="D140" s="14" t="s">
        <v>1136</v>
      </c>
      <c r="E140" s="58" t="s">
        <v>629</v>
      </c>
      <c r="F140" s="82" t="s">
        <v>627</v>
      </c>
      <c r="G140" s="176" t="s">
        <v>630</v>
      </c>
      <c r="H140" s="175" t="str">
        <f>'8. Incident Response'!$H7</f>
        <v>Comment is required</v>
      </c>
      <c r="I140" s="14">
        <f>'8. Incident Response'!$G7</f>
        <v>0</v>
      </c>
      <c r="J140" s="14" t="str">
        <f t="shared" si="24"/>
        <v>Blank</v>
      </c>
      <c r="K140" s="155" t="s">
        <v>1131</v>
      </c>
      <c r="L140" s="14" t="str">
        <f t="shared" si="13"/>
        <v>Blank</v>
      </c>
      <c r="N140" s="14" t="str">
        <f t="shared" si="16"/>
        <v/>
      </c>
      <c r="O140" s="14" t="str">
        <f t="shared" si="17"/>
        <v/>
      </c>
      <c r="P140" s="14" t="str">
        <f t="shared" si="18"/>
        <v>Comment is required</v>
      </c>
      <c r="Q140" s="14" t="str">
        <f t="shared" si="19"/>
        <v>Blank</v>
      </c>
      <c r="R140" s="14" t="str">
        <f t="shared" si="20"/>
        <v>No Override</v>
      </c>
      <c r="S140" s="14">
        <f t="shared" si="21"/>
        <v>2</v>
      </c>
      <c r="T140" s="14" t="str">
        <f t="shared" si="22"/>
        <v/>
      </c>
    </row>
    <row r="141" spans="1:20" x14ac:dyDescent="0.3">
      <c r="A141" s="224">
        <v>1</v>
      </c>
      <c r="C141" s="14">
        <f t="shared" si="14"/>
        <v>1</v>
      </c>
      <c r="D141" s="14" t="s">
        <v>1136</v>
      </c>
      <c r="E141" s="58" t="s">
        <v>631</v>
      </c>
      <c r="F141" s="82" t="s">
        <v>634</v>
      </c>
      <c r="G141" s="176" t="s">
        <v>635</v>
      </c>
      <c r="H141" s="175" t="str">
        <f>'8. Incident Response'!$H8</f>
        <v>Comment is required</v>
      </c>
      <c r="I141" s="14">
        <f>'8. Incident Response'!$G8</f>
        <v>0</v>
      </c>
      <c r="J141" s="14" t="str">
        <f t="shared" si="24"/>
        <v>Blank</v>
      </c>
      <c r="K141" s="155" t="s">
        <v>1131</v>
      </c>
      <c r="L141" s="14" t="str">
        <f t="shared" si="13"/>
        <v>Blank</v>
      </c>
      <c r="N141" s="14" t="str">
        <f t="shared" si="16"/>
        <v/>
      </c>
      <c r="O141" s="14" t="str">
        <f t="shared" si="17"/>
        <v/>
      </c>
      <c r="P141" s="14" t="str">
        <f t="shared" si="18"/>
        <v>Comment is required</v>
      </c>
      <c r="Q141" s="14" t="str">
        <f t="shared" si="19"/>
        <v>Blank</v>
      </c>
      <c r="R141" s="14" t="str">
        <f t="shared" si="20"/>
        <v>No Override</v>
      </c>
      <c r="S141" s="14">
        <f t="shared" si="21"/>
        <v>1</v>
      </c>
      <c r="T141" s="14" t="str">
        <f t="shared" si="22"/>
        <v/>
      </c>
    </row>
    <row r="142" spans="1:20" x14ac:dyDescent="0.3">
      <c r="A142" s="224">
        <v>3</v>
      </c>
      <c r="C142" s="14">
        <f t="shared" si="14"/>
        <v>3</v>
      </c>
      <c r="D142" s="14" t="s">
        <v>1136</v>
      </c>
      <c r="E142" s="58" t="s">
        <v>636</v>
      </c>
      <c r="F142" s="82" t="s">
        <v>634</v>
      </c>
      <c r="G142" s="176" t="s">
        <v>637</v>
      </c>
      <c r="H142" s="175" t="str">
        <f>'8. Incident Response'!$H9</f>
        <v>Comment is required</v>
      </c>
      <c r="I142" s="14">
        <f>'8. Incident Response'!$G9</f>
        <v>0</v>
      </c>
      <c r="J142" s="14" t="str">
        <f t="shared" si="24"/>
        <v>Blank</v>
      </c>
      <c r="K142" s="155" t="s">
        <v>1131</v>
      </c>
      <c r="L142" s="14" t="str">
        <f t="shared" si="13"/>
        <v>Blank</v>
      </c>
      <c r="N142" s="14" t="str">
        <f t="shared" si="16"/>
        <v/>
      </c>
      <c r="O142" s="14" t="str">
        <f t="shared" si="17"/>
        <v/>
      </c>
      <c r="P142" s="14" t="str">
        <f t="shared" si="18"/>
        <v>Comment is required</v>
      </c>
      <c r="Q142" s="14" t="str">
        <f t="shared" si="19"/>
        <v>Blank</v>
      </c>
      <c r="R142" s="14" t="str">
        <f t="shared" si="20"/>
        <v>No Override</v>
      </c>
      <c r="S142" s="14">
        <f t="shared" si="21"/>
        <v>3</v>
      </c>
      <c r="T142" s="14" t="str">
        <f t="shared" si="22"/>
        <v/>
      </c>
    </row>
    <row r="143" spans="1:20" x14ac:dyDescent="0.3">
      <c r="A143" s="224">
        <v>1</v>
      </c>
      <c r="C143" s="14">
        <f t="shared" si="14"/>
        <v>1</v>
      </c>
      <c r="D143" s="14" t="s">
        <v>1136</v>
      </c>
      <c r="E143" s="58" t="s">
        <v>638</v>
      </c>
      <c r="F143" s="82" t="s">
        <v>641</v>
      </c>
      <c r="G143" s="176" t="s">
        <v>642</v>
      </c>
      <c r="H143" s="175" t="str">
        <f>'8. Incident Response'!$H10</f>
        <v>Comment is required</v>
      </c>
      <c r="I143" s="14">
        <f>'8. Incident Response'!$G10</f>
        <v>0</v>
      </c>
      <c r="J143" s="14" t="str">
        <f t="shared" si="24"/>
        <v>Blank</v>
      </c>
      <c r="K143" s="155" t="s">
        <v>1131</v>
      </c>
      <c r="L143" s="14" t="str">
        <f t="shared" si="13"/>
        <v>Blank</v>
      </c>
      <c r="N143" s="14" t="str">
        <f t="shared" si="16"/>
        <v/>
      </c>
      <c r="O143" s="14" t="str">
        <f t="shared" si="17"/>
        <v/>
      </c>
      <c r="P143" s="14" t="str">
        <f t="shared" si="18"/>
        <v>Comment is required</v>
      </c>
      <c r="Q143" s="14" t="str">
        <f t="shared" si="19"/>
        <v>Blank</v>
      </c>
      <c r="R143" s="14" t="str">
        <f t="shared" si="20"/>
        <v>No Override</v>
      </c>
      <c r="S143" s="14">
        <f t="shared" si="21"/>
        <v>1</v>
      </c>
      <c r="T143" s="14" t="str">
        <f t="shared" si="22"/>
        <v/>
      </c>
    </row>
    <row r="144" spans="1:20" x14ac:dyDescent="0.3">
      <c r="A144" s="224">
        <v>1</v>
      </c>
      <c r="C144" s="14">
        <f t="shared" si="14"/>
        <v>1</v>
      </c>
      <c r="D144" s="14" t="s">
        <v>1136</v>
      </c>
      <c r="E144" s="58" t="s">
        <v>643</v>
      </c>
      <c r="F144" s="82" t="s">
        <v>646</v>
      </c>
      <c r="G144" s="176" t="s">
        <v>647</v>
      </c>
      <c r="H144" s="175" t="str">
        <f>'8. Incident Response'!$H11</f>
        <v>Comment is required</v>
      </c>
      <c r="I144" s="14">
        <f>'8. Incident Response'!$G11</f>
        <v>0</v>
      </c>
      <c r="J144" s="14" t="str">
        <f t="shared" si="24"/>
        <v>Blank</v>
      </c>
      <c r="K144" s="155" t="s">
        <v>1131</v>
      </c>
      <c r="L144" s="14" t="str">
        <f t="shared" si="13"/>
        <v>Blank</v>
      </c>
      <c r="N144" s="14" t="str">
        <f t="shared" si="16"/>
        <v/>
      </c>
      <c r="O144" s="14" t="str">
        <f t="shared" si="17"/>
        <v/>
      </c>
      <c r="P144" s="14" t="str">
        <f t="shared" si="18"/>
        <v>Comment is required</v>
      </c>
      <c r="Q144" s="14" t="str">
        <f t="shared" si="19"/>
        <v>Blank</v>
      </c>
      <c r="R144" s="14" t="str">
        <f t="shared" si="20"/>
        <v>No Override</v>
      </c>
      <c r="S144" s="14">
        <f t="shared" si="21"/>
        <v>1</v>
      </c>
      <c r="T144" s="14" t="str">
        <f t="shared" si="22"/>
        <v/>
      </c>
    </row>
    <row r="145" spans="1:20" x14ac:dyDescent="0.3">
      <c r="A145" s="224">
        <v>3</v>
      </c>
      <c r="C145" s="14">
        <f t="shared" si="14"/>
        <v>3</v>
      </c>
      <c r="D145" s="14" t="s">
        <v>1136</v>
      </c>
      <c r="E145" s="58" t="s">
        <v>648</v>
      </c>
      <c r="F145" s="82" t="s">
        <v>651</v>
      </c>
      <c r="G145" s="176" t="s">
        <v>652</v>
      </c>
      <c r="H145" s="175" t="str">
        <f>'8. Incident Response'!$H12</f>
        <v>Comment is required</v>
      </c>
      <c r="I145" s="14">
        <f>'8. Incident Response'!$G12</f>
        <v>0</v>
      </c>
      <c r="J145" s="14" t="str">
        <f>IF($I145="Yes","Adequate",IF($I145="No","Adequate",IF($I145="Partial","Inadequate",IF($I145="N/A","Inadequate",IF(OR($I145="",$I145=0),"Blank","Error")))))</f>
        <v>Blank</v>
      </c>
      <c r="K145" s="155" t="s">
        <v>1131</v>
      </c>
      <c r="L145" s="14" t="str">
        <f t="shared" ref="L145:L208" si="25">IF($K145="No Override",$J145,$K145)</f>
        <v>Blank</v>
      </c>
      <c r="N145" s="14" t="str">
        <f t="shared" si="16"/>
        <v/>
      </c>
      <c r="O145" s="14" t="str">
        <f t="shared" si="17"/>
        <v/>
      </c>
      <c r="P145" s="14" t="str">
        <f t="shared" si="18"/>
        <v>Comment is required</v>
      </c>
      <c r="Q145" s="14" t="str">
        <f t="shared" si="19"/>
        <v>Blank</v>
      </c>
      <c r="R145" s="14" t="str">
        <f t="shared" si="20"/>
        <v>No Override</v>
      </c>
      <c r="S145" s="14">
        <f t="shared" si="21"/>
        <v>3</v>
      </c>
      <c r="T145" s="14" t="str">
        <f t="shared" si="22"/>
        <v/>
      </c>
    </row>
    <row r="146" spans="1:20" x14ac:dyDescent="0.3">
      <c r="A146" s="224">
        <v>1</v>
      </c>
      <c r="C146" s="14">
        <f t="shared" ref="C146:C209" si="26">IF($B146="",$A146,$B146)</f>
        <v>1</v>
      </c>
      <c r="D146" s="14" t="s">
        <v>1136</v>
      </c>
      <c r="E146" s="58" t="s">
        <v>653</v>
      </c>
      <c r="F146" s="82" t="s">
        <v>655</v>
      </c>
      <c r="G146" s="176" t="s">
        <v>656</v>
      </c>
      <c r="H146" s="175" t="str">
        <f>'8. Incident Response'!$H13</f>
        <v>Comment is required</v>
      </c>
      <c r="I146" s="14">
        <f>'8. Incident Response'!$G13</f>
        <v>0</v>
      </c>
      <c r="J146" s="14" t="str">
        <f>IF($I146="Yes","Adequate",IF($I146="No","Inadequate",IF($I146="Partial","Inadequate",IF($I146="N/A","Inadequate",IF(OR($I146="",$I146=0),"Blank","Error")))))</f>
        <v>Blank</v>
      </c>
      <c r="K146" s="155" t="s">
        <v>1131</v>
      </c>
      <c r="L146" s="14" t="str">
        <f t="shared" si="25"/>
        <v>Blank</v>
      </c>
      <c r="N146" s="14" t="str">
        <f t="shared" ref="N146:N209" si="27">IF($J146=$L146,"","***")</f>
        <v/>
      </c>
      <c r="O146" s="14" t="str">
        <f t="shared" ref="O146:O209" si="28">IF(OR($I146="",$I146=0),"",$I146)</f>
        <v/>
      </c>
      <c r="P146" s="14" t="str">
        <f t="shared" ref="P146:P209" si="29">IF(OR($H146="",$H146=0),"",$H146)</f>
        <v>Comment is required</v>
      </c>
      <c r="Q146" s="14" t="str">
        <f t="shared" ref="Q146:Q209" si="30">$L146</f>
        <v>Blank</v>
      </c>
      <c r="R146" s="14" t="str">
        <f t="shared" ref="R146:R209" si="31">$K146</f>
        <v>No Override</v>
      </c>
      <c r="S146" s="14">
        <f t="shared" ref="S146:S209" si="32">$C146</f>
        <v>1</v>
      </c>
      <c r="T146" s="14" t="str">
        <f t="shared" ref="T146:T209" si="33">IF($L146=$Q146,"","***")</f>
        <v/>
      </c>
    </row>
    <row r="147" spans="1:20" x14ac:dyDescent="0.3">
      <c r="A147" s="224">
        <v>3</v>
      </c>
      <c r="C147" s="14">
        <f t="shared" si="26"/>
        <v>3</v>
      </c>
      <c r="D147" s="14" t="s">
        <v>1136</v>
      </c>
      <c r="E147" s="58" t="s">
        <v>657</v>
      </c>
      <c r="F147" s="82" t="s">
        <v>659</v>
      </c>
      <c r="G147" s="176" t="s">
        <v>660</v>
      </c>
      <c r="H147" s="175" t="str">
        <f>'8. Incident Response'!$H14</f>
        <v>Comment is required</v>
      </c>
      <c r="I147" s="14">
        <f>'8. Incident Response'!$G14</f>
        <v>0</v>
      </c>
      <c r="J147" s="14" t="str">
        <f t="shared" ref="J147:J210" si="34">IF($I147="Yes","Adequate",IF($I147="No","Inadequate",IF($I147="Partial","Inadequate",IF($I147="N/A","Inadequate",IF(OR($I147="",$I147=0),"Blank","Error")))))</f>
        <v>Blank</v>
      </c>
      <c r="K147" s="155" t="s">
        <v>1131</v>
      </c>
      <c r="L147" s="14" t="str">
        <f t="shared" si="25"/>
        <v>Blank</v>
      </c>
      <c r="N147" s="14" t="str">
        <f t="shared" si="27"/>
        <v/>
      </c>
      <c r="O147" s="14" t="str">
        <f t="shared" si="28"/>
        <v/>
      </c>
      <c r="P147" s="14" t="str">
        <f t="shared" si="29"/>
        <v>Comment is required</v>
      </c>
      <c r="Q147" s="14" t="str">
        <f t="shared" si="30"/>
        <v>Blank</v>
      </c>
      <c r="R147" s="14" t="str">
        <f t="shared" si="31"/>
        <v>No Override</v>
      </c>
      <c r="S147" s="14">
        <f t="shared" si="32"/>
        <v>3</v>
      </c>
      <c r="T147" s="14" t="str">
        <f t="shared" si="33"/>
        <v/>
      </c>
    </row>
    <row r="148" spans="1:20" x14ac:dyDescent="0.3">
      <c r="A148" s="224">
        <v>4</v>
      </c>
      <c r="C148" s="14">
        <f t="shared" si="26"/>
        <v>4</v>
      </c>
      <c r="D148" t="s">
        <v>661</v>
      </c>
      <c r="E148" s="58" t="s">
        <v>662</v>
      </c>
      <c r="F148" s="82" t="s">
        <v>665</v>
      </c>
      <c r="G148" s="170" t="s">
        <v>666</v>
      </c>
      <c r="H148" s="170" t="str">
        <f>'9. Maintenance'!$H3</f>
        <v>Comment is required</v>
      </c>
      <c r="I148">
        <f>'9. Maintenance'!$G3</f>
        <v>0</v>
      </c>
      <c r="J148" s="14" t="str">
        <f t="shared" si="34"/>
        <v>Blank</v>
      </c>
      <c r="K148" s="155" t="s">
        <v>1131</v>
      </c>
      <c r="L148" s="14" t="str">
        <f t="shared" si="25"/>
        <v>Blank</v>
      </c>
      <c r="N148" s="14" t="str">
        <f t="shared" si="27"/>
        <v/>
      </c>
      <c r="O148" s="14" t="str">
        <f t="shared" si="28"/>
        <v/>
      </c>
      <c r="P148" s="14" t="str">
        <f t="shared" si="29"/>
        <v>Comment is required</v>
      </c>
      <c r="Q148" s="14" t="str">
        <f t="shared" si="30"/>
        <v>Blank</v>
      </c>
      <c r="R148" s="14" t="str">
        <f t="shared" si="31"/>
        <v>No Override</v>
      </c>
      <c r="S148" s="14">
        <f t="shared" si="32"/>
        <v>4</v>
      </c>
      <c r="T148" s="14" t="str">
        <f t="shared" si="33"/>
        <v/>
      </c>
    </row>
    <row r="149" spans="1:20" x14ac:dyDescent="0.3">
      <c r="A149" s="224">
        <v>4</v>
      </c>
      <c r="C149" s="14">
        <f t="shared" si="26"/>
        <v>4</v>
      </c>
      <c r="D149" s="14" t="s">
        <v>661</v>
      </c>
      <c r="E149" s="62" t="s">
        <v>667</v>
      </c>
      <c r="F149" s="86" t="s">
        <v>668</v>
      </c>
      <c r="G149" s="176" t="s">
        <v>669</v>
      </c>
      <c r="H149" s="170" t="str">
        <f>'9. Maintenance'!$H4</f>
        <v>Comment is required</v>
      </c>
      <c r="I149" s="14">
        <f>'9. Maintenance'!$G4</f>
        <v>0</v>
      </c>
      <c r="J149" s="14" t="str">
        <f t="shared" si="34"/>
        <v>Blank</v>
      </c>
      <c r="K149" s="155" t="s">
        <v>1131</v>
      </c>
      <c r="L149" s="14" t="str">
        <f t="shared" si="25"/>
        <v>Blank</v>
      </c>
      <c r="N149" s="14" t="str">
        <f t="shared" si="27"/>
        <v/>
      </c>
      <c r="O149" s="14" t="str">
        <f t="shared" si="28"/>
        <v/>
      </c>
      <c r="P149" s="14" t="str">
        <f t="shared" si="29"/>
        <v>Comment is required</v>
      </c>
      <c r="Q149" s="14" t="str">
        <f t="shared" si="30"/>
        <v>Blank</v>
      </c>
      <c r="R149" s="14" t="str">
        <f t="shared" si="31"/>
        <v>No Override</v>
      </c>
      <c r="S149" s="14">
        <f t="shared" si="32"/>
        <v>4</v>
      </c>
      <c r="T149" s="14" t="str">
        <f t="shared" si="33"/>
        <v/>
      </c>
    </row>
    <row r="150" spans="1:20" x14ac:dyDescent="0.3">
      <c r="A150" s="224">
        <v>4</v>
      </c>
      <c r="C150" s="14">
        <f t="shared" si="26"/>
        <v>4</v>
      </c>
      <c r="D150" s="14" t="s">
        <v>661</v>
      </c>
      <c r="E150" s="62" t="s">
        <v>670</v>
      </c>
      <c r="F150" s="86" t="s">
        <v>668</v>
      </c>
      <c r="G150" s="176" t="s">
        <v>671</v>
      </c>
      <c r="H150" s="170" t="str">
        <f>'9. Maintenance'!$H5</f>
        <v>Comment is required</v>
      </c>
      <c r="I150" s="14">
        <f>'9. Maintenance'!$G5</f>
        <v>0</v>
      </c>
      <c r="J150" s="14" t="str">
        <f t="shared" si="34"/>
        <v>Blank</v>
      </c>
      <c r="K150" s="155" t="s">
        <v>1131</v>
      </c>
      <c r="L150" s="14" t="str">
        <f t="shared" si="25"/>
        <v>Blank</v>
      </c>
      <c r="N150" s="14" t="str">
        <f t="shared" si="27"/>
        <v/>
      </c>
      <c r="O150" s="14" t="str">
        <f t="shared" si="28"/>
        <v/>
      </c>
      <c r="P150" s="14" t="str">
        <f t="shared" si="29"/>
        <v>Comment is required</v>
      </c>
      <c r="Q150" s="14" t="str">
        <f t="shared" si="30"/>
        <v>Blank</v>
      </c>
      <c r="R150" s="14" t="str">
        <f t="shared" si="31"/>
        <v>No Override</v>
      </c>
      <c r="S150" s="14">
        <f t="shared" si="32"/>
        <v>4</v>
      </c>
      <c r="T150" s="14" t="str">
        <f t="shared" si="33"/>
        <v/>
      </c>
    </row>
    <row r="151" spans="1:20" ht="22.8" x14ac:dyDescent="0.3">
      <c r="A151" s="224">
        <v>4</v>
      </c>
      <c r="C151" s="14">
        <f t="shared" si="26"/>
        <v>4</v>
      </c>
      <c r="D151" s="14" t="s">
        <v>661</v>
      </c>
      <c r="E151" s="62" t="s">
        <v>672</v>
      </c>
      <c r="F151" s="86" t="s">
        <v>668</v>
      </c>
      <c r="G151" s="176" t="s">
        <v>673</v>
      </c>
      <c r="H151" s="170" t="str">
        <f>'9. Maintenance'!$H6</f>
        <v>Comment is required</v>
      </c>
      <c r="I151" s="14">
        <f>'9. Maintenance'!$G6</f>
        <v>0</v>
      </c>
      <c r="J151" s="14" t="str">
        <f t="shared" si="34"/>
        <v>Blank</v>
      </c>
      <c r="K151" s="155" t="s">
        <v>1131</v>
      </c>
      <c r="L151" s="14" t="str">
        <f t="shared" si="25"/>
        <v>Blank</v>
      </c>
      <c r="N151" s="14" t="str">
        <f t="shared" si="27"/>
        <v/>
      </c>
      <c r="O151" s="14" t="str">
        <f t="shared" si="28"/>
        <v/>
      </c>
      <c r="P151" s="14" t="str">
        <f t="shared" si="29"/>
        <v>Comment is required</v>
      </c>
      <c r="Q151" s="14" t="str">
        <f t="shared" si="30"/>
        <v>Blank</v>
      </c>
      <c r="R151" s="14" t="str">
        <f t="shared" si="31"/>
        <v>No Override</v>
      </c>
      <c r="S151" s="14">
        <f t="shared" si="32"/>
        <v>4</v>
      </c>
      <c r="T151" s="14" t="str">
        <f t="shared" si="33"/>
        <v/>
      </c>
    </row>
    <row r="152" spans="1:20" ht="22.8" x14ac:dyDescent="0.3">
      <c r="A152" s="224">
        <v>4</v>
      </c>
      <c r="C152" s="14">
        <f t="shared" si="26"/>
        <v>4</v>
      </c>
      <c r="D152" s="14" t="s">
        <v>661</v>
      </c>
      <c r="E152" s="62" t="s">
        <v>674</v>
      </c>
      <c r="F152" s="86" t="s">
        <v>668</v>
      </c>
      <c r="G152" s="176" t="s">
        <v>675</v>
      </c>
      <c r="H152" s="170" t="str">
        <f>'9. Maintenance'!$H7</f>
        <v>Comment is required</v>
      </c>
      <c r="I152" s="14">
        <f>'9. Maintenance'!$G7</f>
        <v>0</v>
      </c>
      <c r="J152" s="14" t="str">
        <f t="shared" si="34"/>
        <v>Blank</v>
      </c>
      <c r="K152" s="155" t="s">
        <v>1131</v>
      </c>
      <c r="L152" s="14" t="str">
        <f t="shared" si="25"/>
        <v>Blank</v>
      </c>
      <c r="N152" s="14" t="str">
        <f t="shared" si="27"/>
        <v/>
      </c>
      <c r="O152" s="14" t="str">
        <f t="shared" si="28"/>
        <v/>
      </c>
      <c r="P152" s="14" t="str">
        <f t="shared" si="29"/>
        <v>Comment is required</v>
      </c>
      <c r="Q152" s="14" t="str">
        <f t="shared" si="30"/>
        <v>Blank</v>
      </c>
      <c r="R152" s="14" t="str">
        <f t="shared" si="31"/>
        <v>No Override</v>
      </c>
      <c r="S152" s="14">
        <f t="shared" si="32"/>
        <v>4</v>
      </c>
      <c r="T152" s="14" t="str">
        <f t="shared" si="33"/>
        <v/>
      </c>
    </row>
    <row r="153" spans="1:20" ht="34.200000000000003" x14ac:dyDescent="0.3">
      <c r="A153" s="224">
        <v>4</v>
      </c>
      <c r="C153" s="14">
        <f t="shared" si="26"/>
        <v>4</v>
      </c>
      <c r="D153" s="14" t="s">
        <v>661</v>
      </c>
      <c r="E153" s="62" t="s">
        <v>676</v>
      </c>
      <c r="F153" s="86" t="s">
        <v>668</v>
      </c>
      <c r="G153" s="176" t="s">
        <v>677</v>
      </c>
      <c r="H153" s="170" t="str">
        <f>'9. Maintenance'!$H8</f>
        <v>Comment is required</v>
      </c>
      <c r="I153" s="14">
        <f>'9. Maintenance'!$G8</f>
        <v>0</v>
      </c>
      <c r="J153" s="14" t="str">
        <f t="shared" si="34"/>
        <v>Blank</v>
      </c>
      <c r="K153" s="155" t="s">
        <v>1131</v>
      </c>
      <c r="L153" s="14" t="str">
        <f t="shared" si="25"/>
        <v>Blank</v>
      </c>
      <c r="N153" s="14" t="str">
        <f t="shared" si="27"/>
        <v/>
      </c>
      <c r="O153" s="14" t="str">
        <f t="shared" si="28"/>
        <v/>
      </c>
      <c r="P153" s="14" t="str">
        <f t="shared" si="29"/>
        <v>Comment is required</v>
      </c>
      <c r="Q153" s="14" t="str">
        <f t="shared" si="30"/>
        <v>Blank</v>
      </c>
      <c r="R153" s="14" t="str">
        <f t="shared" si="31"/>
        <v>No Override</v>
      </c>
      <c r="S153" s="14">
        <f t="shared" si="32"/>
        <v>4</v>
      </c>
      <c r="T153" s="14" t="str">
        <f t="shared" si="33"/>
        <v/>
      </c>
    </row>
    <row r="154" spans="1:20" x14ac:dyDescent="0.3">
      <c r="A154" s="224">
        <v>4</v>
      </c>
      <c r="C154" s="14">
        <f t="shared" si="26"/>
        <v>4</v>
      </c>
      <c r="D154" s="14" t="s">
        <v>661</v>
      </c>
      <c r="E154" s="58" t="s">
        <v>678</v>
      </c>
      <c r="F154" s="82" t="s">
        <v>680</v>
      </c>
      <c r="G154" s="176" t="s">
        <v>681</v>
      </c>
      <c r="H154" s="170" t="str">
        <f>'9. Maintenance'!$H9</f>
        <v>Comment is required</v>
      </c>
      <c r="I154" s="14">
        <f>'9. Maintenance'!$G9</f>
        <v>0</v>
      </c>
      <c r="J154" s="14" t="str">
        <f t="shared" si="34"/>
        <v>Blank</v>
      </c>
      <c r="K154" s="155" t="s">
        <v>1131</v>
      </c>
      <c r="L154" s="14" t="str">
        <f t="shared" si="25"/>
        <v>Blank</v>
      </c>
      <c r="N154" s="14" t="str">
        <f t="shared" si="27"/>
        <v/>
      </c>
      <c r="O154" s="14" t="str">
        <f t="shared" si="28"/>
        <v/>
      </c>
      <c r="P154" s="14" t="str">
        <f t="shared" si="29"/>
        <v>Comment is required</v>
      </c>
      <c r="Q154" s="14" t="str">
        <f t="shared" si="30"/>
        <v>Blank</v>
      </c>
      <c r="R154" s="14" t="str">
        <f t="shared" si="31"/>
        <v>No Override</v>
      </c>
      <c r="S154" s="14">
        <f t="shared" si="32"/>
        <v>4</v>
      </c>
      <c r="T154" s="14" t="str">
        <f t="shared" si="33"/>
        <v/>
      </c>
    </row>
    <row r="155" spans="1:20" ht="22.8" x14ac:dyDescent="0.3">
      <c r="A155" s="224">
        <v>4</v>
      </c>
      <c r="C155" s="14">
        <f t="shared" si="26"/>
        <v>4</v>
      </c>
      <c r="D155" s="14" t="s">
        <v>661</v>
      </c>
      <c r="E155" s="58" t="s">
        <v>682</v>
      </c>
      <c r="F155" s="82" t="s">
        <v>684</v>
      </c>
      <c r="G155" s="176" t="s">
        <v>685</v>
      </c>
      <c r="H155" s="170" t="str">
        <f>'9. Maintenance'!$H10</f>
        <v>Comment is required</v>
      </c>
      <c r="I155" s="14">
        <f>'9. Maintenance'!$G10</f>
        <v>0</v>
      </c>
      <c r="J155" s="48" t="str">
        <f>IF(AND($I155="Yes",$I156="Yes",$I157="Yes",$I158="Yes",$I159="Yes"),"Adequate",IF(AND($I155="Yes",OR(NOT($I156="Yes"),NOT($I157="Yes"),NOT($I158="Yes"),NOT($I159="Yes"))),"Inadequate",IF($I155="No","N/A",IF($I155="Partial","Inadequate",IF($I155="N/A","N/A",IF(OR($I155="",$I155=0),"Blank","Error"))))))</f>
        <v>Blank</v>
      </c>
      <c r="K155" s="155" t="s">
        <v>1131</v>
      </c>
      <c r="L155" s="14" t="str">
        <f t="shared" si="25"/>
        <v>Blank</v>
      </c>
      <c r="N155" s="14" t="str">
        <f t="shared" si="27"/>
        <v/>
      </c>
      <c r="O155" s="14" t="str">
        <f t="shared" si="28"/>
        <v/>
      </c>
      <c r="P155" s="14" t="str">
        <f t="shared" si="29"/>
        <v>Comment is required</v>
      </c>
      <c r="Q155" s="14" t="str">
        <f t="shared" si="30"/>
        <v>Blank</v>
      </c>
      <c r="R155" s="14" t="str">
        <f t="shared" si="31"/>
        <v>No Override</v>
      </c>
      <c r="S155" s="14">
        <f t="shared" si="32"/>
        <v>4</v>
      </c>
      <c r="T155" s="14" t="str">
        <f t="shared" si="33"/>
        <v/>
      </c>
    </row>
    <row r="156" spans="1:20" x14ac:dyDescent="0.3">
      <c r="A156" s="224">
        <v>1</v>
      </c>
      <c r="C156" s="14">
        <f t="shared" si="26"/>
        <v>1</v>
      </c>
      <c r="D156" s="14" t="s">
        <v>661</v>
      </c>
      <c r="E156" s="58" t="s">
        <v>686</v>
      </c>
      <c r="F156" s="82" t="s">
        <v>684</v>
      </c>
      <c r="G156" s="176" t="s">
        <v>687</v>
      </c>
      <c r="H156" s="170" t="str">
        <f>'9. Maintenance'!$H11</f>
        <v>Comment is required</v>
      </c>
      <c r="I156" s="14">
        <f>'9. Maintenance'!$G11</f>
        <v>0</v>
      </c>
      <c r="J156" s="60" t="str">
        <f>IF(OR($I155="N/A",$I155="No"),"N/A",IF($I156="Yes","Adequate",IF($I156="No","Inadequate",IF($I156="Partial","Inadequate",IF(AND($I156="N/A",NOT($I155="No"),NOT($I155="N/A")),"Inadequate",IF(OR($I156="",$I156=0),"Blank","Error"))))))</f>
        <v>Blank</v>
      </c>
      <c r="K156" s="155" t="s">
        <v>1131</v>
      </c>
      <c r="L156" s="14" t="str">
        <f t="shared" si="25"/>
        <v>Blank</v>
      </c>
      <c r="N156" s="14" t="str">
        <f t="shared" si="27"/>
        <v/>
      </c>
      <c r="O156" s="14" t="str">
        <f t="shared" si="28"/>
        <v/>
      </c>
      <c r="P156" s="14" t="str">
        <f t="shared" si="29"/>
        <v>Comment is required</v>
      </c>
      <c r="Q156" s="14" t="str">
        <f t="shared" si="30"/>
        <v>Blank</v>
      </c>
      <c r="R156" s="14" t="str">
        <f t="shared" si="31"/>
        <v>No Override</v>
      </c>
      <c r="S156" s="14">
        <f t="shared" si="32"/>
        <v>1</v>
      </c>
      <c r="T156" s="14" t="str">
        <f t="shared" si="33"/>
        <v/>
      </c>
    </row>
    <row r="157" spans="1:20" x14ac:dyDescent="0.3">
      <c r="A157" s="224">
        <v>1</v>
      </c>
      <c r="C157" s="14">
        <f t="shared" si="26"/>
        <v>1</v>
      </c>
      <c r="D157" s="14" t="s">
        <v>661</v>
      </c>
      <c r="E157" s="58" t="s">
        <v>688</v>
      </c>
      <c r="F157" s="82" t="s">
        <v>684</v>
      </c>
      <c r="G157" s="176" t="s">
        <v>689</v>
      </c>
      <c r="H157" s="170" t="str">
        <f>'9. Maintenance'!$H12</f>
        <v>Comment is required</v>
      </c>
      <c r="I157" s="14">
        <f>'9. Maintenance'!$G12</f>
        <v>0</v>
      </c>
      <c r="J157" s="60" t="str">
        <f>IF(OR($I155="N/A",$I155="No"),"N/A",IF($I157="Yes","Adequate",IF($I157="No","Inadequate",IF($I157="Partial","Inadequate",IF(AND($I157="N/A",NOT($I155="No"),NOT($I155="N/A")),"Inadequate",IF(OR($I157="",$I157=0),"Blank","Error"))))))</f>
        <v>Blank</v>
      </c>
      <c r="K157" s="155" t="s">
        <v>1131</v>
      </c>
      <c r="L157" s="14" t="str">
        <f t="shared" si="25"/>
        <v>Blank</v>
      </c>
      <c r="N157" s="14" t="str">
        <f t="shared" si="27"/>
        <v/>
      </c>
      <c r="O157" s="14" t="str">
        <f t="shared" si="28"/>
        <v/>
      </c>
      <c r="P157" s="14" t="str">
        <f t="shared" si="29"/>
        <v>Comment is required</v>
      </c>
      <c r="Q157" s="14" t="str">
        <f t="shared" si="30"/>
        <v>Blank</v>
      </c>
      <c r="R157" s="14" t="str">
        <f t="shared" si="31"/>
        <v>No Override</v>
      </c>
      <c r="S157" s="14">
        <f t="shared" si="32"/>
        <v>1</v>
      </c>
      <c r="T157" s="14" t="str">
        <f t="shared" si="33"/>
        <v/>
      </c>
    </row>
    <row r="158" spans="1:20" x14ac:dyDescent="0.3">
      <c r="A158" s="224">
        <v>1</v>
      </c>
      <c r="C158" s="14">
        <f t="shared" si="26"/>
        <v>1</v>
      </c>
      <c r="D158" s="14" t="s">
        <v>661</v>
      </c>
      <c r="E158" s="58" t="s">
        <v>690</v>
      </c>
      <c r="F158" s="82" t="s">
        <v>684</v>
      </c>
      <c r="G158" s="176" t="s">
        <v>691</v>
      </c>
      <c r="H158" s="170" t="str">
        <f>'9. Maintenance'!$H13</f>
        <v>Comment is required</v>
      </c>
      <c r="I158" s="14">
        <f>'9. Maintenance'!$G13</f>
        <v>0</v>
      </c>
      <c r="J158" s="60" t="str">
        <f>IF(OR($I155="N/A",$I155="No"),"N/A",IF($I158="Yes","Adequate",IF($I158="No","Inadequate",IF($I158="Partial","Inadequate",IF(AND($I158="N/A",NOT($I155="No"),NOT($I155="N/A")),"Inadequate",IF(OR($I158="",$I158=0),"Blank","Error"))))))</f>
        <v>Blank</v>
      </c>
      <c r="K158" s="155" t="s">
        <v>1131</v>
      </c>
      <c r="L158" s="14" t="str">
        <f t="shared" si="25"/>
        <v>Blank</v>
      </c>
      <c r="N158" s="14" t="str">
        <f t="shared" si="27"/>
        <v/>
      </c>
      <c r="O158" s="14" t="str">
        <f t="shared" si="28"/>
        <v/>
      </c>
      <c r="P158" s="14" t="str">
        <f t="shared" si="29"/>
        <v>Comment is required</v>
      </c>
      <c r="Q158" s="14" t="str">
        <f t="shared" si="30"/>
        <v>Blank</v>
      </c>
      <c r="R158" s="14" t="str">
        <f t="shared" si="31"/>
        <v>No Override</v>
      </c>
      <c r="S158" s="14">
        <f t="shared" si="32"/>
        <v>1</v>
      </c>
      <c r="T158" s="14" t="str">
        <f t="shared" si="33"/>
        <v/>
      </c>
    </row>
    <row r="159" spans="1:20" x14ac:dyDescent="0.3">
      <c r="A159" s="224">
        <v>1</v>
      </c>
      <c r="C159" s="14">
        <f t="shared" si="26"/>
        <v>1</v>
      </c>
      <c r="D159" s="14" t="s">
        <v>661</v>
      </c>
      <c r="E159" s="58" t="s">
        <v>692</v>
      </c>
      <c r="F159" s="82" t="s">
        <v>684</v>
      </c>
      <c r="G159" s="176" t="s">
        <v>693</v>
      </c>
      <c r="H159" s="170" t="str">
        <f>'9. Maintenance'!$H14</f>
        <v>Comment is required</v>
      </c>
      <c r="I159" s="14">
        <f>'9. Maintenance'!$G14</f>
        <v>0</v>
      </c>
      <c r="J159" s="60" t="str">
        <f>IF(OR($I155="N/A",$I155="No"),"N/A",IF($I159="Yes","Adequate",IF($I159="No","Inadequate",IF($I159="Partial","Inadequate",IF(AND($I159="N/A",NOT($I155="No"),NOT($I155="N/A")),"Inadequate",IF(OR($I159="",$I159=0),"Blank","Error"))))))</f>
        <v>Blank</v>
      </c>
      <c r="K159" s="155" t="s">
        <v>1131</v>
      </c>
      <c r="L159" s="14" t="str">
        <f t="shared" si="25"/>
        <v>Blank</v>
      </c>
      <c r="N159" s="14" t="str">
        <f t="shared" si="27"/>
        <v/>
      </c>
      <c r="O159" s="14" t="str">
        <f t="shared" si="28"/>
        <v/>
      </c>
      <c r="P159" s="14" t="str">
        <f t="shared" si="29"/>
        <v>Comment is required</v>
      </c>
      <c r="Q159" s="14" t="str">
        <f t="shared" si="30"/>
        <v>Blank</v>
      </c>
      <c r="R159" s="14" t="str">
        <f t="shared" si="31"/>
        <v>No Override</v>
      </c>
      <c r="S159" s="14">
        <f t="shared" si="32"/>
        <v>1</v>
      </c>
      <c r="T159" s="14" t="str">
        <f t="shared" si="33"/>
        <v/>
      </c>
    </row>
    <row r="160" spans="1:20" x14ac:dyDescent="0.3">
      <c r="A160" s="224">
        <v>4</v>
      </c>
      <c r="C160" s="14">
        <f t="shared" si="26"/>
        <v>4</v>
      </c>
      <c r="D160" s="14" t="s">
        <v>661</v>
      </c>
      <c r="E160" s="62" t="s">
        <v>694</v>
      </c>
      <c r="F160" s="86" t="s">
        <v>696</v>
      </c>
      <c r="G160" s="176" t="s">
        <v>697</v>
      </c>
      <c r="H160" s="170" t="str">
        <f>'9. Maintenance'!$H15</f>
        <v>Comment is required</v>
      </c>
      <c r="I160" s="14">
        <f>'9. Maintenance'!$G15</f>
        <v>0</v>
      </c>
      <c r="J160" s="14" t="str">
        <f t="shared" si="34"/>
        <v>Blank</v>
      </c>
      <c r="K160" s="155" t="s">
        <v>1131</v>
      </c>
      <c r="L160" s="14" t="str">
        <f t="shared" si="25"/>
        <v>Blank</v>
      </c>
      <c r="N160" s="14" t="str">
        <f t="shared" si="27"/>
        <v/>
      </c>
      <c r="O160" s="14" t="str">
        <f t="shared" si="28"/>
        <v/>
      </c>
      <c r="P160" s="14" t="str">
        <f t="shared" si="29"/>
        <v>Comment is required</v>
      </c>
      <c r="Q160" s="14" t="str">
        <f t="shared" si="30"/>
        <v>Blank</v>
      </c>
      <c r="R160" s="14" t="str">
        <f t="shared" si="31"/>
        <v>No Override</v>
      </c>
      <c r="S160" s="14">
        <f t="shared" si="32"/>
        <v>4</v>
      </c>
      <c r="T160" s="14" t="str">
        <f t="shared" si="33"/>
        <v/>
      </c>
    </row>
    <row r="161" spans="1:20" ht="22.8" x14ac:dyDescent="0.3">
      <c r="A161" s="224">
        <v>4</v>
      </c>
      <c r="C161" s="14">
        <f t="shared" si="26"/>
        <v>4</v>
      </c>
      <c r="D161" s="14" t="s">
        <v>661</v>
      </c>
      <c r="E161" s="62" t="s">
        <v>698</v>
      </c>
      <c r="F161" s="86" t="s">
        <v>696</v>
      </c>
      <c r="G161" s="176" t="s">
        <v>699</v>
      </c>
      <c r="H161" s="170" t="str">
        <f>'9. Maintenance'!$H16</f>
        <v>Comment is required</v>
      </c>
      <c r="I161" s="14">
        <f>'9. Maintenance'!$G16</f>
        <v>0</v>
      </c>
      <c r="J161" s="14" t="str">
        <f t="shared" si="34"/>
        <v>Blank</v>
      </c>
      <c r="K161" s="155" t="s">
        <v>1131</v>
      </c>
      <c r="L161" s="14" t="str">
        <f t="shared" si="25"/>
        <v>Blank</v>
      </c>
      <c r="N161" s="14" t="str">
        <f t="shared" si="27"/>
        <v/>
      </c>
      <c r="O161" s="14" t="str">
        <f t="shared" si="28"/>
        <v/>
      </c>
      <c r="P161" s="14" t="str">
        <f t="shared" si="29"/>
        <v>Comment is required</v>
      </c>
      <c r="Q161" s="14" t="str">
        <f t="shared" si="30"/>
        <v>Blank</v>
      </c>
      <c r="R161" s="14" t="str">
        <f t="shared" si="31"/>
        <v>No Override</v>
      </c>
      <c r="S161" s="14">
        <f t="shared" si="32"/>
        <v>4</v>
      </c>
      <c r="T161" s="14" t="str">
        <f t="shared" si="33"/>
        <v/>
      </c>
    </row>
    <row r="162" spans="1:20" ht="22.8" x14ac:dyDescent="0.3">
      <c r="A162" s="224">
        <v>4</v>
      </c>
      <c r="C162" s="14">
        <f t="shared" si="26"/>
        <v>4</v>
      </c>
      <c r="D162" s="14" t="s">
        <v>661</v>
      </c>
      <c r="E162" s="62" t="s">
        <v>700</v>
      </c>
      <c r="F162" s="86" t="s">
        <v>696</v>
      </c>
      <c r="G162" s="176" t="s">
        <v>701</v>
      </c>
      <c r="H162" s="170" t="str">
        <f>'9. Maintenance'!$H17</f>
        <v>Comment is required</v>
      </c>
      <c r="I162" s="14">
        <f>'9. Maintenance'!$G17</f>
        <v>0</v>
      </c>
      <c r="J162" s="14" t="str">
        <f t="shared" si="34"/>
        <v>Blank</v>
      </c>
      <c r="K162" s="155" t="s">
        <v>1131</v>
      </c>
      <c r="L162" s="14" t="str">
        <f t="shared" si="25"/>
        <v>Blank</v>
      </c>
      <c r="N162" s="14" t="str">
        <f t="shared" si="27"/>
        <v/>
      </c>
      <c r="O162" s="14" t="str">
        <f t="shared" si="28"/>
        <v/>
      </c>
      <c r="P162" s="14" t="str">
        <f t="shared" si="29"/>
        <v>Comment is required</v>
      </c>
      <c r="Q162" s="14" t="str">
        <f t="shared" si="30"/>
        <v>Blank</v>
      </c>
      <c r="R162" s="14" t="str">
        <f t="shared" si="31"/>
        <v>No Override</v>
      </c>
      <c r="S162" s="14">
        <f t="shared" si="32"/>
        <v>4</v>
      </c>
      <c r="T162" s="14" t="str">
        <f t="shared" si="33"/>
        <v/>
      </c>
    </row>
    <row r="163" spans="1:20" ht="34.200000000000003" x14ac:dyDescent="0.3">
      <c r="A163" s="224">
        <v>4</v>
      </c>
      <c r="C163" s="14">
        <f t="shared" si="26"/>
        <v>4</v>
      </c>
      <c r="D163" s="14" t="s">
        <v>661</v>
      </c>
      <c r="E163" s="58" t="s">
        <v>702</v>
      </c>
      <c r="F163" s="82" t="s">
        <v>704</v>
      </c>
      <c r="G163" s="177" t="s">
        <v>705</v>
      </c>
      <c r="H163" s="170" t="str">
        <f>'9. Maintenance'!$H18</f>
        <v>Comment is required</v>
      </c>
      <c r="I163" s="14">
        <f>'9. Maintenance'!$G18</f>
        <v>0</v>
      </c>
      <c r="J163" s="14" t="str">
        <f t="shared" si="34"/>
        <v>Blank</v>
      </c>
      <c r="K163" s="155" t="s">
        <v>1131</v>
      </c>
      <c r="L163" s="14" t="str">
        <f t="shared" si="25"/>
        <v>Blank</v>
      </c>
      <c r="N163" s="14" t="str">
        <f t="shared" si="27"/>
        <v/>
      </c>
      <c r="O163" s="14" t="str">
        <f t="shared" si="28"/>
        <v/>
      </c>
      <c r="P163" s="14" t="str">
        <f t="shared" si="29"/>
        <v>Comment is required</v>
      </c>
      <c r="Q163" s="14" t="str">
        <f t="shared" si="30"/>
        <v>Blank</v>
      </c>
      <c r="R163" s="14" t="str">
        <f t="shared" si="31"/>
        <v>No Override</v>
      </c>
      <c r="S163" s="14">
        <f t="shared" si="32"/>
        <v>4</v>
      </c>
      <c r="T163" s="14" t="str">
        <f t="shared" si="33"/>
        <v/>
      </c>
    </row>
    <row r="164" spans="1:20" x14ac:dyDescent="0.3">
      <c r="A164" s="224">
        <v>4</v>
      </c>
      <c r="C164" s="14">
        <f t="shared" si="26"/>
        <v>4</v>
      </c>
      <c r="D164" t="s">
        <v>706</v>
      </c>
      <c r="E164" s="58" t="s">
        <v>707</v>
      </c>
      <c r="F164" s="82" t="s">
        <v>706</v>
      </c>
      <c r="G164" s="170" t="s">
        <v>1120</v>
      </c>
      <c r="H164" s="170" t="str">
        <f>'10. Media Protection'!$H3</f>
        <v>Comment is required</v>
      </c>
      <c r="I164">
        <f>'10. Media Protection'!$G3</f>
        <v>0</v>
      </c>
      <c r="J164" s="14" t="str">
        <f t="shared" si="34"/>
        <v>Blank</v>
      </c>
      <c r="K164" s="155" t="s">
        <v>1131</v>
      </c>
      <c r="L164" s="14" t="str">
        <f t="shared" si="25"/>
        <v>Blank</v>
      </c>
      <c r="N164" s="14" t="str">
        <f t="shared" si="27"/>
        <v/>
      </c>
      <c r="O164" s="14" t="str">
        <f t="shared" si="28"/>
        <v/>
      </c>
      <c r="P164" s="14" t="str">
        <f t="shared" si="29"/>
        <v>Comment is required</v>
      </c>
      <c r="Q164" s="14" t="str">
        <f t="shared" si="30"/>
        <v>Blank</v>
      </c>
      <c r="R164" s="14" t="str">
        <f t="shared" si="31"/>
        <v>No Override</v>
      </c>
      <c r="S164" s="14">
        <f t="shared" si="32"/>
        <v>4</v>
      </c>
      <c r="T164" s="14" t="str">
        <f t="shared" si="33"/>
        <v/>
      </c>
    </row>
    <row r="165" spans="1:20" x14ac:dyDescent="0.3">
      <c r="A165" s="224">
        <v>4</v>
      </c>
      <c r="C165" s="14">
        <f t="shared" si="26"/>
        <v>4</v>
      </c>
      <c r="D165" s="14" t="s">
        <v>706</v>
      </c>
      <c r="E165" s="58" t="s">
        <v>710</v>
      </c>
      <c r="F165" s="82" t="s">
        <v>711</v>
      </c>
      <c r="G165" s="170" t="s">
        <v>712</v>
      </c>
      <c r="H165" s="170" t="str">
        <f>'10. Media Protection'!$H4</f>
        <v>Comment is required</v>
      </c>
      <c r="I165" s="14">
        <f>'10. Media Protection'!$G4</f>
        <v>0</v>
      </c>
      <c r="J165" s="14" t="str">
        <f t="shared" si="34"/>
        <v>Blank</v>
      </c>
      <c r="K165" s="155" t="s">
        <v>1131</v>
      </c>
      <c r="L165" s="14" t="str">
        <f t="shared" si="25"/>
        <v>Blank</v>
      </c>
      <c r="N165" s="14" t="str">
        <f t="shared" si="27"/>
        <v/>
      </c>
      <c r="O165" s="14" t="str">
        <f t="shared" si="28"/>
        <v/>
      </c>
      <c r="P165" s="14" t="str">
        <f t="shared" si="29"/>
        <v>Comment is required</v>
      </c>
      <c r="Q165" s="14" t="str">
        <f t="shared" si="30"/>
        <v>Blank</v>
      </c>
      <c r="R165" s="14" t="str">
        <f t="shared" si="31"/>
        <v>No Override</v>
      </c>
      <c r="S165" s="14">
        <f t="shared" si="32"/>
        <v>4</v>
      </c>
      <c r="T165" s="14" t="str">
        <f t="shared" si="33"/>
        <v/>
      </c>
    </row>
    <row r="166" spans="1:20" ht="22.8" x14ac:dyDescent="0.3">
      <c r="A166" s="224">
        <v>4</v>
      </c>
      <c r="C166" s="14">
        <f t="shared" si="26"/>
        <v>4</v>
      </c>
      <c r="D166" s="14" t="s">
        <v>706</v>
      </c>
      <c r="E166" s="58" t="s">
        <v>713</v>
      </c>
      <c r="F166" s="82" t="s">
        <v>716</v>
      </c>
      <c r="G166" s="176" t="s">
        <v>717</v>
      </c>
      <c r="H166" s="170" t="str">
        <f>'10. Media Protection'!$H5</f>
        <v>Comment is required</v>
      </c>
      <c r="I166" s="14">
        <f>'10. Media Protection'!$G5</f>
        <v>0</v>
      </c>
      <c r="J166" s="14" t="str">
        <f t="shared" si="34"/>
        <v>Blank</v>
      </c>
      <c r="K166" s="155" t="s">
        <v>1131</v>
      </c>
      <c r="L166" s="14" t="str">
        <f t="shared" si="25"/>
        <v>Blank</v>
      </c>
      <c r="N166" s="14" t="str">
        <f t="shared" si="27"/>
        <v/>
      </c>
      <c r="O166" s="14" t="str">
        <f t="shared" si="28"/>
        <v/>
      </c>
      <c r="P166" s="14" t="str">
        <f t="shared" si="29"/>
        <v>Comment is required</v>
      </c>
      <c r="Q166" s="14" t="str">
        <f t="shared" si="30"/>
        <v>Blank</v>
      </c>
      <c r="R166" s="14" t="str">
        <f t="shared" si="31"/>
        <v>No Override</v>
      </c>
      <c r="S166" s="14">
        <f t="shared" si="32"/>
        <v>4</v>
      </c>
      <c r="T166" s="14" t="str">
        <f t="shared" si="33"/>
        <v/>
      </c>
    </row>
    <row r="167" spans="1:20" ht="22.8" x14ac:dyDescent="0.3">
      <c r="A167" s="224">
        <v>3</v>
      </c>
      <c r="C167" s="14">
        <f t="shared" si="26"/>
        <v>3</v>
      </c>
      <c r="D167" s="14" t="s">
        <v>706</v>
      </c>
      <c r="E167" s="58" t="s">
        <v>718</v>
      </c>
      <c r="F167" s="82" t="s">
        <v>721</v>
      </c>
      <c r="G167" s="176" t="s">
        <v>722</v>
      </c>
      <c r="H167" s="170" t="str">
        <f>'10. Media Protection'!$H6</f>
        <v>Comment is required</v>
      </c>
      <c r="I167" s="14">
        <f>'10. Media Protection'!$G6</f>
        <v>0</v>
      </c>
      <c r="J167" s="14" t="str">
        <f t="shared" si="34"/>
        <v>Blank</v>
      </c>
      <c r="K167" s="155" t="s">
        <v>1131</v>
      </c>
      <c r="L167" s="14" t="str">
        <f t="shared" si="25"/>
        <v>Blank</v>
      </c>
      <c r="N167" s="14" t="str">
        <f t="shared" si="27"/>
        <v/>
      </c>
      <c r="O167" s="14" t="str">
        <f t="shared" si="28"/>
        <v/>
      </c>
      <c r="P167" s="14" t="str">
        <f t="shared" si="29"/>
        <v>Comment is required</v>
      </c>
      <c r="Q167" s="14" t="str">
        <f t="shared" si="30"/>
        <v>Blank</v>
      </c>
      <c r="R167" s="14" t="str">
        <f t="shared" si="31"/>
        <v>No Override</v>
      </c>
      <c r="S167" s="14">
        <f t="shared" si="32"/>
        <v>3</v>
      </c>
      <c r="T167" s="14" t="str">
        <f t="shared" si="33"/>
        <v/>
      </c>
    </row>
    <row r="168" spans="1:20" x14ac:dyDescent="0.3">
      <c r="A168" s="224">
        <v>2</v>
      </c>
      <c r="C168" s="14">
        <f t="shared" si="26"/>
        <v>2</v>
      </c>
      <c r="D168" s="14" t="s">
        <v>706</v>
      </c>
      <c r="E168" s="58" t="s">
        <v>723</v>
      </c>
      <c r="F168" s="82" t="s">
        <v>726</v>
      </c>
      <c r="G168" s="176" t="s">
        <v>727</v>
      </c>
      <c r="H168" s="170" t="str">
        <f>'10. Media Protection'!$H7</f>
        <v>Comment is required</v>
      </c>
      <c r="I168" s="14">
        <f>'10. Media Protection'!$G7</f>
        <v>0</v>
      </c>
      <c r="J168" s="14" t="str">
        <f t="shared" si="34"/>
        <v>Blank</v>
      </c>
      <c r="K168" s="155" t="s">
        <v>1131</v>
      </c>
      <c r="L168" s="14" t="str">
        <f t="shared" si="25"/>
        <v>Blank</v>
      </c>
      <c r="N168" s="14" t="str">
        <f t="shared" si="27"/>
        <v/>
      </c>
      <c r="O168" s="14" t="str">
        <f t="shared" si="28"/>
        <v/>
      </c>
      <c r="P168" s="14" t="str">
        <f t="shared" si="29"/>
        <v>Comment is required</v>
      </c>
      <c r="Q168" s="14" t="str">
        <f t="shared" si="30"/>
        <v>Blank</v>
      </c>
      <c r="R168" s="14" t="str">
        <f t="shared" si="31"/>
        <v>No Override</v>
      </c>
      <c r="S168" s="14">
        <f t="shared" si="32"/>
        <v>2</v>
      </c>
      <c r="T168" s="14" t="str">
        <f t="shared" si="33"/>
        <v/>
      </c>
    </row>
    <row r="169" spans="1:20" x14ac:dyDescent="0.3">
      <c r="A169" s="224">
        <v>4</v>
      </c>
      <c r="C169" s="14">
        <f t="shared" si="26"/>
        <v>4</v>
      </c>
      <c r="D169" s="14" t="s">
        <v>706</v>
      </c>
      <c r="E169" s="62" t="s">
        <v>728</v>
      </c>
      <c r="F169" s="82" t="s">
        <v>731</v>
      </c>
      <c r="G169" s="176" t="s">
        <v>732</v>
      </c>
      <c r="H169" s="170" t="str">
        <f>'10. Media Protection'!$H8</f>
        <v>Comment is required</v>
      </c>
      <c r="I169" s="14">
        <f>'10. Media Protection'!$G8</f>
        <v>0</v>
      </c>
      <c r="J169" s="48" t="str">
        <f>IF(AND($I169="Yes",$I170="Yes"),"Adequate",IF(AND($I169="Yes",NOT($I170="Yes")),"Inadequate",IF($I169="No","N/A",IF($I169="Partial","Inadequate",IF($I169="N/A","N/A",IF(OR($I169="",$I169=0),"Blank","Error"))))))</f>
        <v>Blank</v>
      </c>
      <c r="K169" s="155" t="s">
        <v>1131</v>
      </c>
      <c r="L169" s="14" t="str">
        <f t="shared" si="25"/>
        <v>Blank</v>
      </c>
      <c r="N169" s="14" t="str">
        <f t="shared" si="27"/>
        <v/>
      </c>
      <c r="O169" s="14" t="str">
        <f t="shared" si="28"/>
        <v/>
      </c>
      <c r="P169" s="14" t="str">
        <f t="shared" si="29"/>
        <v>Comment is required</v>
      </c>
      <c r="Q169" s="14" t="str">
        <f t="shared" si="30"/>
        <v>Blank</v>
      </c>
      <c r="R169" s="14" t="str">
        <f t="shared" si="31"/>
        <v>No Override</v>
      </c>
      <c r="S169" s="14">
        <f t="shared" si="32"/>
        <v>4</v>
      </c>
      <c r="T169" s="14" t="str">
        <f t="shared" si="33"/>
        <v/>
      </c>
    </row>
    <row r="170" spans="1:20" ht="22.8" x14ac:dyDescent="0.3">
      <c r="A170" s="224">
        <v>3</v>
      </c>
      <c r="C170" s="14">
        <f t="shared" si="26"/>
        <v>3</v>
      </c>
      <c r="D170" s="14" t="s">
        <v>706</v>
      </c>
      <c r="E170" s="62" t="s">
        <v>733</v>
      </c>
      <c r="F170" s="82" t="s">
        <v>731</v>
      </c>
      <c r="G170" s="176" t="s">
        <v>734</v>
      </c>
      <c r="H170" s="170" t="str">
        <f>'10. Media Protection'!$H9</f>
        <v>Comment is required</v>
      </c>
      <c r="I170" s="14">
        <f>'10. Media Protection'!$G9</f>
        <v>0</v>
      </c>
      <c r="J170" s="60" t="str">
        <f>IF(OR($I169="N/A",$I169="No"),"N/A",IF($I170="Yes","Adequate",IF($I170="No","Inadequate",IF($I170="Partial","Inadequate",IF(AND($I170="N/A",NOT($I169="No"),NOT($I169="N/A")),"Inadequate",IF(OR($I170="",$I170=0),"Blank","Error"))))))</f>
        <v>Blank</v>
      </c>
      <c r="K170" s="155" t="s">
        <v>1131</v>
      </c>
      <c r="L170" s="14" t="str">
        <f t="shared" si="25"/>
        <v>Blank</v>
      </c>
      <c r="N170" s="14" t="str">
        <f t="shared" si="27"/>
        <v/>
      </c>
      <c r="O170" s="14" t="str">
        <f t="shared" si="28"/>
        <v/>
      </c>
      <c r="P170" s="14" t="str">
        <f t="shared" si="29"/>
        <v>Comment is required</v>
      </c>
      <c r="Q170" s="14" t="str">
        <f t="shared" si="30"/>
        <v>Blank</v>
      </c>
      <c r="R170" s="14" t="str">
        <f t="shared" si="31"/>
        <v>No Override</v>
      </c>
      <c r="S170" s="14">
        <f t="shared" si="32"/>
        <v>3</v>
      </c>
      <c r="T170" s="14" t="str">
        <f t="shared" si="33"/>
        <v/>
      </c>
    </row>
    <row r="171" spans="1:20" x14ac:dyDescent="0.3">
      <c r="A171" s="224">
        <v>4</v>
      </c>
      <c r="C171" s="14">
        <f t="shared" si="26"/>
        <v>4</v>
      </c>
      <c r="D171" s="14" t="s">
        <v>706</v>
      </c>
      <c r="E171" s="58" t="s">
        <v>735</v>
      </c>
      <c r="F171" s="82" t="s">
        <v>738</v>
      </c>
      <c r="G171" s="176" t="s">
        <v>739</v>
      </c>
      <c r="H171" s="170" t="str">
        <f>'10. Media Protection'!$H10</f>
        <v>Comment is required</v>
      </c>
      <c r="I171" s="14">
        <f>'10. Media Protection'!$G10</f>
        <v>0</v>
      </c>
      <c r="J171" s="14" t="str">
        <f t="shared" si="34"/>
        <v>Blank</v>
      </c>
      <c r="K171" s="155" t="s">
        <v>1131</v>
      </c>
      <c r="L171" s="14" t="str">
        <f t="shared" si="25"/>
        <v>Blank</v>
      </c>
      <c r="N171" s="14" t="str">
        <f t="shared" si="27"/>
        <v/>
      </c>
      <c r="O171" s="14" t="str">
        <f t="shared" si="28"/>
        <v/>
      </c>
      <c r="P171" s="14" t="str">
        <f t="shared" si="29"/>
        <v>Comment is required</v>
      </c>
      <c r="Q171" s="14" t="str">
        <f t="shared" si="30"/>
        <v>Blank</v>
      </c>
      <c r="R171" s="14" t="str">
        <f t="shared" si="31"/>
        <v>No Override</v>
      </c>
      <c r="S171" s="14">
        <f t="shared" si="32"/>
        <v>4</v>
      </c>
      <c r="T171" s="14" t="str">
        <f t="shared" si="33"/>
        <v/>
      </c>
    </row>
    <row r="172" spans="1:20" ht="22.8" x14ac:dyDescent="0.3">
      <c r="A172" s="224">
        <v>4</v>
      </c>
      <c r="C172" s="14">
        <f t="shared" si="26"/>
        <v>4</v>
      </c>
      <c r="D172" s="14" t="s">
        <v>706</v>
      </c>
      <c r="E172" s="58" t="s">
        <v>740</v>
      </c>
      <c r="F172" s="82" t="s">
        <v>742</v>
      </c>
      <c r="G172" s="170" t="s">
        <v>743</v>
      </c>
      <c r="H172" s="170" t="str">
        <f>'10. Media Protection'!$H11</f>
        <v>Comment is required</v>
      </c>
      <c r="I172" s="14">
        <f>'10. Media Protection'!$G11</f>
        <v>0</v>
      </c>
      <c r="J172" s="14" t="str">
        <f t="shared" si="34"/>
        <v>Blank</v>
      </c>
      <c r="K172" s="155" t="s">
        <v>1131</v>
      </c>
      <c r="L172" s="14" t="str">
        <f t="shared" si="25"/>
        <v>Blank</v>
      </c>
      <c r="N172" s="14" t="str">
        <f t="shared" si="27"/>
        <v/>
      </c>
      <c r="O172" s="14" t="str">
        <f t="shared" si="28"/>
        <v/>
      </c>
      <c r="P172" s="14" t="str">
        <f t="shared" si="29"/>
        <v>Comment is required</v>
      </c>
      <c r="Q172" s="14" t="str">
        <f t="shared" si="30"/>
        <v>Blank</v>
      </c>
      <c r="R172" s="14" t="str">
        <f t="shared" si="31"/>
        <v>No Override</v>
      </c>
      <c r="S172" s="14">
        <f t="shared" si="32"/>
        <v>4</v>
      </c>
      <c r="T172" s="14" t="str">
        <f t="shared" si="33"/>
        <v/>
      </c>
    </row>
    <row r="173" spans="1:20" ht="22.8" x14ac:dyDescent="0.3">
      <c r="A173" s="224">
        <v>4</v>
      </c>
      <c r="C173" s="14">
        <f t="shared" si="26"/>
        <v>4</v>
      </c>
      <c r="D173" s="14" t="s">
        <v>706</v>
      </c>
      <c r="E173" s="58" t="s">
        <v>744</v>
      </c>
      <c r="F173" s="82" t="s">
        <v>742</v>
      </c>
      <c r="G173" s="170" t="s">
        <v>745</v>
      </c>
      <c r="H173" s="170" t="str">
        <f>'10. Media Protection'!$H12</f>
        <v>Comment is required</v>
      </c>
      <c r="I173" s="14">
        <f>'10. Media Protection'!$G12</f>
        <v>0</v>
      </c>
      <c r="J173" s="14" t="str">
        <f t="shared" si="34"/>
        <v>Blank</v>
      </c>
      <c r="K173" s="155" t="s">
        <v>1131</v>
      </c>
      <c r="L173" s="14" t="str">
        <f t="shared" si="25"/>
        <v>Blank</v>
      </c>
      <c r="N173" s="14" t="str">
        <f t="shared" si="27"/>
        <v/>
      </c>
      <c r="O173" s="14" t="str">
        <f t="shared" si="28"/>
        <v/>
      </c>
      <c r="P173" s="14" t="str">
        <f t="shared" si="29"/>
        <v>Comment is required</v>
      </c>
      <c r="Q173" s="14" t="str">
        <f t="shared" si="30"/>
        <v>Blank</v>
      </c>
      <c r="R173" s="14" t="str">
        <f t="shared" si="31"/>
        <v>No Override</v>
      </c>
      <c r="S173" s="14">
        <f t="shared" si="32"/>
        <v>4</v>
      </c>
      <c r="T173" s="14" t="str">
        <f t="shared" si="33"/>
        <v/>
      </c>
    </row>
    <row r="174" spans="1:20" ht="22.8" x14ac:dyDescent="0.3">
      <c r="A174" s="224">
        <v>4</v>
      </c>
      <c r="C174" s="14">
        <f t="shared" si="26"/>
        <v>4</v>
      </c>
      <c r="D174" t="s">
        <v>1137</v>
      </c>
      <c r="E174" s="58" t="s">
        <v>747</v>
      </c>
      <c r="F174" s="82" t="s">
        <v>750</v>
      </c>
      <c r="G174" s="170" t="s">
        <v>1303</v>
      </c>
      <c r="H174" s="170" t="str">
        <f>'11. Physical Security'!$H3</f>
        <v>Comment is required</v>
      </c>
      <c r="I174">
        <f>'11. Physical Security'!$G3</f>
        <v>0</v>
      </c>
      <c r="J174" s="14" t="str">
        <f t="shared" si="34"/>
        <v>Blank</v>
      </c>
      <c r="K174" s="155" t="s">
        <v>1131</v>
      </c>
      <c r="L174" s="14" t="str">
        <f t="shared" si="25"/>
        <v>Blank</v>
      </c>
      <c r="N174" s="14" t="str">
        <f t="shared" si="27"/>
        <v/>
      </c>
      <c r="O174" s="14" t="str">
        <f t="shared" si="28"/>
        <v/>
      </c>
      <c r="P174" s="14" t="str">
        <f t="shared" si="29"/>
        <v>Comment is required</v>
      </c>
      <c r="Q174" s="14" t="str">
        <f t="shared" si="30"/>
        <v>Blank</v>
      </c>
      <c r="R174" s="14" t="str">
        <f t="shared" si="31"/>
        <v>No Override</v>
      </c>
      <c r="S174" s="14">
        <f t="shared" si="32"/>
        <v>4</v>
      </c>
      <c r="T174" s="14" t="str">
        <f t="shared" si="33"/>
        <v/>
      </c>
    </row>
    <row r="175" spans="1:20" ht="22.8" x14ac:dyDescent="0.3">
      <c r="A175" s="224">
        <v>4</v>
      </c>
      <c r="C175" s="14">
        <f t="shared" si="26"/>
        <v>4</v>
      </c>
      <c r="D175" s="14" t="s">
        <v>1137</v>
      </c>
      <c r="E175" s="62" t="s">
        <v>751</v>
      </c>
      <c r="F175" s="86" t="s">
        <v>753</v>
      </c>
      <c r="G175" s="176" t="s">
        <v>754</v>
      </c>
      <c r="H175" s="170" t="str">
        <f>'11. Physical Security'!$H4</f>
        <v>Comment is required</v>
      </c>
      <c r="I175" s="14">
        <f>'11. Physical Security'!$G4</f>
        <v>0</v>
      </c>
      <c r="J175" s="14" t="str">
        <f t="shared" si="34"/>
        <v>Blank</v>
      </c>
      <c r="K175" s="155" t="s">
        <v>1131</v>
      </c>
      <c r="L175" s="14" t="str">
        <f t="shared" si="25"/>
        <v>Blank</v>
      </c>
      <c r="N175" s="14" t="str">
        <f t="shared" si="27"/>
        <v/>
      </c>
      <c r="O175" s="14" t="str">
        <f t="shared" si="28"/>
        <v/>
      </c>
      <c r="P175" s="14" t="str">
        <f t="shared" si="29"/>
        <v>Comment is required</v>
      </c>
      <c r="Q175" s="14" t="str">
        <f t="shared" si="30"/>
        <v>Blank</v>
      </c>
      <c r="R175" s="14" t="str">
        <f t="shared" si="31"/>
        <v>No Override</v>
      </c>
      <c r="S175" s="14">
        <f t="shared" si="32"/>
        <v>4</v>
      </c>
      <c r="T175" s="14" t="str">
        <f t="shared" si="33"/>
        <v/>
      </c>
    </row>
    <row r="176" spans="1:20" x14ac:dyDescent="0.3">
      <c r="A176" s="224">
        <v>4</v>
      </c>
      <c r="C176" s="14">
        <f t="shared" si="26"/>
        <v>4</v>
      </c>
      <c r="D176" s="14" t="s">
        <v>1137</v>
      </c>
      <c r="E176" s="62" t="s">
        <v>755</v>
      </c>
      <c r="F176" s="86" t="s">
        <v>753</v>
      </c>
      <c r="G176" s="176" t="s">
        <v>756</v>
      </c>
      <c r="H176" s="170" t="str">
        <f>'11. Physical Security'!$H5</f>
        <v>Comment is required</v>
      </c>
      <c r="I176" s="14">
        <f>'11. Physical Security'!$G5</f>
        <v>0</v>
      </c>
      <c r="J176" s="14" t="str">
        <f t="shared" si="34"/>
        <v>Blank</v>
      </c>
      <c r="K176" s="155" t="s">
        <v>1131</v>
      </c>
      <c r="L176" s="14" t="str">
        <f t="shared" si="25"/>
        <v>Blank</v>
      </c>
      <c r="N176" s="14" t="str">
        <f t="shared" si="27"/>
        <v/>
      </c>
      <c r="O176" s="14" t="str">
        <f t="shared" si="28"/>
        <v/>
      </c>
      <c r="P176" s="14" t="str">
        <f t="shared" si="29"/>
        <v>Comment is required</v>
      </c>
      <c r="Q176" s="14" t="str">
        <f t="shared" si="30"/>
        <v>Blank</v>
      </c>
      <c r="R176" s="14" t="str">
        <f t="shared" si="31"/>
        <v>No Override</v>
      </c>
      <c r="S176" s="14">
        <f t="shared" si="32"/>
        <v>4</v>
      </c>
      <c r="T176" s="14" t="str">
        <f t="shared" si="33"/>
        <v/>
      </c>
    </row>
    <row r="177" spans="1:20" x14ac:dyDescent="0.3">
      <c r="A177" s="224">
        <v>4</v>
      </c>
      <c r="C177" s="14">
        <f t="shared" si="26"/>
        <v>4</v>
      </c>
      <c r="D177" s="14" t="s">
        <v>1137</v>
      </c>
      <c r="E177" s="62" t="s">
        <v>757</v>
      </c>
      <c r="F177" s="86" t="s">
        <v>753</v>
      </c>
      <c r="G177" s="176" t="s">
        <v>758</v>
      </c>
      <c r="H177" s="170" t="str">
        <f>'11. Physical Security'!$H6</f>
        <v>Comment is required</v>
      </c>
      <c r="I177" s="14">
        <f>'11. Physical Security'!$G6</f>
        <v>0</v>
      </c>
      <c r="J177" s="14" t="str">
        <f t="shared" si="34"/>
        <v>Blank</v>
      </c>
      <c r="K177" s="155" t="s">
        <v>1131</v>
      </c>
      <c r="L177" s="14" t="str">
        <f t="shared" si="25"/>
        <v>Blank</v>
      </c>
      <c r="N177" s="14" t="str">
        <f t="shared" si="27"/>
        <v/>
      </c>
      <c r="O177" s="14" t="str">
        <f t="shared" si="28"/>
        <v/>
      </c>
      <c r="P177" s="14" t="str">
        <f t="shared" si="29"/>
        <v>Comment is required</v>
      </c>
      <c r="Q177" s="14" t="str">
        <f t="shared" si="30"/>
        <v>Blank</v>
      </c>
      <c r="R177" s="14" t="str">
        <f t="shared" si="31"/>
        <v>No Override</v>
      </c>
      <c r="S177" s="14">
        <f t="shared" si="32"/>
        <v>4</v>
      </c>
      <c r="T177" s="14" t="str">
        <f t="shared" si="33"/>
        <v/>
      </c>
    </row>
    <row r="178" spans="1:20" ht="22.8" x14ac:dyDescent="0.3">
      <c r="A178" s="224">
        <v>4</v>
      </c>
      <c r="C178" s="14">
        <f t="shared" si="26"/>
        <v>4</v>
      </c>
      <c r="D178" s="14" t="s">
        <v>1137</v>
      </c>
      <c r="E178" s="62" t="s">
        <v>759</v>
      </c>
      <c r="F178" s="86" t="s">
        <v>761</v>
      </c>
      <c r="G178" s="176" t="s">
        <v>762</v>
      </c>
      <c r="H178" s="170" t="str">
        <f>'11. Physical Security'!$H7</f>
        <v>Comment is required</v>
      </c>
      <c r="I178" s="14">
        <f>'11. Physical Security'!$G7</f>
        <v>0</v>
      </c>
      <c r="J178" s="14" t="str">
        <f t="shared" si="34"/>
        <v>Blank</v>
      </c>
      <c r="K178" s="155" t="s">
        <v>1131</v>
      </c>
      <c r="L178" s="14" t="str">
        <f t="shared" si="25"/>
        <v>Blank</v>
      </c>
      <c r="N178" s="14" t="str">
        <f t="shared" si="27"/>
        <v/>
      </c>
      <c r="O178" s="14" t="str">
        <f t="shared" si="28"/>
        <v/>
      </c>
      <c r="P178" s="14" t="str">
        <f t="shared" si="29"/>
        <v>Comment is required</v>
      </c>
      <c r="Q178" s="14" t="str">
        <f t="shared" si="30"/>
        <v>Blank</v>
      </c>
      <c r="R178" s="14" t="str">
        <f t="shared" si="31"/>
        <v>No Override</v>
      </c>
      <c r="S178" s="14">
        <f t="shared" si="32"/>
        <v>4</v>
      </c>
      <c r="T178" s="14" t="str">
        <f t="shared" si="33"/>
        <v/>
      </c>
    </row>
    <row r="179" spans="1:20" x14ac:dyDescent="0.3">
      <c r="A179" s="224">
        <v>4</v>
      </c>
      <c r="C179" s="14">
        <f t="shared" si="26"/>
        <v>4</v>
      </c>
      <c r="D179" s="14" t="s">
        <v>1137</v>
      </c>
      <c r="E179" s="62" t="s">
        <v>763</v>
      </c>
      <c r="F179" s="86" t="s">
        <v>761</v>
      </c>
      <c r="G179" s="176" t="s">
        <v>764</v>
      </c>
      <c r="H179" s="170" t="str">
        <f>'11. Physical Security'!$H8</f>
        <v>Comment is required</v>
      </c>
      <c r="I179" s="14">
        <f>'11. Physical Security'!$G8</f>
        <v>0</v>
      </c>
      <c r="J179" s="14" t="str">
        <f t="shared" si="34"/>
        <v>Blank</v>
      </c>
      <c r="K179" s="155" t="s">
        <v>1131</v>
      </c>
      <c r="L179" s="14" t="str">
        <f t="shared" si="25"/>
        <v>Blank</v>
      </c>
      <c r="N179" s="14" t="str">
        <f t="shared" si="27"/>
        <v/>
      </c>
      <c r="O179" s="14" t="str">
        <f t="shared" si="28"/>
        <v/>
      </c>
      <c r="P179" s="14" t="str">
        <f t="shared" si="29"/>
        <v>Comment is required</v>
      </c>
      <c r="Q179" s="14" t="str">
        <f t="shared" si="30"/>
        <v>Blank</v>
      </c>
      <c r="R179" s="14" t="str">
        <f t="shared" si="31"/>
        <v>No Override</v>
      </c>
      <c r="S179" s="14">
        <f t="shared" si="32"/>
        <v>4</v>
      </c>
      <c r="T179" s="14" t="str">
        <f t="shared" si="33"/>
        <v/>
      </c>
    </row>
    <row r="180" spans="1:20" ht="22.8" x14ac:dyDescent="0.3">
      <c r="A180" s="224">
        <v>4</v>
      </c>
      <c r="C180" s="14">
        <f t="shared" si="26"/>
        <v>4</v>
      </c>
      <c r="D180" s="14" t="s">
        <v>1137</v>
      </c>
      <c r="E180" s="62" t="s">
        <v>765</v>
      </c>
      <c r="F180" s="86" t="s">
        <v>761</v>
      </c>
      <c r="G180" s="176" t="s">
        <v>766</v>
      </c>
      <c r="H180" s="170" t="str">
        <f>'11. Physical Security'!$H9</f>
        <v>Comment is required</v>
      </c>
      <c r="I180" s="14">
        <f>'11. Physical Security'!$G9</f>
        <v>0</v>
      </c>
      <c r="J180" s="14" t="str">
        <f>IF($I180="Yes","Adequate",IF($I180="No","Adequate",IF($I180="Partial","Inadequate",IF($I180="N/A","Inadequate",IF(OR($I180="",$I180=0),"Blank","Error")))))</f>
        <v>Blank</v>
      </c>
      <c r="K180" s="155" t="s">
        <v>1131</v>
      </c>
      <c r="L180" s="14" t="str">
        <f t="shared" si="25"/>
        <v>Blank</v>
      </c>
      <c r="N180" s="14" t="str">
        <f t="shared" si="27"/>
        <v/>
      </c>
      <c r="O180" s="14" t="str">
        <f t="shared" si="28"/>
        <v/>
      </c>
      <c r="P180" s="14" t="str">
        <f t="shared" si="29"/>
        <v>Comment is required</v>
      </c>
      <c r="Q180" s="14" t="str">
        <f t="shared" si="30"/>
        <v>Blank</v>
      </c>
      <c r="R180" s="14" t="str">
        <f t="shared" si="31"/>
        <v>No Override</v>
      </c>
      <c r="S180" s="14">
        <f t="shared" si="32"/>
        <v>4</v>
      </c>
      <c r="T180" s="14" t="str">
        <f t="shared" si="33"/>
        <v/>
      </c>
    </row>
    <row r="181" spans="1:20" x14ac:dyDescent="0.3">
      <c r="A181" s="224">
        <v>4</v>
      </c>
      <c r="C181" s="14">
        <f t="shared" si="26"/>
        <v>4</v>
      </c>
      <c r="D181" s="14" t="s">
        <v>1137</v>
      </c>
      <c r="E181" s="62" t="s">
        <v>767</v>
      </c>
      <c r="F181" s="86" t="s">
        <v>761</v>
      </c>
      <c r="G181" s="176" t="s">
        <v>768</v>
      </c>
      <c r="H181" s="170" t="str">
        <f>'11. Physical Security'!$H10</f>
        <v>Comment is required</v>
      </c>
      <c r="I181" s="14">
        <f>'11. Physical Security'!$G10</f>
        <v>0</v>
      </c>
      <c r="J181" s="14" t="str">
        <f t="shared" si="34"/>
        <v>Blank</v>
      </c>
      <c r="K181" s="155" t="s">
        <v>1131</v>
      </c>
      <c r="L181" s="14" t="str">
        <f t="shared" si="25"/>
        <v>Blank</v>
      </c>
      <c r="N181" s="14" t="str">
        <f t="shared" si="27"/>
        <v/>
      </c>
      <c r="O181" s="14" t="str">
        <f t="shared" si="28"/>
        <v/>
      </c>
      <c r="P181" s="14" t="str">
        <f t="shared" si="29"/>
        <v>Comment is required</v>
      </c>
      <c r="Q181" s="14" t="str">
        <f t="shared" si="30"/>
        <v>Blank</v>
      </c>
      <c r="R181" s="14" t="str">
        <f t="shared" si="31"/>
        <v>No Override</v>
      </c>
      <c r="S181" s="14">
        <f t="shared" si="32"/>
        <v>4</v>
      </c>
      <c r="T181" s="14" t="str">
        <f t="shared" si="33"/>
        <v/>
      </c>
    </row>
    <row r="182" spans="1:20" x14ac:dyDescent="0.3">
      <c r="A182" s="224">
        <v>4</v>
      </c>
      <c r="C182" s="14">
        <f t="shared" si="26"/>
        <v>4</v>
      </c>
      <c r="D182" s="14" t="s">
        <v>1137</v>
      </c>
      <c r="E182" s="62" t="s">
        <v>769</v>
      </c>
      <c r="F182" s="86" t="s">
        <v>761</v>
      </c>
      <c r="G182" s="176" t="s">
        <v>770</v>
      </c>
      <c r="H182" s="170" t="str">
        <f>'11. Physical Security'!$H11</f>
        <v>Comment is required</v>
      </c>
      <c r="I182" s="14">
        <f>'11. Physical Security'!$G11</f>
        <v>0</v>
      </c>
      <c r="J182" s="14" t="str">
        <f t="shared" si="34"/>
        <v>Blank</v>
      </c>
      <c r="K182" s="155" t="s">
        <v>1131</v>
      </c>
      <c r="L182" s="14" t="str">
        <f t="shared" si="25"/>
        <v>Blank</v>
      </c>
      <c r="N182" s="14" t="str">
        <f t="shared" si="27"/>
        <v/>
      </c>
      <c r="O182" s="14" t="str">
        <f t="shared" si="28"/>
        <v/>
      </c>
      <c r="P182" s="14" t="str">
        <f t="shared" si="29"/>
        <v>Comment is required</v>
      </c>
      <c r="Q182" s="14" t="str">
        <f t="shared" si="30"/>
        <v>Blank</v>
      </c>
      <c r="R182" s="14" t="str">
        <f t="shared" si="31"/>
        <v>No Override</v>
      </c>
      <c r="S182" s="14">
        <f t="shared" si="32"/>
        <v>4</v>
      </c>
      <c r="T182" s="14" t="str">
        <f t="shared" si="33"/>
        <v/>
      </c>
    </row>
    <row r="183" spans="1:20" x14ac:dyDescent="0.3">
      <c r="A183" s="224">
        <v>4</v>
      </c>
      <c r="C183" s="14">
        <f t="shared" si="26"/>
        <v>4</v>
      </c>
      <c r="D183" s="14" t="s">
        <v>1137</v>
      </c>
      <c r="E183" s="62" t="s">
        <v>771</v>
      </c>
      <c r="F183" s="86" t="s">
        <v>761</v>
      </c>
      <c r="G183" s="176" t="s">
        <v>772</v>
      </c>
      <c r="H183" s="170" t="str">
        <f>'11. Physical Security'!$H12</f>
        <v>Comment is required</v>
      </c>
      <c r="I183" s="14">
        <f>'11. Physical Security'!$G12</f>
        <v>0</v>
      </c>
      <c r="J183" s="14" t="str">
        <f t="shared" si="34"/>
        <v>Blank</v>
      </c>
      <c r="K183" s="155" t="s">
        <v>1131</v>
      </c>
      <c r="L183" s="14" t="str">
        <f t="shared" si="25"/>
        <v>Blank</v>
      </c>
      <c r="N183" s="14" t="str">
        <f t="shared" si="27"/>
        <v/>
      </c>
      <c r="O183" s="14" t="str">
        <f t="shared" si="28"/>
        <v/>
      </c>
      <c r="P183" s="14" t="str">
        <f t="shared" si="29"/>
        <v>Comment is required</v>
      </c>
      <c r="Q183" s="14" t="str">
        <f t="shared" si="30"/>
        <v>Blank</v>
      </c>
      <c r="R183" s="14" t="str">
        <f t="shared" si="31"/>
        <v>No Override</v>
      </c>
      <c r="S183" s="14">
        <f t="shared" si="32"/>
        <v>4</v>
      </c>
      <c r="T183" s="14" t="str">
        <f t="shared" si="33"/>
        <v/>
      </c>
    </row>
    <row r="184" spans="1:20" ht="22.8" x14ac:dyDescent="0.3">
      <c r="A184" s="224">
        <v>4</v>
      </c>
      <c r="C184" s="14">
        <f t="shared" si="26"/>
        <v>4</v>
      </c>
      <c r="D184" s="14" t="s">
        <v>1137</v>
      </c>
      <c r="E184" s="62" t="s">
        <v>773</v>
      </c>
      <c r="F184" s="86" t="s">
        <v>761</v>
      </c>
      <c r="G184" s="176" t="s">
        <v>774</v>
      </c>
      <c r="H184" s="170" t="str">
        <f>'11. Physical Security'!$H13</f>
        <v>Comment is required</v>
      </c>
      <c r="I184" s="14">
        <f>'11. Physical Security'!$G13</f>
        <v>0</v>
      </c>
      <c r="J184" s="14" t="str">
        <f t="shared" si="34"/>
        <v>Blank</v>
      </c>
      <c r="K184" s="155" t="s">
        <v>1131</v>
      </c>
      <c r="L184" s="14" t="str">
        <f t="shared" si="25"/>
        <v>Blank</v>
      </c>
      <c r="N184" s="14" t="str">
        <f t="shared" si="27"/>
        <v/>
      </c>
      <c r="O184" s="14" t="str">
        <f t="shared" si="28"/>
        <v/>
      </c>
      <c r="P184" s="14" t="str">
        <f t="shared" si="29"/>
        <v>Comment is required</v>
      </c>
      <c r="Q184" s="14" t="str">
        <f t="shared" si="30"/>
        <v>Blank</v>
      </c>
      <c r="R184" s="14" t="str">
        <f t="shared" si="31"/>
        <v>No Override</v>
      </c>
      <c r="S184" s="14">
        <f t="shared" si="32"/>
        <v>4</v>
      </c>
      <c r="T184" s="14" t="str">
        <f t="shared" si="33"/>
        <v/>
      </c>
    </row>
    <row r="185" spans="1:20" ht="34.200000000000003" x14ac:dyDescent="0.3">
      <c r="A185" s="224">
        <v>4</v>
      </c>
      <c r="C185" s="14">
        <f t="shared" si="26"/>
        <v>4</v>
      </c>
      <c r="D185" s="14" t="s">
        <v>1137</v>
      </c>
      <c r="E185" s="58" t="s">
        <v>775</v>
      </c>
      <c r="F185" s="82" t="s">
        <v>778</v>
      </c>
      <c r="G185" s="176" t="s">
        <v>779</v>
      </c>
      <c r="H185" s="170" t="str">
        <f>'11. Physical Security'!$H14</f>
        <v>Comment is required</v>
      </c>
      <c r="I185" s="14">
        <f>'11. Physical Security'!$G14</f>
        <v>0</v>
      </c>
      <c r="J185" s="14" t="str">
        <f t="shared" si="34"/>
        <v>Blank</v>
      </c>
      <c r="K185" s="155" t="s">
        <v>1131</v>
      </c>
      <c r="L185" s="14" t="str">
        <f t="shared" si="25"/>
        <v>Blank</v>
      </c>
      <c r="N185" s="14" t="str">
        <f t="shared" si="27"/>
        <v/>
      </c>
      <c r="O185" s="14" t="str">
        <f t="shared" si="28"/>
        <v/>
      </c>
      <c r="P185" s="14" t="str">
        <f t="shared" si="29"/>
        <v>Comment is required</v>
      </c>
      <c r="Q185" s="14" t="str">
        <f t="shared" si="30"/>
        <v>Blank</v>
      </c>
      <c r="R185" s="14" t="str">
        <f t="shared" si="31"/>
        <v>No Override</v>
      </c>
      <c r="S185" s="14">
        <f t="shared" si="32"/>
        <v>4</v>
      </c>
      <c r="T185" s="14" t="str">
        <f t="shared" si="33"/>
        <v/>
      </c>
    </row>
    <row r="186" spans="1:20" ht="22.8" x14ac:dyDescent="0.3">
      <c r="A186" s="224">
        <v>4</v>
      </c>
      <c r="C186" s="14">
        <f t="shared" si="26"/>
        <v>4</v>
      </c>
      <c r="D186" s="14" t="s">
        <v>1137</v>
      </c>
      <c r="E186" s="58" t="s">
        <v>780</v>
      </c>
      <c r="F186" s="82" t="s">
        <v>783</v>
      </c>
      <c r="G186" s="176" t="s">
        <v>784</v>
      </c>
      <c r="H186" s="170" t="str">
        <f>'11. Physical Security'!$H15</f>
        <v>Comment is required</v>
      </c>
      <c r="I186" s="14">
        <f>'11. Physical Security'!$G15</f>
        <v>0</v>
      </c>
      <c r="J186" s="14" t="str">
        <f t="shared" si="34"/>
        <v>Blank</v>
      </c>
      <c r="K186" s="155" t="s">
        <v>1131</v>
      </c>
      <c r="L186" s="14" t="str">
        <f t="shared" si="25"/>
        <v>Blank</v>
      </c>
      <c r="N186" s="14" t="str">
        <f t="shared" si="27"/>
        <v/>
      </c>
      <c r="O186" s="14" t="str">
        <f t="shared" si="28"/>
        <v/>
      </c>
      <c r="P186" s="14" t="str">
        <f t="shared" si="29"/>
        <v>Comment is required</v>
      </c>
      <c r="Q186" s="14" t="str">
        <f t="shared" si="30"/>
        <v>Blank</v>
      </c>
      <c r="R186" s="14" t="str">
        <f t="shared" si="31"/>
        <v>No Override</v>
      </c>
      <c r="S186" s="14">
        <f t="shared" si="32"/>
        <v>4</v>
      </c>
      <c r="T186" s="14" t="str">
        <f t="shared" si="33"/>
        <v/>
      </c>
    </row>
    <row r="187" spans="1:20" ht="22.8" x14ac:dyDescent="0.3">
      <c r="A187" s="224">
        <v>4</v>
      </c>
      <c r="C187" s="14">
        <f t="shared" si="26"/>
        <v>4</v>
      </c>
      <c r="D187" s="14" t="s">
        <v>1137</v>
      </c>
      <c r="E187" s="62" t="s">
        <v>785</v>
      </c>
      <c r="F187" s="86" t="s">
        <v>787</v>
      </c>
      <c r="G187" s="176" t="s">
        <v>788</v>
      </c>
      <c r="H187" s="170" t="str">
        <f>'11. Physical Security'!$H16</f>
        <v>Comment is required</v>
      </c>
      <c r="I187" s="14">
        <f>'11. Physical Security'!$G16</f>
        <v>0</v>
      </c>
      <c r="J187" s="14" t="str">
        <f t="shared" si="34"/>
        <v>Blank</v>
      </c>
      <c r="K187" s="155" t="s">
        <v>1131</v>
      </c>
      <c r="L187" s="14" t="str">
        <f t="shared" si="25"/>
        <v>Blank</v>
      </c>
      <c r="N187" s="14" t="str">
        <f t="shared" si="27"/>
        <v/>
      </c>
      <c r="O187" s="14" t="str">
        <f t="shared" si="28"/>
        <v/>
      </c>
      <c r="P187" s="14" t="str">
        <f t="shared" si="29"/>
        <v>Comment is required</v>
      </c>
      <c r="Q187" s="14" t="str">
        <f t="shared" si="30"/>
        <v>Blank</v>
      </c>
      <c r="R187" s="14" t="str">
        <f t="shared" si="31"/>
        <v>No Override</v>
      </c>
      <c r="S187" s="14">
        <f t="shared" si="32"/>
        <v>4</v>
      </c>
      <c r="T187" s="14" t="str">
        <f t="shared" si="33"/>
        <v/>
      </c>
    </row>
    <row r="188" spans="1:20" x14ac:dyDescent="0.3">
      <c r="A188" s="224">
        <v>4</v>
      </c>
      <c r="C188" s="14">
        <f t="shared" si="26"/>
        <v>4</v>
      </c>
      <c r="D188" s="14" t="s">
        <v>1137</v>
      </c>
      <c r="E188" s="62" t="s">
        <v>789</v>
      </c>
      <c r="F188" s="86" t="s">
        <v>787</v>
      </c>
      <c r="G188" s="176" t="s">
        <v>790</v>
      </c>
      <c r="H188" s="170" t="str">
        <f>'11. Physical Security'!$H17</f>
        <v>Comment is required</v>
      </c>
      <c r="I188" s="14">
        <f>'11. Physical Security'!$G17</f>
        <v>0</v>
      </c>
      <c r="J188" s="14" t="str">
        <f t="shared" si="34"/>
        <v>Blank</v>
      </c>
      <c r="K188" s="155" t="s">
        <v>1131</v>
      </c>
      <c r="L188" s="14" t="str">
        <f t="shared" si="25"/>
        <v>Blank</v>
      </c>
      <c r="N188" s="14" t="str">
        <f t="shared" si="27"/>
        <v/>
      </c>
      <c r="O188" s="14" t="str">
        <f t="shared" si="28"/>
        <v/>
      </c>
      <c r="P188" s="14" t="str">
        <f t="shared" si="29"/>
        <v>Comment is required</v>
      </c>
      <c r="Q188" s="14" t="str">
        <f t="shared" si="30"/>
        <v>Blank</v>
      </c>
      <c r="R188" s="14" t="str">
        <f t="shared" si="31"/>
        <v>No Override</v>
      </c>
      <c r="S188" s="14">
        <f t="shared" si="32"/>
        <v>4</v>
      </c>
      <c r="T188" s="14" t="str">
        <f t="shared" si="33"/>
        <v/>
      </c>
    </row>
    <row r="189" spans="1:20" x14ac:dyDescent="0.3">
      <c r="A189" s="224">
        <v>4</v>
      </c>
      <c r="C189" s="14">
        <f t="shared" si="26"/>
        <v>4</v>
      </c>
      <c r="D189" s="14" t="s">
        <v>1137</v>
      </c>
      <c r="E189" s="62" t="s">
        <v>791</v>
      </c>
      <c r="F189" s="86" t="s">
        <v>787</v>
      </c>
      <c r="G189" s="176" t="s">
        <v>792</v>
      </c>
      <c r="H189" s="170" t="str">
        <f>'11. Physical Security'!$H18</f>
        <v>Comment is required</v>
      </c>
      <c r="I189" s="14">
        <f>'11. Physical Security'!$G18</f>
        <v>0</v>
      </c>
      <c r="J189" s="14" t="str">
        <f t="shared" si="34"/>
        <v>Blank</v>
      </c>
      <c r="K189" s="155" t="s">
        <v>1131</v>
      </c>
      <c r="L189" s="14" t="str">
        <f t="shared" si="25"/>
        <v>Blank</v>
      </c>
      <c r="N189" s="14" t="str">
        <f t="shared" si="27"/>
        <v/>
      </c>
      <c r="O189" s="14" t="str">
        <f t="shared" si="28"/>
        <v/>
      </c>
      <c r="P189" s="14" t="str">
        <f t="shared" si="29"/>
        <v>Comment is required</v>
      </c>
      <c r="Q189" s="14" t="str">
        <f t="shared" si="30"/>
        <v>Blank</v>
      </c>
      <c r="R189" s="14" t="str">
        <f t="shared" si="31"/>
        <v>No Override</v>
      </c>
      <c r="S189" s="14">
        <f t="shared" si="32"/>
        <v>4</v>
      </c>
      <c r="T189" s="14" t="str">
        <f t="shared" si="33"/>
        <v/>
      </c>
    </row>
    <row r="190" spans="1:20" x14ac:dyDescent="0.3">
      <c r="A190" s="224">
        <v>4</v>
      </c>
      <c r="C190" s="14">
        <f t="shared" si="26"/>
        <v>4</v>
      </c>
      <c r="D190" s="14" t="s">
        <v>1137</v>
      </c>
      <c r="E190" s="62" t="s">
        <v>793</v>
      </c>
      <c r="F190" s="86" t="s">
        <v>794</v>
      </c>
      <c r="G190" s="176" t="s">
        <v>795</v>
      </c>
      <c r="H190" s="170" t="str">
        <f>'11. Physical Security'!$H19</f>
        <v>Comment is required</v>
      </c>
      <c r="I190" s="14">
        <f>'11. Physical Security'!$G19</f>
        <v>0</v>
      </c>
      <c r="J190" s="14" t="str">
        <f t="shared" si="34"/>
        <v>Blank</v>
      </c>
      <c r="K190" s="155" t="s">
        <v>1131</v>
      </c>
      <c r="L190" s="14" t="str">
        <f t="shared" si="25"/>
        <v>Blank</v>
      </c>
      <c r="N190" s="14" t="str">
        <f t="shared" si="27"/>
        <v/>
      </c>
      <c r="O190" s="14" t="str">
        <f t="shared" si="28"/>
        <v/>
      </c>
      <c r="P190" s="14" t="str">
        <f t="shared" si="29"/>
        <v>Comment is required</v>
      </c>
      <c r="Q190" s="14" t="str">
        <f t="shared" si="30"/>
        <v>Blank</v>
      </c>
      <c r="R190" s="14" t="str">
        <f t="shared" si="31"/>
        <v>No Override</v>
      </c>
      <c r="S190" s="14">
        <f t="shared" si="32"/>
        <v>4</v>
      </c>
      <c r="T190" s="14" t="str">
        <f t="shared" si="33"/>
        <v/>
      </c>
    </row>
    <row r="191" spans="1:20" x14ac:dyDescent="0.3">
      <c r="A191" s="224">
        <v>4</v>
      </c>
      <c r="C191" s="14">
        <f t="shared" si="26"/>
        <v>4</v>
      </c>
      <c r="D191" s="14" t="s">
        <v>1137</v>
      </c>
      <c r="E191" s="62" t="s">
        <v>796</v>
      </c>
      <c r="F191" s="86" t="s">
        <v>794</v>
      </c>
      <c r="G191" s="176" t="s">
        <v>797</v>
      </c>
      <c r="H191" s="170" t="str">
        <f>'11. Physical Security'!$H20</f>
        <v>Comment is required</v>
      </c>
      <c r="I191" s="14">
        <f>'11. Physical Security'!$G20</f>
        <v>0</v>
      </c>
      <c r="J191" s="14" t="str">
        <f t="shared" si="34"/>
        <v>Blank</v>
      </c>
      <c r="K191" s="155" t="s">
        <v>1131</v>
      </c>
      <c r="L191" s="14" t="str">
        <f t="shared" si="25"/>
        <v>Blank</v>
      </c>
      <c r="N191" s="14" t="str">
        <f t="shared" si="27"/>
        <v/>
      </c>
      <c r="O191" s="14" t="str">
        <f t="shared" si="28"/>
        <v/>
      </c>
      <c r="P191" s="14" t="str">
        <f t="shared" si="29"/>
        <v>Comment is required</v>
      </c>
      <c r="Q191" s="14" t="str">
        <f t="shared" si="30"/>
        <v>Blank</v>
      </c>
      <c r="R191" s="14" t="str">
        <f t="shared" si="31"/>
        <v>No Override</v>
      </c>
      <c r="S191" s="14">
        <f t="shared" si="32"/>
        <v>4</v>
      </c>
      <c r="T191" s="14" t="str">
        <f t="shared" si="33"/>
        <v/>
      </c>
    </row>
    <row r="192" spans="1:20" x14ac:dyDescent="0.3">
      <c r="A192" s="224">
        <v>4</v>
      </c>
      <c r="C192" s="14">
        <f t="shared" si="26"/>
        <v>4</v>
      </c>
      <c r="D192" s="14" t="s">
        <v>1137</v>
      </c>
      <c r="E192" s="58" t="s">
        <v>798</v>
      </c>
      <c r="F192" s="82" t="s">
        <v>800</v>
      </c>
      <c r="G192" s="176" t="s">
        <v>801</v>
      </c>
      <c r="H192" s="170" t="str">
        <f>'11. Physical Security'!$H21</f>
        <v>Comment is required</v>
      </c>
      <c r="I192" s="14">
        <f>'11. Physical Security'!$G21</f>
        <v>0</v>
      </c>
      <c r="J192" s="14" t="str">
        <f t="shared" si="34"/>
        <v>Blank</v>
      </c>
      <c r="K192" s="155" t="s">
        <v>1131</v>
      </c>
      <c r="L192" s="14" t="str">
        <f t="shared" si="25"/>
        <v>Blank</v>
      </c>
      <c r="N192" s="14" t="str">
        <f t="shared" si="27"/>
        <v/>
      </c>
      <c r="O192" s="14" t="str">
        <f t="shared" si="28"/>
        <v/>
      </c>
      <c r="P192" s="14" t="str">
        <f t="shared" si="29"/>
        <v>Comment is required</v>
      </c>
      <c r="Q192" s="14" t="str">
        <f t="shared" si="30"/>
        <v>Blank</v>
      </c>
      <c r="R192" s="14" t="str">
        <f t="shared" si="31"/>
        <v>No Override</v>
      </c>
      <c r="S192" s="14">
        <f t="shared" si="32"/>
        <v>4</v>
      </c>
      <c r="T192" s="14" t="str">
        <f t="shared" si="33"/>
        <v/>
      </c>
    </row>
    <row r="193" spans="1:20" ht="22.8" x14ac:dyDescent="0.3">
      <c r="A193" s="224">
        <v>4</v>
      </c>
      <c r="C193" s="14">
        <f t="shared" si="26"/>
        <v>4</v>
      </c>
      <c r="D193" s="14" t="s">
        <v>1137</v>
      </c>
      <c r="E193" s="58" t="s">
        <v>802</v>
      </c>
      <c r="F193" s="82" t="s">
        <v>804</v>
      </c>
      <c r="G193" s="170" t="s">
        <v>805</v>
      </c>
      <c r="H193" s="170" t="str">
        <f>'11. Physical Security'!$H22</f>
        <v>Comment is required</v>
      </c>
      <c r="I193" s="14">
        <f>'11. Physical Security'!$G22</f>
        <v>0</v>
      </c>
      <c r="J193" s="14" t="str">
        <f t="shared" si="34"/>
        <v>Blank</v>
      </c>
      <c r="K193" s="155" t="s">
        <v>1131</v>
      </c>
      <c r="L193" s="14" t="str">
        <f t="shared" si="25"/>
        <v>Blank</v>
      </c>
      <c r="N193" s="14" t="str">
        <f t="shared" si="27"/>
        <v/>
      </c>
      <c r="O193" s="14" t="str">
        <f t="shared" si="28"/>
        <v/>
      </c>
      <c r="P193" s="14" t="str">
        <f t="shared" si="29"/>
        <v>Comment is required</v>
      </c>
      <c r="Q193" s="14" t="str">
        <f t="shared" si="30"/>
        <v>Blank</v>
      </c>
      <c r="R193" s="14" t="str">
        <f t="shared" si="31"/>
        <v>No Override</v>
      </c>
      <c r="S193" s="14">
        <f t="shared" si="32"/>
        <v>4</v>
      </c>
      <c r="T193" s="14" t="str">
        <f t="shared" si="33"/>
        <v/>
      </c>
    </row>
    <row r="194" spans="1:20" ht="22.8" x14ac:dyDescent="0.3">
      <c r="A194" s="224">
        <v>4</v>
      </c>
      <c r="C194" s="14">
        <f t="shared" si="26"/>
        <v>4</v>
      </c>
      <c r="D194" s="14" t="s">
        <v>1137</v>
      </c>
      <c r="E194" s="58" t="s">
        <v>806</v>
      </c>
      <c r="F194" s="82" t="s">
        <v>808</v>
      </c>
      <c r="G194" s="176" t="s">
        <v>809</v>
      </c>
      <c r="H194" s="170" t="str">
        <f>'11. Physical Security'!$H23</f>
        <v>Comment is required</v>
      </c>
      <c r="I194" s="14">
        <f>'11. Physical Security'!$G23</f>
        <v>0</v>
      </c>
      <c r="J194" s="14" t="str">
        <f t="shared" si="34"/>
        <v>Blank</v>
      </c>
      <c r="K194" s="155" t="s">
        <v>1131</v>
      </c>
      <c r="L194" s="14" t="str">
        <f t="shared" si="25"/>
        <v>Blank</v>
      </c>
      <c r="N194" s="14" t="str">
        <f t="shared" si="27"/>
        <v/>
      </c>
      <c r="O194" s="14" t="str">
        <f t="shared" si="28"/>
        <v/>
      </c>
      <c r="P194" s="14" t="str">
        <f t="shared" si="29"/>
        <v>Comment is required</v>
      </c>
      <c r="Q194" s="14" t="str">
        <f t="shared" si="30"/>
        <v>Blank</v>
      </c>
      <c r="R194" s="14" t="str">
        <f t="shared" si="31"/>
        <v>No Override</v>
      </c>
      <c r="S194" s="14">
        <f t="shared" si="32"/>
        <v>4</v>
      </c>
      <c r="T194" s="14" t="str">
        <f t="shared" si="33"/>
        <v/>
      </c>
    </row>
    <row r="195" spans="1:20" ht="22.8" x14ac:dyDescent="0.3">
      <c r="A195" s="224">
        <v>4</v>
      </c>
      <c r="C195" s="14">
        <f t="shared" si="26"/>
        <v>4</v>
      </c>
      <c r="D195" s="14" t="s">
        <v>1137</v>
      </c>
      <c r="E195" s="58" t="s">
        <v>810</v>
      </c>
      <c r="F195" s="82" t="s">
        <v>812</v>
      </c>
      <c r="G195" s="176" t="s">
        <v>813</v>
      </c>
      <c r="H195" s="170" t="str">
        <f>'11. Physical Security'!$H24</f>
        <v>Comment is required</v>
      </c>
      <c r="I195" s="14">
        <f>'11. Physical Security'!$G24</f>
        <v>0</v>
      </c>
      <c r="J195" s="14" t="str">
        <f t="shared" si="34"/>
        <v>Blank</v>
      </c>
      <c r="K195" s="155" t="s">
        <v>1131</v>
      </c>
      <c r="L195" s="14" t="str">
        <f t="shared" si="25"/>
        <v>Blank</v>
      </c>
      <c r="N195" s="14" t="str">
        <f t="shared" si="27"/>
        <v/>
      </c>
      <c r="O195" s="14" t="str">
        <f t="shared" si="28"/>
        <v/>
      </c>
      <c r="P195" s="14" t="str">
        <f t="shared" si="29"/>
        <v>Comment is required</v>
      </c>
      <c r="Q195" s="14" t="str">
        <f t="shared" si="30"/>
        <v>Blank</v>
      </c>
      <c r="R195" s="14" t="str">
        <f t="shared" si="31"/>
        <v>No Override</v>
      </c>
      <c r="S195" s="14">
        <f t="shared" si="32"/>
        <v>4</v>
      </c>
      <c r="T195" s="14" t="str">
        <f t="shared" si="33"/>
        <v/>
      </c>
    </row>
    <row r="196" spans="1:20" x14ac:dyDescent="0.3">
      <c r="A196" s="224">
        <v>4</v>
      </c>
      <c r="C196" s="14">
        <f t="shared" si="26"/>
        <v>4</v>
      </c>
      <c r="D196" s="14" t="s">
        <v>1137</v>
      </c>
      <c r="E196" s="58" t="s">
        <v>814</v>
      </c>
      <c r="F196" s="82" t="s">
        <v>816</v>
      </c>
      <c r="G196" s="176" t="s">
        <v>817</v>
      </c>
      <c r="H196" s="170" t="str">
        <f>'11. Physical Security'!$H25</f>
        <v>Comment is required</v>
      </c>
      <c r="I196" s="14">
        <f>'11. Physical Security'!$G25</f>
        <v>0</v>
      </c>
      <c r="J196" s="14" t="str">
        <f t="shared" si="34"/>
        <v>Blank</v>
      </c>
      <c r="K196" s="155" t="s">
        <v>1131</v>
      </c>
      <c r="L196" s="14" t="str">
        <f t="shared" si="25"/>
        <v>Blank</v>
      </c>
      <c r="N196" s="14" t="str">
        <f t="shared" si="27"/>
        <v/>
      </c>
      <c r="O196" s="14" t="str">
        <f t="shared" si="28"/>
        <v/>
      </c>
      <c r="P196" s="14" t="str">
        <f t="shared" si="29"/>
        <v>Comment is required</v>
      </c>
      <c r="Q196" s="14" t="str">
        <f t="shared" si="30"/>
        <v>Blank</v>
      </c>
      <c r="R196" s="14" t="str">
        <f t="shared" si="31"/>
        <v>No Override</v>
      </c>
      <c r="S196" s="14">
        <f t="shared" si="32"/>
        <v>4</v>
      </c>
      <c r="T196" s="14" t="str">
        <f t="shared" si="33"/>
        <v/>
      </c>
    </row>
    <row r="197" spans="1:20" ht="22.8" x14ac:dyDescent="0.3">
      <c r="A197" s="224">
        <v>4</v>
      </c>
      <c r="C197" s="14">
        <f t="shared" si="26"/>
        <v>4</v>
      </c>
      <c r="D197" s="14" t="s">
        <v>1137</v>
      </c>
      <c r="E197" s="58" t="s">
        <v>818</v>
      </c>
      <c r="F197" s="82" t="s">
        <v>820</v>
      </c>
      <c r="G197" s="176" t="s">
        <v>821</v>
      </c>
      <c r="H197" s="170" t="str">
        <f>'11. Physical Security'!$H26</f>
        <v>Comment is required</v>
      </c>
      <c r="I197" s="14">
        <f>'11. Physical Security'!$G26</f>
        <v>0</v>
      </c>
      <c r="J197" s="14" t="str">
        <f t="shared" si="34"/>
        <v>Blank</v>
      </c>
      <c r="K197" s="155" t="s">
        <v>1131</v>
      </c>
      <c r="L197" s="14" t="str">
        <f t="shared" si="25"/>
        <v>Blank</v>
      </c>
      <c r="N197" s="14" t="str">
        <f t="shared" si="27"/>
        <v/>
      </c>
      <c r="O197" s="14" t="str">
        <f t="shared" si="28"/>
        <v/>
      </c>
      <c r="P197" s="14" t="str">
        <f t="shared" si="29"/>
        <v>Comment is required</v>
      </c>
      <c r="Q197" s="14" t="str">
        <f t="shared" si="30"/>
        <v>Blank</v>
      </c>
      <c r="R197" s="14" t="str">
        <f t="shared" si="31"/>
        <v>No Override</v>
      </c>
      <c r="S197" s="14">
        <f t="shared" si="32"/>
        <v>4</v>
      </c>
      <c r="T197" s="14" t="str">
        <f t="shared" si="33"/>
        <v/>
      </c>
    </row>
    <row r="198" spans="1:20" ht="22.8" x14ac:dyDescent="0.3">
      <c r="A198" s="224">
        <v>4</v>
      </c>
      <c r="C198" s="14">
        <f t="shared" si="26"/>
        <v>4</v>
      </c>
      <c r="D198" s="14" t="s">
        <v>1137</v>
      </c>
      <c r="E198" s="58" t="s">
        <v>822</v>
      </c>
      <c r="F198" s="82" t="s">
        <v>824</v>
      </c>
      <c r="G198" s="176" t="s">
        <v>825</v>
      </c>
      <c r="H198" s="170" t="str">
        <f>'11. Physical Security'!$H27</f>
        <v>Comment is required</v>
      </c>
      <c r="I198" s="14">
        <f>'11. Physical Security'!$G27</f>
        <v>0</v>
      </c>
      <c r="J198" s="14" t="str">
        <f t="shared" si="34"/>
        <v>Blank</v>
      </c>
      <c r="K198" s="155" t="s">
        <v>1131</v>
      </c>
      <c r="L198" s="14" t="str">
        <f t="shared" si="25"/>
        <v>Blank</v>
      </c>
      <c r="N198" s="14" t="str">
        <f t="shared" si="27"/>
        <v/>
      </c>
      <c r="O198" s="14" t="str">
        <f t="shared" si="28"/>
        <v/>
      </c>
      <c r="P198" s="14" t="str">
        <f t="shared" si="29"/>
        <v>Comment is required</v>
      </c>
      <c r="Q198" s="14" t="str">
        <f t="shared" si="30"/>
        <v>Blank</v>
      </c>
      <c r="R198" s="14" t="str">
        <f t="shared" si="31"/>
        <v>No Override</v>
      </c>
      <c r="S198" s="14">
        <f t="shared" si="32"/>
        <v>4</v>
      </c>
      <c r="T198" s="14" t="str">
        <f t="shared" si="33"/>
        <v/>
      </c>
    </row>
    <row r="199" spans="1:20" x14ac:dyDescent="0.3">
      <c r="A199" s="224">
        <v>4</v>
      </c>
      <c r="C199" s="14">
        <f t="shared" si="26"/>
        <v>4</v>
      </c>
      <c r="D199" s="14" t="s">
        <v>1137</v>
      </c>
      <c r="E199" s="58" t="s">
        <v>826</v>
      </c>
      <c r="F199" s="82" t="s">
        <v>829</v>
      </c>
      <c r="G199" s="176" t="s">
        <v>830</v>
      </c>
      <c r="H199" s="170" t="str">
        <f>'11. Physical Security'!$H28</f>
        <v>Comment is required</v>
      </c>
      <c r="I199" s="14">
        <f>'11. Physical Security'!$G28</f>
        <v>0</v>
      </c>
      <c r="J199" s="14" t="str">
        <f t="shared" si="34"/>
        <v>Blank</v>
      </c>
      <c r="K199" s="155" t="s">
        <v>1131</v>
      </c>
      <c r="L199" s="14" t="str">
        <f t="shared" si="25"/>
        <v>Blank</v>
      </c>
      <c r="N199" s="14" t="str">
        <f t="shared" si="27"/>
        <v/>
      </c>
      <c r="O199" s="14" t="str">
        <f t="shared" si="28"/>
        <v/>
      </c>
      <c r="P199" s="14" t="str">
        <f t="shared" si="29"/>
        <v>Comment is required</v>
      </c>
      <c r="Q199" s="14" t="str">
        <f t="shared" si="30"/>
        <v>Blank</v>
      </c>
      <c r="R199" s="14" t="str">
        <f t="shared" si="31"/>
        <v>No Override</v>
      </c>
      <c r="S199" s="14">
        <f t="shared" si="32"/>
        <v>4</v>
      </c>
      <c r="T199" s="14" t="str">
        <f t="shared" si="33"/>
        <v/>
      </c>
    </row>
    <row r="200" spans="1:20" ht="22.8" x14ac:dyDescent="0.3">
      <c r="A200" s="224">
        <v>4</v>
      </c>
      <c r="C200" s="14">
        <f t="shared" si="26"/>
        <v>4</v>
      </c>
      <c r="D200" s="14" t="s">
        <v>1137</v>
      </c>
      <c r="E200" s="58" t="s">
        <v>831</v>
      </c>
      <c r="F200" s="82" t="s">
        <v>834</v>
      </c>
      <c r="G200" s="176" t="s">
        <v>835</v>
      </c>
      <c r="H200" s="170" t="str">
        <f>'11. Physical Security'!$H29</f>
        <v>Comment is required</v>
      </c>
      <c r="I200" s="14">
        <f>'11. Physical Security'!$G29</f>
        <v>0</v>
      </c>
      <c r="J200" s="14" t="str">
        <f t="shared" si="34"/>
        <v>Blank</v>
      </c>
      <c r="K200" s="155" t="s">
        <v>1131</v>
      </c>
      <c r="L200" s="14" t="str">
        <f t="shared" si="25"/>
        <v>Blank</v>
      </c>
      <c r="N200" s="14" t="str">
        <f t="shared" si="27"/>
        <v/>
      </c>
      <c r="O200" s="14" t="str">
        <f t="shared" si="28"/>
        <v/>
      </c>
      <c r="P200" s="14" t="str">
        <f t="shared" si="29"/>
        <v>Comment is required</v>
      </c>
      <c r="Q200" s="14" t="str">
        <f t="shared" si="30"/>
        <v>Blank</v>
      </c>
      <c r="R200" s="14" t="str">
        <f t="shared" si="31"/>
        <v>No Override</v>
      </c>
      <c r="S200" s="14">
        <f t="shared" si="32"/>
        <v>4</v>
      </c>
      <c r="T200" s="14" t="str">
        <f t="shared" si="33"/>
        <v/>
      </c>
    </row>
    <row r="201" spans="1:20" x14ac:dyDescent="0.3">
      <c r="A201" s="224">
        <v>4</v>
      </c>
      <c r="C201" s="14">
        <f t="shared" si="26"/>
        <v>4</v>
      </c>
      <c r="D201" t="s">
        <v>836</v>
      </c>
      <c r="E201" s="58" t="s">
        <v>837</v>
      </c>
      <c r="F201" s="82" t="s">
        <v>840</v>
      </c>
      <c r="G201" s="170" t="s">
        <v>841</v>
      </c>
      <c r="H201" s="170" t="str">
        <f>'12. Planning'!$H3</f>
        <v>Comment is required</v>
      </c>
      <c r="I201">
        <f>'12. Planning'!$G3</f>
        <v>0</v>
      </c>
      <c r="J201" s="14" t="str">
        <f t="shared" si="34"/>
        <v>Blank</v>
      </c>
      <c r="K201" s="155" t="s">
        <v>1131</v>
      </c>
      <c r="L201" s="14" t="str">
        <f t="shared" si="25"/>
        <v>Blank</v>
      </c>
      <c r="N201" s="14" t="str">
        <f t="shared" si="27"/>
        <v/>
      </c>
      <c r="O201" s="14" t="str">
        <f t="shared" si="28"/>
        <v/>
      </c>
      <c r="P201" s="14" t="str">
        <f t="shared" si="29"/>
        <v>Comment is required</v>
      </c>
      <c r="Q201" s="14" t="str">
        <f t="shared" si="30"/>
        <v>Blank</v>
      </c>
      <c r="R201" s="14" t="str">
        <f t="shared" si="31"/>
        <v>No Override</v>
      </c>
      <c r="S201" s="14">
        <f t="shared" si="32"/>
        <v>4</v>
      </c>
      <c r="T201" s="14" t="str">
        <f t="shared" si="33"/>
        <v/>
      </c>
    </row>
    <row r="202" spans="1:20" ht="114" x14ac:dyDescent="0.3">
      <c r="A202" s="224">
        <v>4</v>
      </c>
      <c r="C202" s="14">
        <f t="shared" si="26"/>
        <v>4</v>
      </c>
      <c r="D202" s="14" t="s">
        <v>836</v>
      </c>
      <c r="E202" s="62" t="s">
        <v>842</v>
      </c>
      <c r="F202" s="86" t="s">
        <v>844</v>
      </c>
      <c r="G202" s="170" t="s">
        <v>845</v>
      </c>
      <c r="H202" s="170" t="str">
        <f>'12. Planning'!$H4</f>
        <v>Comment is required</v>
      </c>
      <c r="I202" s="14">
        <f>'12. Planning'!$G4</f>
        <v>0</v>
      </c>
      <c r="J202" s="14" t="str">
        <f t="shared" si="34"/>
        <v>Blank</v>
      </c>
      <c r="K202" s="155" t="s">
        <v>1131</v>
      </c>
      <c r="L202" s="14" t="str">
        <f t="shared" si="25"/>
        <v>Blank</v>
      </c>
      <c r="N202" s="14" t="str">
        <f t="shared" si="27"/>
        <v/>
      </c>
      <c r="O202" s="14" t="str">
        <f t="shared" si="28"/>
        <v/>
      </c>
      <c r="P202" s="14" t="str">
        <f t="shared" si="29"/>
        <v>Comment is required</v>
      </c>
      <c r="Q202" s="14" t="str">
        <f t="shared" si="30"/>
        <v>Blank</v>
      </c>
      <c r="R202" s="14" t="str">
        <f t="shared" si="31"/>
        <v>No Override</v>
      </c>
      <c r="S202" s="14">
        <f t="shared" si="32"/>
        <v>4</v>
      </c>
      <c r="T202" s="14" t="str">
        <f t="shared" si="33"/>
        <v/>
      </c>
    </row>
    <row r="203" spans="1:20" x14ac:dyDescent="0.3">
      <c r="A203" s="224">
        <v>4</v>
      </c>
      <c r="C203" s="14">
        <f t="shared" si="26"/>
        <v>4</v>
      </c>
      <c r="D203" s="14" t="s">
        <v>836</v>
      </c>
      <c r="E203" s="62" t="s">
        <v>846</v>
      </c>
      <c r="F203" s="86" t="s">
        <v>844</v>
      </c>
      <c r="G203" s="170" t="s">
        <v>847</v>
      </c>
      <c r="H203" s="170" t="str">
        <f>'12. Planning'!$H5</f>
        <v>Comment is required</v>
      </c>
      <c r="I203" s="14">
        <f>'12. Planning'!$G5</f>
        <v>0</v>
      </c>
      <c r="J203" s="14" t="str">
        <f t="shared" si="34"/>
        <v>Blank</v>
      </c>
      <c r="K203" s="155" t="s">
        <v>1131</v>
      </c>
      <c r="L203" s="14" t="str">
        <f t="shared" si="25"/>
        <v>Blank</v>
      </c>
      <c r="N203" s="14" t="str">
        <f t="shared" si="27"/>
        <v/>
      </c>
      <c r="O203" s="14" t="str">
        <f t="shared" si="28"/>
        <v/>
      </c>
      <c r="P203" s="14" t="str">
        <f t="shared" si="29"/>
        <v>Comment is required</v>
      </c>
      <c r="Q203" s="14" t="str">
        <f t="shared" si="30"/>
        <v>Blank</v>
      </c>
      <c r="R203" s="14" t="str">
        <f t="shared" si="31"/>
        <v>No Override</v>
      </c>
      <c r="S203" s="14">
        <f t="shared" si="32"/>
        <v>4</v>
      </c>
      <c r="T203" s="14" t="str">
        <f t="shared" si="33"/>
        <v/>
      </c>
    </row>
    <row r="204" spans="1:20" x14ac:dyDescent="0.3">
      <c r="A204" s="224">
        <v>4</v>
      </c>
      <c r="C204" s="14">
        <f t="shared" si="26"/>
        <v>4</v>
      </c>
      <c r="D204" s="14" t="s">
        <v>836</v>
      </c>
      <c r="E204" s="62" t="s">
        <v>848</v>
      </c>
      <c r="F204" s="86" t="s">
        <v>844</v>
      </c>
      <c r="G204" s="170" t="s">
        <v>849</v>
      </c>
      <c r="H204" s="170" t="str">
        <f>'12. Planning'!$H6</f>
        <v>Comment is required</v>
      </c>
      <c r="I204" s="14">
        <f>'12. Planning'!$G6</f>
        <v>0</v>
      </c>
      <c r="J204" s="14" t="str">
        <f t="shared" si="34"/>
        <v>Blank</v>
      </c>
      <c r="K204" s="155" t="s">
        <v>1131</v>
      </c>
      <c r="L204" s="14" t="str">
        <f t="shared" si="25"/>
        <v>Blank</v>
      </c>
      <c r="N204" s="14" t="str">
        <f t="shared" si="27"/>
        <v/>
      </c>
      <c r="O204" s="14" t="str">
        <f t="shared" si="28"/>
        <v/>
      </c>
      <c r="P204" s="14" t="str">
        <f t="shared" si="29"/>
        <v>Comment is required</v>
      </c>
      <c r="Q204" s="14" t="str">
        <f t="shared" si="30"/>
        <v>Blank</v>
      </c>
      <c r="R204" s="14" t="str">
        <f t="shared" si="31"/>
        <v>No Override</v>
      </c>
      <c r="S204" s="14">
        <f t="shared" si="32"/>
        <v>4</v>
      </c>
      <c r="T204" s="14" t="str">
        <f t="shared" si="33"/>
        <v/>
      </c>
    </row>
    <row r="205" spans="1:20" x14ac:dyDescent="0.3">
      <c r="A205" s="224">
        <v>4</v>
      </c>
      <c r="C205" s="14">
        <f t="shared" si="26"/>
        <v>4</v>
      </c>
      <c r="D205" s="14" t="s">
        <v>836</v>
      </c>
      <c r="E205" s="62" t="s">
        <v>850</v>
      </c>
      <c r="F205" s="86" t="s">
        <v>844</v>
      </c>
      <c r="G205" s="170" t="s">
        <v>851</v>
      </c>
      <c r="H205" s="170" t="str">
        <f>'12. Planning'!$H7</f>
        <v>Comment is required</v>
      </c>
      <c r="I205" s="14">
        <f>'12. Planning'!$G7</f>
        <v>0</v>
      </c>
      <c r="J205" s="14" t="str">
        <f t="shared" si="34"/>
        <v>Blank</v>
      </c>
      <c r="K205" s="155" t="s">
        <v>1131</v>
      </c>
      <c r="L205" s="14" t="str">
        <f t="shared" si="25"/>
        <v>Blank</v>
      </c>
      <c r="N205" s="14" t="str">
        <f t="shared" si="27"/>
        <v/>
      </c>
      <c r="O205" s="14" t="str">
        <f t="shared" si="28"/>
        <v/>
      </c>
      <c r="P205" s="14" t="str">
        <f t="shared" si="29"/>
        <v>Comment is required</v>
      </c>
      <c r="Q205" s="14" t="str">
        <f t="shared" si="30"/>
        <v>Blank</v>
      </c>
      <c r="R205" s="14" t="str">
        <f t="shared" si="31"/>
        <v>No Override</v>
      </c>
      <c r="S205" s="14">
        <f t="shared" si="32"/>
        <v>4</v>
      </c>
      <c r="T205" s="14" t="str">
        <f t="shared" si="33"/>
        <v/>
      </c>
    </row>
    <row r="206" spans="1:20" x14ac:dyDescent="0.3">
      <c r="A206" s="224">
        <v>4</v>
      </c>
      <c r="C206" s="14">
        <f t="shared" si="26"/>
        <v>4</v>
      </c>
      <c r="D206" s="14" t="s">
        <v>836</v>
      </c>
      <c r="E206" s="62" t="s">
        <v>852</v>
      </c>
      <c r="F206" s="86" t="s">
        <v>844</v>
      </c>
      <c r="G206" s="170" t="s">
        <v>853</v>
      </c>
      <c r="H206" s="170" t="str">
        <f>'12. Planning'!$H8</f>
        <v>Comment is required</v>
      </c>
      <c r="I206" s="14">
        <f>'12. Planning'!$G8</f>
        <v>0</v>
      </c>
      <c r="J206" s="14" t="str">
        <f t="shared" si="34"/>
        <v>Blank</v>
      </c>
      <c r="K206" s="155" t="s">
        <v>1131</v>
      </c>
      <c r="L206" s="14" t="str">
        <f t="shared" si="25"/>
        <v>Blank</v>
      </c>
      <c r="N206" s="14" t="str">
        <f t="shared" si="27"/>
        <v/>
      </c>
      <c r="O206" s="14" t="str">
        <f t="shared" si="28"/>
        <v/>
      </c>
      <c r="P206" s="14" t="str">
        <f t="shared" si="29"/>
        <v>Comment is required</v>
      </c>
      <c r="Q206" s="14" t="str">
        <f t="shared" si="30"/>
        <v>Blank</v>
      </c>
      <c r="R206" s="14" t="str">
        <f t="shared" si="31"/>
        <v>No Override</v>
      </c>
      <c r="S206" s="14">
        <f t="shared" si="32"/>
        <v>4</v>
      </c>
      <c r="T206" s="14" t="str">
        <f t="shared" si="33"/>
        <v/>
      </c>
    </row>
    <row r="207" spans="1:20" ht="22.8" x14ac:dyDescent="0.3">
      <c r="A207" s="224">
        <v>4</v>
      </c>
      <c r="C207" s="14">
        <f t="shared" si="26"/>
        <v>4</v>
      </c>
      <c r="D207" s="14" t="s">
        <v>836</v>
      </c>
      <c r="E207" s="58" t="s">
        <v>854</v>
      </c>
      <c r="F207" s="82" t="s">
        <v>856</v>
      </c>
      <c r="G207" s="170" t="s">
        <v>857</v>
      </c>
      <c r="H207" s="170" t="str">
        <f>'12. Planning'!$H9</f>
        <v>Comment is required</v>
      </c>
      <c r="I207" s="14">
        <f>'12. Planning'!$G9</f>
        <v>0</v>
      </c>
      <c r="J207" s="14" t="str">
        <f t="shared" si="34"/>
        <v>Blank</v>
      </c>
      <c r="K207" s="155" t="s">
        <v>1131</v>
      </c>
      <c r="L207" s="14" t="str">
        <f t="shared" si="25"/>
        <v>Blank</v>
      </c>
      <c r="N207" s="14" t="str">
        <f t="shared" si="27"/>
        <v/>
      </c>
      <c r="O207" s="14" t="str">
        <f t="shared" si="28"/>
        <v/>
      </c>
      <c r="P207" s="14" t="str">
        <f t="shared" si="29"/>
        <v>Comment is required</v>
      </c>
      <c r="Q207" s="14" t="str">
        <f t="shared" si="30"/>
        <v>Blank</v>
      </c>
      <c r="R207" s="14" t="str">
        <f t="shared" si="31"/>
        <v>No Override</v>
      </c>
      <c r="S207" s="14">
        <f t="shared" si="32"/>
        <v>4</v>
      </c>
      <c r="T207" s="14" t="str">
        <f t="shared" si="33"/>
        <v/>
      </c>
    </row>
    <row r="208" spans="1:20" ht="22.8" x14ac:dyDescent="0.3">
      <c r="A208" s="224">
        <v>4</v>
      </c>
      <c r="C208" s="14">
        <f t="shared" si="26"/>
        <v>4</v>
      </c>
      <c r="D208" s="14" t="s">
        <v>836</v>
      </c>
      <c r="E208" s="58" t="s">
        <v>858</v>
      </c>
      <c r="F208" s="82" t="s">
        <v>856</v>
      </c>
      <c r="G208" s="170" t="s">
        <v>859</v>
      </c>
      <c r="H208" s="170" t="str">
        <f>'12. Planning'!$H10</f>
        <v>Comment is required</v>
      </c>
      <c r="I208" s="14">
        <f>'12. Planning'!$G10</f>
        <v>0</v>
      </c>
      <c r="J208" s="14" t="str">
        <f t="shared" si="34"/>
        <v>Blank</v>
      </c>
      <c r="K208" s="155" t="s">
        <v>1131</v>
      </c>
      <c r="L208" s="14" t="str">
        <f t="shared" si="25"/>
        <v>Blank</v>
      </c>
      <c r="N208" s="14" t="str">
        <f t="shared" si="27"/>
        <v/>
      </c>
      <c r="O208" s="14" t="str">
        <f t="shared" si="28"/>
        <v/>
      </c>
      <c r="P208" s="14" t="str">
        <f t="shared" si="29"/>
        <v>Comment is required</v>
      </c>
      <c r="Q208" s="14" t="str">
        <f t="shared" si="30"/>
        <v>Blank</v>
      </c>
      <c r="R208" s="14" t="str">
        <f t="shared" si="31"/>
        <v>No Override</v>
      </c>
      <c r="S208" s="14">
        <f t="shared" si="32"/>
        <v>4</v>
      </c>
      <c r="T208" s="14" t="str">
        <f t="shared" si="33"/>
        <v/>
      </c>
    </row>
    <row r="209" spans="1:20" x14ac:dyDescent="0.3">
      <c r="A209" s="224">
        <v>4</v>
      </c>
      <c r="C209" s="14">
        <f t="shared" si="26"/>
        <v>4</v>
      </c>
      <c r="D209" s="14" t="s">
        <v>836</v>
      </c>
      <c r="E209" s="58" t="s">
        <v>860</v>
      </c>
      <c r="F209" s="82" t="s">
        <v>856</v>
      </c>
      <c r="G209" s="170" t="s">
        <v>861</v>
      </c>
      <c r="H209" s="170" t="str">
        <f>'12. Planning'!$H11</f>
        <v>Comment is required</v>
      </c>
      <c r="I209" s="14">
        <f>'12. Planning'!$G11</f>
        <v>0</v>
      </c>
      <c r="J209" s="14" t="str">
        <f t="shared" si="34"/>
        <v>Blank</v>
      </c>
      <c r="K209" s="155" t="s">
        <v>1131</v>
      </c>
      <c r="L209" s="14" t="str">
        <f t="shared" ref="L209:L273" si="35">IF($K209="No Override",$J209,$K209)</f>
        <v>Blank</v>
      </c>
      <c r="N209" s="14" t="str">
        <f t="shared" si="27"/>
        <v/>
      </c>
      <c r="O209" s="14" t="str">
        <f t="shared" si="28"/>
        <v/>
      </c>
      <c r="P209" s="14" t="str">
        <f t="shared" si="29"/>
        <v>Comment is required</v>
      </c>
      <c r="Q209" s="14" t="str">
        <f t="shared" si="30"/>
        <v>Blank</v>
      </c>
      <c r="R209" s="14" t="str">
        <f t="shared" si="31"/>
        <v>No Override</v>
      </c>
      <c r="S209" s="14">
        <f t="shared" si="32"/>
        <v>4</v>
      </c>
      <c r="T209" s="14" t="str">
        <f t="shared" si="33"/>
        <v/>
      </c>
    </row>
    <row r="210" spans="1:20" x14ac:dyDescent="0.3">
      <c r="A210" s="224">
        <v>4</v>
      </c>
      <c r="C210" s="14">
        <f t="shared" ref="C210:C274" si="36">IF($B210="",$A210,$B210)</f>
        <v>4</v>
      </c>
      <c r="D210" s="14" t="s">
        <v>836</v>
      </c>
      <c r="E210" s="58" t="s">
        <v>862</v>
      </c>
      <c r="F210" s="82" t="s">
        <v>856</v>
      </c>
      <c r="G210" s="170" t="s">
        <v>863</v>
      </c>
      <c r="H210" s="170" t="str">
        <f>'12. Planning'!$H12</f>
        <v>Comment is required</v>
      </c>
      <c r="I210" s="14">
        <f>'12. Planning'!$G12</f>
        <v>0</v>
      </c>
      <c r="J210" s="14" t="str">
        <f t="shared" si="34"/>
        <v>Blank</v>
      </c>
      <c r="K210" s="155" t="s">
        <v>1131</v>
      </c>
      <c r="L210" s="14" t="str">
        <f t="shared" si="35"/>
        <v>Blank</v>
      </c>
      <c r="N210" s="14" t="str">
        <f t="shared" ref="N210:N274" si="37">IF($J210=$L210,"","***")</f>
        <v/>
      </c>
      <c r="O210" s="14" t="str">
        <f t="shared" ref="O210:O274" si="38">IF(OR($I210="",$I210=0),"",$I210)</f>
        <v/>
      </c>
      <c r="P210" s="14" t="str">
        <f t="shared" ref="P210:P274" si="39">IF(OR($H210="",$H210=0),"",$H210)</f>
        <v>Comment is required</v>
      </c>
      <c r="Q210" s="14" t="str">
        <f t="shared" ref="Q210:Q274" si="40">$L210</f>
        <v>Blank</v>
      </c>
      <c r="R210" s="14" t="str">
        <f t="shared" ref="R210:R274" si="41">$K210</f>
        <v>No Override</v>
      </c>
      <c r="S210" s="14">
        <f t="shared" ref="S210:S274" si="42">$C210</f>
        <v>4</v>
      </c>
      <c r="T210" s="14" t="str">
        <f t="shared" ref="T210:T274" si="43">IF($L210=$Q210,"","***")</f>
        <v/>
      </c>
    </row>
    <row r="211" spans="1:20" x14ac:dyDescent="0.3">
      <c r="A211" s="224">
        <v>4</v>
      </c>
      <c r="C211" s="14">
        <f t="shared" si="36"/>
        <v>4</v>
      </c>
      <c r="D211" s="14" t="s">
        <v>836</v>
      </c>
      <c r="E211" s="58" t="s">
        <v>864</v>
      </c>
      <c r="F211" s="82" t="s">
        <v>866</v>
      </c>
      <c r="G211" s="176" t="s">
        <v>867</v>
      </c>
      <c r="H211" s="170" t="str">
        <f>'12. Planning'!$H13</f>
        <v>Comment is required</v>
      </c>
      <c r="I211" s="14">
        <f>'12. Planning'!$G13</f>
        <v>0</v>
      </c>
      <c r="J211" s="14" t="str">
        <f t="shared" ref="J211:J275" si="44">IF($I211="Yes","Adequate",IF($I211="No","Inadequate",IF($I211="Partial","Inadequate",IF($I211="N/A","Inadequate",IF(OR($I211="",$I211=0),"Blank","Error")))))</f>
        <v>Blank</v>
      </c>
      <c r="K211" s="155" t="s">
        <v>1131</v>
      </c>
      <c r="L211" s="14" t="str">
        <f t="shared" si="35"/>
        <v>Blank</v>
      </c>
      <c r="N211" s="14" t="str">
        <f t="shared" si="37"/>
        <v/>
      </c>
      <c r="O211" s="14" t="str">
        <f t="shared" si="38"/>
        <v/>
      </c>
      <c r="P211" s="14" t="str">
        <f t="shared" si="39"/>
        <v>Comment is required</v>
      </c>
      <c r="Q211" s="14" t="str">
        <f t="shared" si="40"/>
        <v>Blank</v>
      </c>
      <c r="R211" s="14" t="str">
        <f t="shared" si="41"/>
        <v>No Override</v>
      </c>
      <c r="S211" s="14">
        <f t="shared" si="42"/>
        <v>4</v>
      </c>
      <c r="T211" s="14" t="str">
        <f t="shared" si="43"/>
        <v/>
      </c>
    </row>
    <row r="212" spans="1:20" ht="22.8" x14ac:dyDescent="0.3">
      <c r="A212" s="224">
        <v>4</v>
      </c>
      <c r="C212" s="14">
        <f t="shared" si="36"/>
        <v>4</v>
      </c>
      <c r="D212" s="14" t="s">
        <v>836</v>
      </c>
      <c r="E212" s="58" t="s">
        <v>868</v>
      </c>
      <c r="F212" s="82" t="s">
        <v>866</v>
      </c>
      <c r="G212" s="176" t="s">
        <v>869</v>
      </c>
      <c r="H212" s="170" t="str">
        <f>'12. Planning'!$H14</f>
        <v>Comment is required</v>
      </c>
      <c r="I212" s="14">
        <f>'12. Planning'!$G14</f>
        <v>0</v>
      </c>
      <c r="J212" s="14" t="str">
        <f t="shared" si="44"/>
        <v>Blank</v>
      </c>
      <c r="K212" s="155" t="s">
        <v>1131</v>
      </c>
      <c r="L212" s="14" t="str">
        <f t="shared" si="35"/>
        <v>Blank</v>
      </c>
      <c r="N212" s="14" t="str">
        <f t="shared" si="37"/>
        <v/>
      </c>
      <c r="O212" s="14" t="str">
        <f t="shared" si="38"/>
        <v/>
      </c>
      <c r="P212" s="14" t="str">
        <f t="shared" si="39"/>
        <v>Comment is required</v>
      </c>
      <c r="Q212" s="14" t="str">
        <f t="shared" si="40"/>
        <v>Blank</v>
      </c>
      <c r="R212" s="14" t="str">
        <f t="shared" si="41"/>
        <v>No Override</v>
      </c>
      <c r="S212" s="14">
        <f t="shared" si="42"/>
        <v>4</v>
      </c>
      <c r="T212" s="14" t="str">
        <f t="shared" si="43"/>
        <v/>
      </c>
    </row>
    <row r="213" spans="1:20" x14ac:dyDescent="0.3">
      <c r="A213" s="224">
        <v>4</v>
      </c>
      <c r="C213" s="14">
        <f t="shared" si="36"/>
        <v>4</v>
      </c>
      <c r="D213" s="14" t="s">
        <v>836</v>
      </c>
      <c r="E213" s="58" t="s">
        <v>870</v>
      </c>
      <c r="F213" s="82" t="s">
        <v>866</v>
      </c>
      <c r="G213" s="176" t="s">
        <v>871</v>
      </c>
      <c r="H213" s="170" t="str">
        <f>'12. Planning'!$H15</f>
        <v>Comment is required</v>
      </c>
      <c r="I213" s="14">
        <f>'12. Planning'!$G15</f>
        <v>0</v>
      </c>
      <c r="J213" s="14" t="str">
        <f t="shared" si="44"/>
        <v>Blank</v>
      </c>
      <c r="K213" s="155" t="s">
        <v>1131</v>
      </c>
      <c r="L213" s="14" t="str">
        <f t="shared" si="35"/>
        <v>Blank</v>
      </c>
      <c r="N213" s="14" t="str">
        <f t="shared" si="37"/>
        <v/>
      </c>
      <c r="O213" s="14" t="str">
        <f t="shared" si="38"/>
        <v/>
      </c>
      <c r="P213" s="14" t="str">
        <f t="shared" si="39"/>
        <v>Comment is required</v>
      </c>
      <c r="Q213" s="14" t="str">
        <f t="shared" si="40"/>
        <v>Blank</v>
      </c>
      <c r="R213" s="14" t="str">
        <f t="shared" si="41"/>
        <v>No Override</v>
      </c>
      <c r="S213" s="14">
        <f t="shared" si="42"/>
        <v>4</v>
      </c>
      <c r="T213" s="14" t="str">
        <f t="shared" si="43"/>
        <v/>
      </c>
    </row>
    <row r="214" spans="1:20" x14ac:dyDescent="0.3">
      <c r="A214" s="224">
        <v>4</v>
      </c>
      <c r="C214" s="14">
        <f t="shared" si="36"/>
        <v>4</v>
      </c>
      <c r="D214" t="s">
        <v>872</v>
      </c>
      <c r="E214" s="58" t="s">
        <v>873</v>
      </c>
      <c r="F214" s="82" t="s">
        <v>876</v>
      </c>
      <c r="G214" s="170" t="s">
        <v>877</v>
      </c>
      <c r="H214" s="170" t="str">
        <f>'13. Personnel Security'!$H3</f>
        <v>Comment is required</v>
      </c>
      <c r="I214">
        <f>'13. Personnel Security'!$G3</f>
        <v>0</v>
      </c>
      <c r="J214" s="14" t="str">
        <f t="shared" si="44"/>
        <v>Blank</v>
      </c>
      <c r="K214" s="155" t="s">
        <v>1131</v>
      </c>
      <c r="L214" s="14" t="str">
        <f t="shared" si="35"/>
        <v>Blank</v>
      </c>
      <c r="N214" s="14" t="str">
        <f t="shared" si="37"/>
        <v/>
      </c>
      <c r="O214" s="14" t="str">
        <f t="shared" si="38"/>
        <v/>
      </c>
      <c r="P214" s="14" t="str">
        <f t="shared" si="39"/>
        <v>Comment is required</v>
      </c>
      <c r="Q214" s="14" t="str">
        <f t="shared" si="40"/>
        <v>Blank</v>
      </c>
      <c r="R214" s="14" t="str">
        <f t="shared" si="41"/>
        <v>No Override</v>
      </c>
      <c r="S214" s="14">
        <f t="shared" si="42"/>
        <v>4</v>
      </c>
      <c r="T214" s="14" t="str">
        <f t="shared" si="43"/>
        <v/>
      </c>
    </row>
    <row r="215" spans="1:20" x14ac:dyDescent="0.3">
      <c r="A215" s="224">
        <v>4</v>
      </c>
      <c r="C215" s="14">
        <f t="shared" si="36"/>
        <v>4</v>
      </c>
      <c r="D215" s="14" t="s">
        <v>872</v>
      </c>
      <c r="E215" s="58" t="s">
        <v>878</v>
      </c>
      <c r="F215" s="82" t="s">
        <v>880</v>
      </c>
      <c r="G215" s="176" t="s">
        <v>881</v>
      </c>
      <c r="H215" s="170" t="str">
        <f>'13. Personnel Security'!$H4</f>
        <v>Comment is required</v>
      </c>
      <c r="I215" s="14">
        <f>'13. Personnel Security'!$G4</f>
        <v>0</v>
      </c>
      <c r="J215" s="14" t="str">
        <f t="shared" si="44"/>
        <v>Blank</v>
      </c>
      <c r="K215" s="155" t="s">
        <v>1131</v>
      </c>
      <c r="L215" s="14" t="str">
        <f t="shared" si="35"/>
        <v>Blank</v>
      </c>
      <c r="N215" s="14" t="str">
        <f t="shared" si="37"/>
        <v/>
      </c>
      <c r="O215" s="14" t="str">
        <f t="shared" si="38"/>
        <v/>
      </c>
      <c r="P215" s="14" t="str">
        <f t="shared" si="39"/>
        <v>Comment is required</v>
      </c>
      <c r="Q215" s="14" t="str">
        <f t="shared" si="40"/>
        <v>Blank</v>
      </c>
      <c r="R215" s="14" t="str">
        <f t="shared" si="41"/>
        <v>No Override</v>
      </c>
      <c r="S215" s="14">
        <f t="shared" si="42"/>
        <v>4</v>
      </c>
      <c r="T215" s="14" t="str">
        <f t="shared" si="43"/>
        <v/>
      </c>
    </row>
    <row r="216" spans="1:20" x14ac:dyDescent="0.3">
      <c r="A216" s="224">
        <v>4</v>
      </c>
      <c r="C216" s="14">
        <f t="shared" si="36"/>
        <v>4</v>
      </c>
      <c r="D216" s="14" t="s">
        <v>872</v>
      </c>
      <c r="E216" s="58" t="s">
        <v>882</v>
      </c>
      <c r="F216" s="82" t="s">
        <v>880</v>
      </c>
      <c r="G216" s="176" t="s">
        <v>883</v>
      </c>
      <c r="H216" s="170" t="str">
        <f>'13. Personnel Security'!$H5</f>
        <v>Comment is required</v>
      </c>
      <c r="I216" s="14">
        <f>'13. Personnel Security'!$G5</f>
        <v>0</v>
      </c>
      <c r="J216" s="14" t="str">
        <f t="shared" si="44"/>
        <v>Blank</v>
      </c>
      <c r="K216" s="155" t="s">
        <v>1131</v>
      </c>
      <c r="L216" s="14" t="str">
        <f t="shared" si="35"/>
        <v>Blank</v>
      </c>
      <c r="N216" s="14" t="str">
        <f t="shared" si="37"/>
        <v/>
      </c>
      <c r="O216" s="14" t="str">
        <f t="shared" si="38"/>
        <v/>
      </c>
      <c r="P216" s="14" t="str">
        <f t="shared" si="39"/>
        <v>Comment is required</v>
      </c>
      <c r="Q216" s="14" t="str">
        <f t="shared" si="40"/>
        <v>Blank</v>
      </c>
      <c r="R216" s="14" t="str">
        <f t="shared" si="41"/>
        <v>No Override</v>
      </c>
      <c r="S216" s="14">
        <f t="shared" si="42"/>
        <v>4</v>
      </c>
      <c r="T216" s="14" t="str">
        <f t="shared" si="43"/>
        <v/>
      </c>
    </row>
    <row r="217" spans="1:20" x14ac:dyDescent="0.3">
      <c r="A217" s="224">
        <v>4</v>
      </c>
      <c r="C217" s="14">
        <f t="shared" si="36"/>
        <v>4</v>
      </c>
      <c r="D217" s="14" t="s">
        <v>872</v>
      </c>
      <c r="E217" s="58" t="s">
        <v>884</v>
      </c>
      <c r="F217" s="82" t="s">
        <v>880</v>
      </c>
      <c r="G217" s="176" t="s">
        <v>885</v>
      </c>
      <c r="H217" s="170" t="str">
        <f>'13. Personnel Security'!$H6</f>
        <v>Comment is required</v>
      </c>
      <c r="I217" s="14">
        <f>'13. Personnel Security'!$G6</f>
        <v>0</v>
      </c>
      <c r="J217" s="14" t="str">
        <f t="shared" si="44"/>
        <v>Blank</v>
      </c>
      <c r="K217" s="155" t="s">
        <v>1131</v>
      </c>
      <c r="L217" s="14" t="str">
        <f t="shared" si="35"/>
        <v>Blank</v>
      </c>
      <c r="N217" s="14" t="str">
        <f t="shared" si="37"/>
        <v/>
      </c>
      <c r="O217" s="14" t="str">
        <f t="shared" si="38"/>
        <v/>
      </c>
      <c r="P217" s="14" t="str">
        <f t="shared" si="39"/>
        <v>Comment is required</v>
      </c>
      <c r="Q217" s="14" t="str">
        <f t="shared" si="40"/>
        <v>Blank</v>
      </c>
      <c r="R217" s="14" t="str">
        <f t="shared" si="41"/>
        <v>No Override</v>
      </c>
      <c r="S217" s="14">
        <f t="shared" si="42"/>
        <v>4</v>
      </c>
      <c r="T217" s="14" t="str">
        <f t="shared" si="43"/>
        <v/>
      </c>
    </row>
    <row r="218" spans="1:20" x14ac:dyDescent="0.3">
      <c r="A218" s="224">
        <v>4</v>
      </c>
      <c r="C218" s="14">
        <f t="shared" si="36"/>
        <v>4</v>
      </c>
      <c r="D218" s="14" t="s">
        <v>872</v>
      </c>
      <c r="E218" s="58" t="s">
        <v>886</v>
      </c>
      <c r="F218" s="82" t="s">
        <v>887</v>
      </c>
      <c r="G218" s="176" t="s">
        <v>888</v>
      </c>
      <c r="H218" s="170" t="str">
        <f>'13. Personnel Security'!$H7</f>
        <v>Comment is required</v>
      </c>
      <c r="I218" s="14">
        <f>'13. Personnel Security'!$G7</f>
        <v>0</v>
      </c>
      <c r="J218" s="14" t="str">
        <f t="shared" si="44"/>
        <v>Blank</v>
      </c>
      <c r="K218" s="155" t="s">
        <v>1131</v>
      </c>
      <c r="L218" s="14" t="str">
        <f t="shared" si="35"/>
        <v>Blank</v>
      </c>
      <c r="N218" s="14" t="str">
        <f t="shared" si="37"/>
        <v/>
      </c>
      <c r="O218" s="14" t="str">
        <f t="shared" si="38"/>
        <v/>
      </c>
      <c r="P218" s="14" t="str">
        <f t="shared" si="39"/>
        <v>Comment is required</v>
      </c>
      <c r="Q218" s="14" t="str">
        <f t="shared" si="40"/>
        <v>Blank</v>
      </c>
      <c r="R218" s="14" t="str">
        <f t="shared" si="41"/>
        <v>No Override</v>
      </c>
      <c r="S218" s="14">
        <f t="shared" si="42"/>
        <v>4</v>
      </c>
      <c r="T218" s="14" t="str">
        <f t="shared" si="43"/>
        <v/>
      </c>
    </row>
    <row r="219" spans="1:20" x14ac:dyDescent="0.3">
      <c r="A219" s="224">
        <v>4</v>
      </c>
      <c r="C219" s="14">
        <f t="shared" si="36"/>
        <v>4</v>
      </c>
      <c r="D219" s="14" t="s">
        <v>872</v>
      </c>
      <c r="E219" s="58" t="s">
        <v>889</v>
      </c>
      <c r="F219" s="82" t="s">
        <v>887</v>
      </c>
      <c r="G219" s="176" t="s">
        <v>890</v>
      </c>
      <c r="H219" s="170" t="str">
        <f>'13. Personnel Security'!$H8</f>
        <v>Comment is required</v>
      </c>
      <c r="I219" s="14">
        <f>'13. Personnel Security'!$G8</f>
        <v>0</v>
      </c>
      <c r="J219" s="14" t="str">
        <f t="shared" si="44"/>
        <v>Blank</v>
      </c>
      <c r="K219" s="155" t="s">
        <v>1131</v>
      </c>
      <c r="L219" s="14" t="str">
        <f t="shared" si="35"/>
        <v>Blank</v>
      </c>
      <c r="N219" s="14" t="str">
        <f t="shared" si="37"/>
        <v/>
      </c>
      <c r="O219" s="14" t="str">
        <f t="shared" si="38"/>
        <v/>
      </c>
      <c r="P219" s="14" t="str">
        <f t="shared" si="39"/>
        <v>Comment is required</v>
      </c>
      <c r="Q219" s="14" t="str">
        <f t="shared" si="40"/>
        <v>Blank</v>
      </c>
      <c r="R219" s="14" t="str">
        <f t="shared" si="41"/>
        <v>No Override</v>
      </c>
      <c r="S219" s="14">
        <f t="shared" si="42"/>
        <v>4</v>
      </c>
      <c r="T219" s="14" t="str">
        <f t="shared" si="43"/>
        <v/>
      </c>
    </row>
    <row r="220" spans="1:20" ht="22.8" x14ac:dyDescent="0.3">
      <c r="A220" s="224">
        <v>4</v>
      </c>
      <c r="C220" s="14">
        <f t="shared" si="36"/>
        <v>4</v>
      </c>
      <c r="D220" s="14" t="s">
        <v>872</v>
      </c>
      <c r="E220" s="58" t="s">
        <v>891</v>
      </c>
      <c r="F220" s="82" t="s">
        <v>894</v>
      </c>
      <c r="G220" s="176" t="s">
        <v>895</v>
      </c>
      <c r="H220" s="170" t="str">
        <f>'13. Personnel Security'!$H9</f>
        <v>Comment is required</v>
      </c>
      <c r="I220" s="14">
        <f>'13. Personnel Security'!$G9</f>
        <v>0</v>
      </c>
      <c r="J220" s="14" t="str">
        <f t="shared" si="44"/>
        <v>Blank</v>
      </c>
      <c r="K220" s="155" t="s">
        <v>1131</v>
      </c>
      <c r="L220" s="14" t="str">
        <f t="shared" si="35"/>
        <v>Blank</v>
      </c>
      <c r="N220" s="14" t="str">
        <f t="shared" si="37"/>
        <v/>
      </c>
      <c r="O220" s="14" t="str">
        <f t="shared" si="38"/>
        <v/>
      </c>
      <c r="P220" s="14" t="str">
        <f t="shared" si="39"/>
        <v>Comment is required</v>
      </c>
      <c r="Q220" s="14" t="str">
        <f t="shared" si="40"/>
        <v>Blank</v>
      </c>
      <c r="R220" s="14" t="str">
        <f t="shared" si="41"/>
        <v>No Override</v>
      </c>
      <c r="S220" s="14">
        <f t="shared" si="42"/>
        <v>4</v>
      </c>
      <c r="T220" s="14" t="str">
        <f t="shared" si="43"/>
        <v/>
      </c>
    </row>
    <row r="221" spans="1:20" x14ac:dyDescent="0.3">
      <c r="A221" s="224">
        <v>4</v>
      </c>
      <c r="C221" s="14">
        <f t="shared" si="36"/>
        <v>4</v>
      </c>
      <c r="D221" s="14" t="s">
        <v>872</v>
      </c>
      <c r="E221" s="58" t="s">
        <v>896</v>
      </c>
      <c r="F221" s="82" t="s">
        <v>898</v>
      </c>
      <c r="G221" s="176" t="s">
        <v>899</v>
      </c>
      <c r="H221" s="170" t="str">
        <f>'13. Personnel Security'!$H10</f>
        <v>Comment is required</v>
      </c>
      <c r="I221" s="14">
        <f>'13. Personnel Security'!$G10</f>
        <v>0</v>
      </c>
      <c r="J221" s="14" t="str">
        <f t="shared" si="44"/>
        <v>Blank</v>
      </c>
      <c r="K221" s="155" t="s">
        <v>1131</v>
      </c>
      <c r="L221" s="14" t="str">
        <f t="shared" si="35"/>
        <v>Blank</v>
      </c>
      <c r="N221" s="14" t="str">
        <f t="shared" si="37"/>
        <v/>
      </c>
      <c r="O221" s="14" t="str">
        <f t="shared" si="38"/>
        <v/>
      </c>
      <c r="P221" s="14" t="str">
        <f t="shared" si="39"/>
        <v>Comment is required</v>
      </c>
      <c r="Q221" s="14" t="str">
        <f t="shared" si="40"/>
        <v>Blank</v>
      </c>
      <c r="R221" s="14" t="str">
        <f t="shared" si="41"/>
        <v>No Override</v>
      </c>
      <c r="S221" s="14">
        <f t="shared" si="42"/>
        <v>4</v>
      </c>
      <c r="T221" s="14" t="str">
        <f t="shared" si="43"/>
        <v/>
      </c>
    </row>
    <row r="222" spans="1:20" ht="22.8" x14ac:dyDescent="0.3">
      <c r="A222" s="224">
        <v>4</v>
      </c>
      <c r="C222" s="14">
        <f t="shared" si="36"/>
        <v>4</v>
      </c>
      <c r="D222" s="14" t="s">
        <v>872</v>
      </c>
      <c r="E222" s="58" t="s">
        <v>900</v>
      </c>
      <c r="F222" s="82" t="s">
        <v>903</v>
      </c>
      <c r="G222" s="176" t="s">
        <v>904</v>
      </c>
      <c r="H222" s="170" t="str">
        <f>'13. Personnel Security'!$H11</f>
        <v>Comment is required</v>
      </c>
      <c r="I222" s="14">
        <f>'13. Personnel Security'!$G11</f>
        <v>0</v>
      </c>
      <c r="J222" s="14" t="str">
        <f t="shared" si="44"/>
        <v>Blank</v>
      </c>
      <c r="K222" s="155" t="s">
        <v>1131</v>
      </c>
      <c r="L222" s="14" t="str">
        <f t="shared" si="35"/>
        <v>Blank</v>
      </c>
      <c r="N222" s="14" t="str">
        <f t="shared" si="37"/>
        <v/>
      </c>
      <c r="O222" s="14" t="str">
        <f t="shared" si="38"/>
        <v/>
      </c>
      <c r="P222" s="14" t="str">
        <f t="shared" si="39"/>
        <v>Comment is required</v>
      </c>
      <c r="Q222" s="14" t="str">
        <f t="shared" si="40"/>
        <v>Blank</v>
      </c>
      <c r="R222" s="14" t="str">
        <f t="shared" si="41"/>
        <v>No Override</v>
      </c>
      <c r="S222" s="14">
        <f t="shared" si="42"/>
        <v>4</v>
      </c>
      <c r="T222" s="14" t="str">
        <f t="shared" si="43"/>
        <v/>
      </c>
    </row>
    <row r="223" spans="1:20" ht="22.8" x14ac:dyDescent="0.3">
      <c r="A223" s="224">
        <v>4</v>
      </c>
      <c r="C223" s="14">
        <f t="shared" si="36"/>
        <v>4</v>
      </c>
      <c r="D223" s="14" t="s">
        <v>872</v>
      </c>
      <c r="E223" s="58" t="s">
        <v>905</v>
      </c>
      <c r="F223" s="82" t="s">
        <v>908</v>
      </c>
      <c r="G223" s="176" t="s">
        <v>909</v>
      </c>
      <c r="H223" s="170" t="str">
        <f>'13. Personnel Security'!$H12</f>
        <v>Comment is required</v>
      </c>
      <c r="I223" s="14">
        <f>'13. Personnel Security'!$G12</f>
        <v>0</v>
      </c>
      <c r="J223" s="49" t="str">
        <f>IF($I223="Yes","Adequate",IF($I223="No","Inadequate",IF($I223="Partial","Inadequate",IF(AND($I223="N/A",'Vendor Profile Questionnaire'!$B$29="No"),"Adequate",IF(AND($I223="N/A",NOT('Vendor Profile Questionnaire'!$B$29="No")),"Inadequate",IF(OR($I223="",$I223=0),"Blank","Error"))))))</f>
        <v>Blank</v>
      </c>
      <c r="K223" s="155" t="s">
        <v>1131</v>
      </c>
      <c r="L223" s="14" t="str">
        <f t="shared" si="35"/>
        <v>Blank</v>
      </c>
      <c r="N223" s="14" t="str">
        <f t="shared" si="37"/>
        <v/>
      </c>
      <c r="O223" s="14" t="str">
        <f t="shared" si="38"/>
        <v/>
      </c>
      <c r="P223" s="14" t="str">
        <f t="shared" si="39"/>
        <v>Comment is required</v>
      </c>
      <c r="Q223" s="14" t="str">
        <f t="shared" si="40"/>
        <v>Blank</v>
      </c>
      <c r="R223" s="14" t="str">
        <f t="shared" si="41"/>
        <v>No Override</v>
      </c>
      <c r="S223" s="14">
        <f t="shared" si="42"/>
        <v>4</v>
      </c>
      <c r="T223" s="14" t="str">
        <f t="shared" si="43"/>
        <v/>
      </c>
    </row>
    <row r="224" spans="1:20" x14ac:dyDescent="0.3">
      <c r="A224" s="224">
        <v>4</v>
      </c>
      <c r="C224" s="14">
        <f t="shared" si="36"/>
        <v>4</v>
      </c>
      <c r="D224" s="14" t="s">
        <v>872</v>
      </c>
      <c r="E224" s="58" t="s">
        <v>910</v>
      </c>
      <c r="F224" s="82" t="s">
        <v>913</v>
      </c>
      <c r="G224" s="176" t="s">
        <v>914</v>
      </c>
      <c r="H224" s="170" t="str">
        <f>'13. Personnel Security'!$H13</f>
        <v>Comment is required</v>
      </c>
      <c r="I224" s="14">
        <f>'13. Personnel Security'!$G13</f>
        <v>0</v>
      </c>
      <c r="J224" s="14" t="str">
        <f t="shared" si="44"/>
        <v>Blank</v>
      </c>
      <c r="K224" s="155" t="s">
        <v>1131</v>
      </c>
      <c r="L224" s="14" t="str">
        <f t="shared" si="35"/>
        <v>Blank</v>
      </c>
      <c r="N224" s="14" t="str">
        <f t="shared" si="37"/>
        <v/>
      </c>
      <c r="O224" s="14" t="str">
        <f t="shared" si="38"/>
        <v/>
      </c>
      <c r="P224" s="14" t="str">
        <f t="shared" si="39"/>
        <v>Comment is required</v>
      </c>
      <c r="Q224" s="14" t="str">
        <f t="shared" si="40"/>
        <v>Blank</v>
      </c>
      <c r="R224" s="14" t="str">
        <f t="shared" si="41"/>
        <v>No Override</v>
      </c>
      <c r="S224" s="14">
        <f t="shared" si="42"/>
        <v>4</v>
      </c>
      <c r="T224" s="14" t="str">
        <f t="shared" si="43"/>
        <v/>
      </c>
    </row>
    <row r="225" spans="1:20" x14ac:dyDescent="0.3">
      <c r="A225" s="224">
        <v>4</v>
      </c>
      <c r="C225" s="14">
        <f t="shared" si="36"/>
        <v>4</v>
      </c>
      <c r="D225" t="s">
        <v>1138</v>
      </c>
      <c r="E225" s="58" t="s">
        <v>916</v>
      </c>
      <c r="F225" s="82" t="s">
        <v>919</v>
      </c>
      <c r="G225" s="170" t="s">
        <v>920</v>
      </c>
      <c r="H225" s="170" t="str">
        <f>'14. Risk Assessments'!$H3</f>
        <v>Comment is required</v>
      </c>
      <c r="I225">
        <f>'14. Risk Assessments'!$G3</f>
        <v>0</v>
      </c>
      <c r="J225" s="14" t="str">
        <f t="shared" si="44"/>
        <v>Blank</v>
      </c>
      <c r="K225" s="155" t="s">
        <v>1131</v>
      </c>
      <c r="L225" s="14" t="str">
        <f t="shared" si="35"/>
        <v>Blank</v>
      </c>
      <c r="N225" s="14" t="str">
        <f t="shared" si="37"/>
        <v/>
      </c>
      <c r="O225" s="14" t="str">
        <f t="shared" si="38"/>
        <v/>
      </c>
      <c r="P225" s="14" t="str">
        <f t="shared" si="39"/>
        <v>Comment is required</v>
      </c>
      <c r="Q225" s="14" t="str">
        <f t="shared" si="40"/>
        <v>Blank</v>
      </c>
      <c r="R225" s="14" t="str">
        <f t="shared" si="41"/>
        <v>No Override</v>
      </c>
      <c r="S225" s="14">
        <f t="shared" si="42"/>
        <v>4</v>
      </c>
      <c r="T225" s="14" t="str">
        <f t="shared" si="43"/>
        <v/>
      </c>
    </row>
    <row r="226" spans="1:20" ht="22.8" x14ac:dyDescent="0.3">
      <c r="A226" s="224">
        <v>3</v>
      </c>
      <c r="C226" s="14">
        <f t="shared" si="36"/>
        <v>3</v>
      </c>
      <c r="D226" s="14" t="s">
        <v>1138</v>
      </c>
      <c r="E226" s="58" t="s">
        <v>921</v>
      </c>
      <c r="F226" s="82" t="s">
        <v>924</v>
      </c>
      <c r="G226" s="176" t="s">
        <v>925</v>
      </c>
      <c r="H226" s="170" t="str">
        <f>'14. Risk Assessments'!$H4</f>
        <v>Comment is required</v>
      </c>
      <c r="I226" s="14">
        <f>'14. Risk Assessments'!$G4</f>
        <v>0</v>
      </c>
      <c r="J226" s="14" t="str">
        <f t="shared" si="44"/>
        <v>Blank</v>
      </c>
      <c r="K226" s="155" t="s">
        <v>1131</v>
      </c>
      <c r="L226" s="14" t="str">
        <f t="shared" si="35"/>
        <v>Blank</v>
      </c>
      <c r="N226" s="14" t="str">
        <f t="shared" si="37"/>
        <v/>
      </c>
      <c r="O226" s="14" t="str">
        <f t="shared" si="38"/>
        <v/>
      </c>
      <c r="P226" s="14" t="str">
        <f t="shared" si="39"/>
        <v>Comment is required</v>
      </c>
      <c r="Q226" s="14" t="str">
        <f t="shared" si="40"/>
        <v>Blank</v>
      </c>
      <c r="R226" s="14" t="str">
        <f t="shared" si="41"/>
        <v>No Override</v>
      </c>
      <c r="S226" s="14">
        <f t="shared" si="42"/>
        <v>3</v>
      </c>
      <c r="T226" s="14" t="str">
        <f t="shared" si="43"/>
        <v/>
      </c>
    </row>
    <row r="227" spans="1:20" ht="34.200000000000003" x14ac:dyDescent="0.3">
      <c r="A227" s="224">
        <v>4</v>
      </c>
      <c r="C227" s="14">
        <f t="shared" si="36"/>
        <v>4</v>
      </c>
      <c r="D227" s="14" t="s">
        <v>1138</v>
      </c>
      <c r="E227" s="58" t="s">
        <v>926</v>
      </c>
      <c r="F227" s="82" t="s">
        <v>929</v>
      </c>
      <c r="G227" s="176" t="s">
        <v>930</v>
      </c>
      <c r="H227" s="170" t="str">
        <f>'14. Risk Assessments'!$H5</f>
        <v>Comment is required</v>
      </c>
      <c r="I227" s="14">
        <f>'14. Risk Assessments'!$G5</f>
        <v>0</v>
      </c>
      <c r="J227" s="14" t="str">
        <f t="shared" si="44"/>
        <v>Blank</v>
      </c>
      <c r="K227" s="155" t="s">
        <v>1131</v>
      </c>
      <c r="L227" s="14" t="str">
        <f t="shared" si="35"/>
        <v>Blank</v>
      </c>
      <c r="N227" s="14" t="str">
        <f t="shared" si="37"/>
        <v/>
      </c>
      <c r="O227" s="14" t="str">
        <f t="shared" si="38"/>
        <v/>
      </c>
      <c r="P227" s="14" t="str">
        <f t="shared" si="39"/>
        <v>Comment is required</v>
      </c>
      <c r="Q227" s="14" t="str">
        <f t="shared" si="40"/>
        <v>Blank</v>
      </c>
      <c r="R227" s="14" t="str">
        <f t="shared" si="41"/>
        <v>No Override</v>
      </c>
      <c r="S227" s="14">
        <f t="shared" si="42"/>
        <v>4</v>
      </c>
      <c r="T227" s="14" t="str">
        <f t="shared" si="43"/>
        <v/>
      </c>
    </row>
    <row r="228" spans="1:20" ht="34.200000000000003" x14ac:dyDescent="0.3">
      <c r="A228" s="224">
        <v>1</v>
      </c>
      <c r="C228" s="14">
        <f t="shared" si="36"/>
        <v>1</v>
      </c>
      <c r="D228" s="14" t="s">
        <v>1138</v>
      </c>
      <c r="E228" s="58" t="s">
        <v>931</v>
      </c>
      <c r="F228" s="82" t="s">
        <v>932</v>
      </c>
      <c r="G228" s="176" t="s">
        <v>1304</v>
      </c>
      <c r="H228" s="170" t="str">
        <f>'14. Risk Assessments'!$H6</f>
        <v>Comment is required</v>
      </c>
      <c r="I228" s="14">
        <f>'14. Risk Assessments'!$G6</f>
        <v>0</v>
      </c>
      <c r="J228" s="14" t="str">
        <f t="shared" si="44"/>
        <v>Blank</v>
      </c>
      <c r="K228" s="155" t="s">
        <v>1131</v>
      </c>
      <c r="L228" s="14" t="str">
        <f t="shared" si="35"/>
        <v>Blank</v>
      </c>
      <c r="N228" s="14" t="str">
        <f t="shared" si="37"/>
        <v/>
      </c>
      <c r="O228" s="14" t="str">
        <f t="shared" si="38"/>
        <v/>
      </c>
      <c r="P228" s="14" t="str">
        <f t="shared" si="39"/>
        <v>Comment is required</v>
      </c>
      <c r="Q228" s="14" t="str">
        <f t="shared" si="40"/>
        <v>Blank</v>
      </c>
      <c r="R228" s="14" t="str">
        <f t="shared" si="41"/>
        <v>No Override</v>
      </c>
      <c r="S228" s="14">
        <f t="shared" si="42"/>
        <v>1</v>
      </c>
      <c r="T228" s="14" t="str">
        <f t="shared" si="43"/>
        <v/>
      </c>
    </row>
    <row r="229" spans="1:20" x14ac:dyDescent="0.3">
      <c r="A229" s="224">
        <v>4</v>
      </c>
      <c r="C229" s="14">
        <f t="shared" si="36"/>
        <v>4</v>
      </c>
      <c r="D229" t="s">
        <v>1139</v>
      </c>
      <c r="E229" s="58" t="s">
        <v>934</v>
      </c>
      <c r="F229" s="82" t="s">
        <v>936</v>
      </c>
      <c r="G229" s="170" t="s">
        <v>937</v>
      </c>
      <c r="H229" s="170" t="str">
        <f>'15. System Acquisition'!$H3</f>
        <v>Comment is required</v>
      </c>
      <c r="I229">
        <f>'15. System Acquisition'!$G3</f>
        <v>0</v>
      </c>
      <c r="J229" s="14" t="str">
        <f t="shared" si="44"/>
        <v>Blank</v>
      </c>
      <c r="K229" s="155" t="s">
        <v>1131</v>
      </c>
      <c r="L229" s="14" t="str">
        <f t="shared" si="35"/>
        <v>Blank</v>
      </c>
      <c r="N229" s="14" t="str">
        <f t="shared" si="37"/>
        <v/>
      </c>
      <c r="O229" s="14" t="str">
        <f t="shared" si="38"/>
        <v/>
      </c>
      <c r="P229" s="14" t="str">
        <f t="shared" si="39"/>
        <v>Comment is required</v>
      </c>
      <c r="Q229" s="14" t="str">
        <f t="shared" si="40"/>
        <v>Blank</v>
      </c>
      <c r="R229" s="14" t="str">
        <f t="shared" si="41"/>
        <v>No Override</v>
      </c>
      <c r="S229" s="14">
        <f t="shared" si="42"/>
        <v>4</v>
      </c>
      <c r="T229" s="14" t="str">
        <f t="shared" si="43"/>
        <v/>
      </c>
    </row>
    <row r="230" spans="1:20" x14ac:dyDescent="0.3">
      <c r="A230" s="224">
        <v>4</v>
      </c>
      <c r="C230" s="14">
        <f t="shared" si="36"/>
        <v>4</v>
      </c>
      <c r="D230" s="14" t="s">
        <v>1139</v>
      </c>
      <c r="E230" s="58" t="s">
        <v>938</v>
      </c>
      <c r="F230" s="82" t="s">
        <v>940</v>
      </c>
      <c r="G230" s="176" t="s">
        <v>941</v>
      </c>
      <c r="H230" s="170" t="str">
        <f>'15. System Acquisition'!$H4</f>
        <v>Comment is required</v>
      </c>
      <c r="I230" s="14">
        <f>'15. System Acquisition'!$G4</f>
        <v>0</v>
      </c>
      <c r="J230" s="14" t="str">
        <f t="shared" si="44"/>
        <v>Blank</v>
      </c>
      <c r="K230" s="155" t="s">
        <v>1131</v>
      </c>
      <c r="L230" s="14" t="str">
        <f t="shared" si="35"/>
        <v>Blank</v>
      </c>
      <c r="N230" s="14" t="str">
        <f t="shared" si="37"/>
        <v/>
      </c>
      <c r="O230" s="14" t="str">
        <f t="shared" si="38"/>
        <v/>
      </c>
      <c r="P230" s="14" t="str">
        <f t="shared" si="39"/>
        <v>Comment is required</v>
      </c>
      <c r="Q230" s="14" t="str">
        <f t="shared" si="40"/>
        <v>Blank</v>
      </c>
      <c r="R230" s="14" t="str">
        <f t="shared" si="41"/>
        <v>No Override</v>
      </c>
      <c r="S230" s="14">
        <f t="shared" si="42"/>
        <v>4</v>
      </c>
      <c r="T230" s="14" t="str">
        <f t="shared" si="43"/>
        <v/>
      </c>
    </row>
    <row r="231" spans="1:20" x14ac:dyDescent="0.3">
      <c r="A231" s="224">
        <v>4</v>
      </c>
      <c r="C231" s="14">
        <f t="shared" si="36"/>
        <v>4</v>
      </c>
      <c r="D231" s="14" t="s">
        <v>1139</v>
      </c>
      <c r="E231" s="58" t="s">
        <v>942</v>
      </c>
      <c r="F231" s="82" t="s">
        <v>944</v>
      </c>
      <c r="G231" s="176" t="s">
        <v>945</v>
      </c>
      <c r="H231" s="170" t="str">
        <f>'15. System Acquisition'!$H5</f>
        <v>Comment is required</v>
      </c>
      <c r="I231" s="14">
        <f>'15. System Acquisition'!$G5</f>
        <v>0</v>
      </c>
      <c r="J231" s="14" t="str">
        <f t="shared" si="44"/>
        <v>Blank</v>
      </c>
      <c r="K231" s="155" t="s">
        <v>1131</v>
      </c>
      <c r="L231" s="14" t="str">
        <f t="shared" si="35"/>
        <v>Blank</v>
      </c>
      <c r="N231" s="14" t="str">
        <f t="shared" si="37"/>
        <v/>
      </c>
      <c r="O231" s="14" t="str">
        <f t="shared" si="38"/>
        <v/>
      </c>
      <c r="P231" s="14" t="str">
        <f t="shared" si="39"/>
        <v>Comment is required</v>
      </c>
      <c r="Q231" s="14" t="str">
        <f t="shared" si="40"/>
        <v>Blank</v>
      </c>
      <c r="R231" s="14" t="str">
        <f t="shared" si="41"/>
        <v>No Override</v>
      </c>
      <c r="S231" s="14">
        <f t="shared" si="42"/>
        <v>4</v>
      </c>
      <c r="T231" s="14" t="str">
        <f t="shared" si="43"/>
        <v/>
      </c>
    </row>
    <row r="232" spans="1:20" ht="45.6" x14ac:dyDescent="0.3">
      <c r="A232" s="224">
        <v>1</v>
      </c>
      <c r="C232" s="14">
        <f t="shared" si="36"/>
        <v>1</v>
      </c>
      <c r="D232" s="14" t="s">
        <v>1139</v>
      </c>
      <c r="E232" s="58" t="s">
        <v>946</v>
      </c>
      <c r="F232" s="82" t="s">
        <v>949</v>
      </c>
      <c r="G232" s="176" t="s">
        <v>950</v>
      </c>
      <c r="H232" s="170" t="str">
        <f>'15. System Acquisition'!$H6</f>
        <v>Comment is required</v>
      </c>
      <c r="I232" s="14">
        <f>'15. System Acquisition'!$G6</f>
        <v>0</v>
      </c>
      <c r="J232" s="14" t="str">
        <f t="shared" si="44"/>
        <v>Blank</v>
      </c>
      <c r="K232" s="155" t="s">
        <v>1131</v>
      </c>
      <c r="L232" s="14" t="str">
        <f t="shared" si="35"/>
        <v>Blank</v>
      </c>
      <c r="N232" s="14" t="str">
        <f t="shared" si="37"/>
        <v/>
      </c>
      <c r="O232" s="14" t="str">
        <f t="shared" si="38"/>
        <v/>
      </c>
      <c r="P232" s="14" t="str">
        <f t="shared" si="39"/>
        <v>Comment is required</v>
      </c>
      <c r="Q232" s="14" t="str">
        <f t="shared" si="40"/>
        <v>Blank</v>
      </c>
      <c r="R232" s="14" t="str">
        <f t="shared" si="41"/>
        <v>No Override</v>
      </c>
      <c r="S232" s="14">
        <f t="shared" si="42"/>
        <v>1</v>
      </c>
      <c r="T232" s="14" t="str">
        <f t="shared" si="43"/>
        <v/>
      </c>
    </row>
    <row r="233" spans="1:20" ht="57" x14ac:dyDescent="0.3">
      <c r="A233" s="224">
        <v>4</v>
      </c>
      <c r="C233" s="14">
        <f t="shared" si="36"/>
        <v>4</v>
      </c>
      <c r="D233" s="14" t="s">
        <v>1139</v>
      </c>
      <c r="E233" s="58" t="s">
        <v>951</v>
      </c>
      <c r="F233" s="82" t="s">
        <v>953</v>
      </c>
      <c r="G233" s="170" t="s">
        <v>954</v>
      </c>
      <c r="H233" s="170" t="str">
        <f>'15. System Acquisition'!$H7</f>
        <v>Comment is required</v>
      </c>
      <c r="I233" s="14">
        <f>'15. System Acquisition'!$G7</f>
        <v>0</v>
      </c>
      <c r="J233" s="14" t="str">
        <f t="shared" si="44"/>
        <v>Blank</v>
      </c>
      <c r="K233" s="155" t="s">
        <v>1131</v>
      </c>
      <c r="L233" s="14" t="str">
        <f t="shared" si="35"/>
        <v>Blank</v>
      </c>
      <c r="N233" s="14" t="str">
        <f t="shared" si="37"/>
        <v/>
      </c>
      <c r="O233" s="14" t="str">
        <f t="shared" si="38"/>
        <v/>
      </c>
      <c r="P233" s="14" t="str">
        <f t="shared" si="39"/>
        <v>Comment is required</v>
      </c>
      <c r="Q233" s="14" t="str">
        <f t="shared" si="40"/>
        <v>Blank</v>
      </c>
      <c r="R233" s="14" t="str">
        <f t="shared" si="41"/>
        <v>No Override</v>
      </c>
      <c r="S233" s="14">
        <f t="shared" si="42"/>
        <v>4</v>
      </c>
      <c r="T233" s="14" t="str">
        <f t="shared" si="43"/>
        <v/>
      </c>
    </row>
    <row r="234" spans="1:20" ht="68.400000000000006" x14ac:dyDescent="0.3">
      <c r="A234" s="224">
        <v>4</v>
      </c>
      <c r="C234" s="14">
        <f t="shared" si="36"/>
        <v>4</v>
      </c>
      <c r="D234" s="14" t="s">
        <v>1139</v>
      </c>
      <c r="E234" s="58" t="s">
        <v>955</v>
      </c>
      <c r="F234" s="82" t="s">
        <v>953</v>
      </c>
      <c r="G234" s="170" t="s">
        <v>956</v>
      </c>
      <c r="H234" s="170" t="str">
        <f>'15. System Acquisition'!$H8</f>
        <v>Comment is required</v>
      </c>
      <c r="I234" s="14">
        <f>'15. System Acquisition'!$G8</f>
        <v>0</v>
      </c>
      <c r="J234" s="14" t="str">
        <f t="shared" si="44"/>
        <v>Blank</v>
      </c>
      <c r="K234" s="155" t="s">
        <v>1131</v>
      </c>
      <c r="L234" s="14" t="str">
        <f t="shared" si="35"/>
        <v>Blank</v>
      </c>
      <c r="N234" s="14" t="str">
        <f t="shared" si="37"/>
        <v/>
      </c>
      <c r="O234" s="14" t="str">
        <f t="shared" si="38"/>
        <v/>
      </c>
      <c r="P234" s="14" t="str">
        <f t="shared" si="39"/>
        <v>Comment is required</v>
      </c>
      <c r="Q234" s="14" t="str">
        <f t="shared" si="40"/>
        <v>Blank</v>
      </c>
      <c r="R234" s="14" t="str">
        <f t="shared" si="41"/>
        <v>No Override</v>
      </c>
      <c r="S234" s="14">
        <f t="shared" si="42"/>
        <v>4</v>
      </c>
      <c r="T234" s="14" t="str">
        <f t="shared" si="43"/>
        <v/>
      </c>
    </row>
    <row r="235" spans="1:20" ht="22.8" x14ac:dyDescent="0.3">
      <c r="A235" s="224">
        <v>4</v>
      </c>
      <c r="C235" s="14">
        <f t="shared" si="36"/>
        <v>4</v>
      </c>
      <c r="D235" s="14" t="s">
        <v>1139</v>
      </c>
      <c r="E235" s="58" t="s">
        <v>957</v>
      </c>
      <c r="F235" s="82" t="s">
        <v>953</v>
      </c>
      <c r="G235" s="170" t="s">
        <v>958</v>
      </c>
      <c r="H235" s="170" t="str">
        <f>'15. System Acquisition'!$H9</f>
        <v>Comment is required</v>
      </c>
      <c r="I235" s="14">
        <f>'15. System Acquisition'!$G9</f>
        <v>0</v>
      </c>
      <c r="J235" s="14" t="str">
        <f>IF($I235="Yes","Adequate",IF($I235="No","Inadequate",IF($I235="Partial","Inadequate",IF(AND($I235="N/A",$I234="Yes",$I233="Yes"),"Adequate",IF(AND($I235="N/A",OR(NOT($I234="Yes"),NOT($I233="Yes"))),"Inadequate",IF(OR($I235="",$I235=0),"Blank","Error"))))))</f>
        <v>Blank</v>
      </c>
      <c r="K235" s="155" t="s">
        <v>1131</v>
      </c>
      <c r="L235" s="14" t="str">
        <f t="shared" si="35"/>
        <v>Blank</v>
      </c>
      <c r="N235" s="14" t="str">
        <f t="shared" si="37"/>
        <v/>
      </c>
      <c r="O235" s="14" t="str">
        <f t="shared" si="38"/>
        <v/>
      </c>
      <c r="P235" s="14" t="str">
        <f t="shared" si="39"/>
        <v>Comment is required</v>
      </c>
      <c r="Q235" s="14" t="str">
        <f t="shared" si="40"/>
        <v>Blank</v>
      </c>
      <c r="R235" s="14" t="str">
        <f t="shared" si="41"/>
        <v>No Override</v>
      </c>
      <c r="S235" s="14">
        <f t="shared" si="42"/>
        <v>4</v>
      </c>
      <c r="T235" s="14" t="str">
        <f t="shared" si="43"/>
        <v/>
      </c>
    </row>
    <row r="236" spans="1:20" x14ac:dyDescent="0.3">
      <c r="A236" s="224">
        <v>4</v>
      </c>
      <c r="C236" s="14">
        <f t="shared" si="36"/>
        <v>4</v>
      </c>
      <c r="D236" s="14" t="s">
        <v>1139</v>
      </c>
      <c r="E236" s="58" t="s">
        <v>959</v>
      </c>
      <c r="F236" s="82" t="s">
        <v>953</v>
      </c>
      <c r="G236" s="170" t="s">
        <v>960</v>
      </c>
      <c r="H236" s="170" t="str">
        <f>'15. System Acquisition'!$H10</f>
        <v>Comment is required</v>
      </c>
      <c r="I236" s="14">
        <f>'15. System Acquisition'!$G10</f>
        <v>0</v>
      </c>
      <c r="J236" s="14" t="str">
        <f>IF($I236="Yes","Adequate",IF($I236="No","Inadequate",IF($I236="Partial","Inadequate",IF(AND($I236="N/A",$I234="No",$I233="No"),"Adequate",IF(AND($I236="N/A",OR(NOT($I234="No"),NOT($I233="No"))),"Inadequate",IF(OR($I236="",$I236=0),"Blank","Error"))))))</f>
        <v>Blank</v>
      </c>
      <c r="K236" s="155" t="s">
        <v>1131</v>
      </c>
      <c r="L236" s="14" t="str">
        <f t="shared" si="35"/>
        <v>Blank</v>
      </c>
      <c r="N236" s="14" t="str">
        <f t="shared" si="37"/>
        <v/>
      </c>
      <c r="O236" s="14" t="str">
        <f t="shared" si="38"/>
        <v/>
      </c>
      <c r="P236" s="14" t="str">
        <f t="shared" si="39"/>
        <v>Comment is required</v>
      </c>
      <c r="Q236" s="14" t="str">
        <f t="shared" si="40"/>
        <v>Blank</v>
      </c>
      <c r="R236" s="14" t="str">
        <f t="shared" si="41"/>
        <v>No Override</v>
      </c>
      <c r="S236" s="14">
        <f t="shared" si="42"/>
        <v>4</v>
      </c>
      <c r="T236" s="14" t="str">
        <f t="shared" si="43"/>
        <v/>
      </c>
    </row>
    <row r="237" spans="1:20" ht="22.8" x14ac:dyDescent="0.3">
      <c r="A237" s="224">
        <v>4</v>
      </c>
      <c r="C237" s="14">
        <f t="shared" si="36"/>
        <v>4</v>
      </c>
      <c r="D237" s="14" t="s">
        <v>1139</v>
      </c>
      <c r="E237" s="58" t="s">
        <v>961</v>
      </c>
      <c r="F237" s="82" t="s">
        <v>963</v>
      </c>
      <c r="G237" s="176" t="s">
        <v>964</v>
      </c>
      <c r="H237" s="170" t="str">
        <f>'15. System Acquisition'!$H11</f>
        <v>Comment is required</v>
      </c>
      <c r="I237" s="14">
        <f>'15. System Acquisition'!$G11</f>
        <v>0</v>
      </c>
      <c r="J237" s="14" t="str">
        <f t="shared" si="44"/>
        <v>Blank</v>
      </c>
      <c r="K237" s="155" t="s">
        <v>1131</v>
      </c>
      <c r="L237" s="14" t="str">
        <f t="shared" si="35"/>
        <v>Blank</v>
      </c>
      <c r="N237" s="14" t="str">
        <f t="shared" si="37"/>
        <v/>
      </c>
      <c r="O237" s="14" t="str">
        <f t="shared" si="38"/>
        <v/>
      </c>
      <c r="P237" s="14" t="str">
        <f t="shared" si="39"/>
        <v>Comment is required</v>
      </c>
      <c r="Q237" s="14" t="str">
        <f t="shared" si="40"/>
        <v>Blank</v>
      </c>
      <c r="R237" s="14" t="str">
        <f t="shared" si="41"/>
        <v>No Override</v>
      </c>
      <c r="S237" s="14">
        <f t="shared" si="42"/>
        <v>4</v>
      </c>
      <c r="T237" s="14" t="str">
        <f t="shared" si="43"/>
        <v/>
      </c>
    </row>
    <row r="238" spans="1:20" ht="34.200000000000003" x14ac:dyDescent="0.3">
      <c r="A238" s="224">
        <v>2</v>
      </c>
      <c r="C238" s="14">
        <f t="shared" si="36"/>
        <v>2</v>
      </c>
      <c r="D238" s="14" t="s">
        <v>1139</v>
      </c>
      <c r="E238" s="58" t="s">
        <v>965</v>
      </c>
      <c r="F238" s="82" t="s">
        <v>968</v>
      </c>
      <c r="G238" s="176" t="s">
        <v>969</v>
      </c>
      <c r="H238" s="170" t="str">
        <f>'15. System Acquisition'!$H12</f>
        <v>Comment is required</v>
      </c>
      <c r="I238" s="14">
        <f>'15. System Acquisition'!$G12</f>
        <v>0</v>
      </c>
      <c r="J238" s="14" t="str">
        <f t="shared" si="44"/>
        <v>Blank</v>
      </c>
      <c r="K238" s="155" t="s">
        <v>1131</v>
      </c>
      <c r="L238" s="14" t="str">
        <f t="shared" si="35"/>
        <v>Blank</v>
      </c>
      <c r="N238" s="14" t="str">
        <f t="shared" si="37"/>
        <v/>
      </c>
      <c r="O238" s="14" t="str">
        <f t="shared" si="38"/>
        <v/>
      </c>
      <c r="P238" s="14" t="str">
        <f t="shared" si="39"/>
        <v>Comment is required</v>
      </c>
      <c r="Q238" s="14" t="str">
        <f t="shared" si="40"/>
        <v>Blank</v>
      </c>
      <c r="R238" s="14" t="str">
        <f t="shared" si="41"/>
        <v>No Override</v>
      </c>
      <c r="S238" s="14">
        <f t="shared" si="42"/>
        <v>2</v>
      </c>
      <c r="T238" s="14" t="str">
        <f t="shared" si="43"/>
        <v/>
      </c>
    </row>
    <row r="239" spans="1:20" ht="34.200000000000003" x14ac:dyDescent="0.3">
      <c r="A239" s="224">
        <v>4</v>
      </c>
      <c r="C239" s="14">
        <f t="shared" si="36"/>
        <v>4</v>
      </c>
      <c r="D239" s="14" t="s">
        <v>1139</v>
      </c>
      <c r="E239" s="58" t="s">
        <v>970</v>
      </c>
      <c r="F239" s="82" t="s">
        <v>972</v>
      </c>
      <c r="G239" s="176" t="s">
        <v>973</v>
      </c>
      <c r="H239" s="170" t="str">
        <f>'15. System Acquisition'!$H13</f>
        <v>Comment is required</v>
      </c>
      <c r="I239" s="14">
        <f>'15. System Acquisition'!$G13</f>
        <v>0</v>
      </c>
      <c r="J239" s="14" t="str">
        <f t="shared" si="44"/>
        <v>Blank</v>
      </c>
      <c r="K239" s="155" t="s">
        <v>1131</v>
      </c>
      <c r="L239" s="14" t="str">
        <f t="shared" si="35"/>
        <v>Blank</v>
      </c>
      <c r="N239" s="14" t="str">
        <f t="shared" si="37"/>
        <v/>
      </c>
      <c r="O239" s="14" t="str">
        <f t="shared" si="38"/>
        <v/>
      </c>
      <c r="P239" s="14" t="str">
        <f t="shared" si="39"/>
        <v>Comment is required</v>
      </c>
      <c r="Q239" s="14" t="str">
        <f t="shared" si="40"/>
        <v>Blank</v>
      </c>
      <c r="R239" s="14" t="str">
        <f t="shared" si="41"/>
        <v>No Override</v>
      </c>
      <c r="S239" s="14">
        <f t="shared" si="42"/>
        <v>4</v>
      </c>
      <c r="T239" s="14" t="str">
        <f t="shared" si="43"/>
        <v/>
      </c>
    </row>
    <row r="240" spans="1:20" ht="34.200000000000003" x14ac:dyDescent="0.3">
      <c r="A240" s="224">
        <v>2</v>
      </c>
      <c r="C240" s="14">
        <f t="shared" si="36"/>
        <v>2</v>
      </c>
      <c r="D240" s="14" t="s">
        <v>1139</v>
      </c>
      <c r="E240" s="58" t="s">
        <v>974</v>
      </c>
      <c r="F240" s="82" t="s">
        <v>976</v>
      </c>
      <c r="G240" s="176" t="s">
        <v>977</v>
      </c>
      <c r="H240" s="170" t="str">
        <f>'15. System Acquisition'!$H14</f>
        <v>Comment is required</v>
      </c>
      <c r="I240" s="14">
        <f>'15. System Acquisition'!$G14</f>
        <v>0</v>
      </c>
      <c r="J240" s="14" t="str">
        <f t="shared" si="44"/>
        <v>Blank</v>
      </c>
      <c r="K240" s="155" t="s">
        <v>1131</v>
      </c>
      <c r="L240" s="14" t="str">
        <f t="shared" si="35"/>
        <v>Blank</v>
      </c>
      <c r="N240" s="14" t="str">
        <f t="shared" si="37"/>
        <v/>
      </c>
      <c r="O240" s="14" t="str">
        <f t="shared" si="38"/>
        <v/>
      </c>
      <c r="P240" s="14" t="str">
        <f t="shared" si="39"/>
        <v>Comment is required</v>
      </c>
      <c r="Q240" s="14" t="str">
        <f t="shared" si="40"/>
        <v>Blank</v>
      </c>
      <c r="R240" s="14" t="str">
        <f t="shared" si="41"/>
        <v>No Override</v>
      </c>
      <c r="S240" s="14">
        <f t="shared" si="42"/>
        <v>2</v>
      </c>
      <c r="T240" s="14" t="str">
        <f t="shared" si="43"/>
        <v/>
      </c>
    </row>
    <row r="241" spans="1:20" s="14" customFormat="1" ht="34.200000000000003" x14ac:dyDescent="0.3">
      <c r="A241" s="224">
        <v>1</v>
      </c>
      <c r="C241" s="14">
        <f t="shared" si="36"/>
        <v>1</v>
      </c>
      <c r="D241" s="14" t="s">
        <v>1139</v>
      </c>
      <c r="E241" s="58" t="s">
        <v>1334</v>
      </c>
      <c r="F241" s="58" t="s">
        <v>1287</v>
      </c>
      <c r="G241" s="191" t="s">
        <v>1333</v>
      </c>
      <c r="H241" s="170" t="str">
        <f>'15. System Acquisition'!$H15</f>
        <v>Comment is required</v>
      </c>
      <c r="I241" s="14">
        <f>'15. System Acquisition'!$G15</f>
        <v>0</v>
      </c>
      <c r="J241" s="14" t="str">
        <f t="shared" si="44"/>
        <v>Blank</v>
      </c>
      <c r="K241" s="155" t="s">
        <v>1131</v>
      </c>
      <c r="L241" s="14" t="str">
        <f t="shared" si="35"/>
        <v>Blank</v>
      </c>
      <c r="N241" s="14" t="str">
        <f t="shared" si="37"/>
        <v/>
      </c>
      <c r="O241" s="14" t="str">
        <f t="shared" si="38"/>
        <v/>
      </c>
      <c r="P241" s="14" t="str">
        <f t="shared" si="39"/>
        <v>Comment is required</v>
      </c>
      <c r="Q241" s="14" t="str">
        <f t="shared" si="40"/>
        <v>Blank</v>
      </c>
      <c r="R241" s="14" t="str">
        <f t="shared" si="41"/>
        <v>No Override</v>
      </c>
      <c r="S241" s="14">
        <f t="shared" si="42"/>
        <v>1</v>
      </c>
      <c r="T241" s="14" t="str">
        <f t="shared" si="43"/>
        <v/>
      </c>
    </row>
    <row r="242" spans="1:20" ht="22.8" x14ac:dyDescent="0.3">
      <c r="A242" s="224">
        <v>4</v>
      </c>
      <c r="C242" s="14">
        <f t="shared" si="36"/>
        <v>4</v>
      </c>
      <c r="D242" t="s">
        <v>1140</v>
      </c>
      <c r="E242" s="58" t="s">
        <v>979</v>
      </c>
      <c r="F242" s="82" t="s">
        <v>981</v>
      </c>
      <c r="G242" s="170" t="s">
        <v>982</v>
      </c>
      <c r="H242" s="170" t="str">
        <f>'16. System Data Protection'!$H3</f>
        <v>Comment is required</v>
      </c>
      <c r="I242">
        <f>'16. System Data Protection'!$G3</f>
        <v>0</v>
      </c>
      <c r="J242" s="14" t="str">
        <f t="shared" si="44"/>
        <v>Blank</v>
      </c>
      <c r="K242" s="155" t="s">
        <v>1131</v>
      </c>
      <c r="L242" s="14" t="str">
        <f t="shared" si="35"/>
        <v>Blank</v>
      </c>
      <c r="N242" s="14" t="str">
        <f t="shared" si="37"/>
        <v/>
      </c>
      <c r="O242" s="14" t="str">
        <f t="shared" si="38"/>
        <v/>
      </c>
      <c r="P242" s="14" t="str">
        <f t="shared" si="39"/>
        <v>Comment is required</v>
      </c>
      <c r="Q242" s="14" t="str">
        <f t="shared" si="40"/>
        <v>Blank</v>
      </c>
      <c r="R242" s="14" t="str">
        <f t="shared" si="41"/>
        <v>No Override</v>
      </c>
      <c r="S242" s="14">
        <f t="shared" si="42"/>
        <v>4</v>
      </c>
      <c r="T242" s="14" t="str">
        <f t="shared" si="43"/>
        <v/>
      </c>
    </row>
    <row r="243" spans="1:20" ht="22.8" x14ac:dyDescent="0.3">
      <c r="A243" s="224">
        <v>4</v>
      </c>
      <c r="C243" s="14">
        <f t="shared" si="36"/>
        <v>4</v>
      </c>
      <c r="D243" s="14" t="s">
        <v>1140</v>
      </c>
      <c r="E243" s="58" t="s">
        <v>983</v>
      </c>
      <c r="F243" s="82" t="s">
        <v>985</v>
      </c>
      <c r="G243" s="170" t="s">
        <v>986</v>
      </c>
      <c r="H243" s="170" t="str">
        <f>'16. System Data Protection'!$H4</f>
        <v>Comment is required</v>
      </c>
      <c r="I243" s="14">
        <f>'16. System Data Protection'!$G4</f>
        <v>0</v>
      </c>
      <c r="J243" s="14" t="str">
        <f t="shared" si="44"/>
        <v>Blank</v>
      </c>
      <c r="K243" s="155" t="s">
        <v>1131</v>
      </c>
      <c r="L243" s="14" t="str">
        <f t="shared" si="35"/>
        <v>Blank</v>
      </c>
      <c r="N243" s="14" t="str">
        <f t="shared" si="37"/>
        <v/>
      </c>
      <c r="O243" s="14" t="str">
        <f t="shared" si="38"/>
        <v/>
      </c>
      <c r="P243" s="14" t="str">
        <f t="shared" si="39"/>
        <v>Comment is required</v>
      </c>
      <c r="Q243" s="14" t="str">
        <f t="shared" si="40"/>
        <v>Blank</v>
      </c>
      <c r="R243" s="14" t="str">
        <f t="shared" si="41"/>
        <v>No Override</v>
      </c>
      <c r="S243" s="14">
        <f t="shared" si="42"/>
        <v>4</v>
      </c>
      <c r="T243" s="14" t="str">
        <f t="shared" si="43"/>
        <v/>
      </c>
    </row>
    <row r="244" spans="1:20" ht="22.8" x14ac:dyDescent="0.3">
      <c r="A244" s="224">
        <v>4</v>
      </c>
      <c r="C244" s="14">
        <f t="shared" si="36"/>
        <v>4</v>
      </c>
      <c r="D244" s="14" t="s">
        <v>1140</v>
      </c>
      <c r="E244" s="58" t="s">
        <v>987</v>
      </c>
      <c r="F244" s="82" t="s">
        <v>989</v>
      </c>
      <c r="G244" s="170" t="s">
        <v>990</v>
      </c>
      <c r="H244" s="170" t="str">
        <f>'16. System Data Protection'!$H5</f>
        <v>Comment is required</v>
      </c>
      <c r="I244" s="14">
        <f>'16. System Data Protection'!$G5</f>
        <v>0</v>
      </c>
      <c r="J244" s="14" t="str">
        <f t="shared" si="44"/>
        <v>Blank</v>
      </c>
      <c r="K244" s="155" t="s">
        <v>1131</v>
      </c>
      <c r="L244" s="14" t="str">
        <f t="shared" si="35"/>
        <v>Blank</v>
      </c>
      <c r="N244" s="14" t="str">
        <f t="shared" si="37"/>
        <v/>
      </c>
      <c r="O244" s="14" t="str">
        <f t="shared" si="38"/>
        <v/>
      </c>
      <c r="P244" s="14" t="str">
        <f t="shared" si="39"/>
        <v>Comment is required</v>
      </c>
      <c r="Q244" s="14" t="str">
        <f t="shared" si="40"/>
        <v>Blank</v>
      </c>
      <c r="R244" s="14" t="str">
        <f t="shared" si="41"/>
        <v>No Override</v>
      </c>
      <c r="S244" s="14">
        <f t="shared" si="42"/>
        <v>4</v>
      </c>
      <c r="T244" s="14" t="str">
        <f t="shared" si="43"/>
        <v/>
      </c>
    </row>
    <row r="245" spans="1:20" x14ac:dyDescent="0.3">
      <c r="A245" s="224">
        <v>4</v>
      </c>
      <c r="C245" s="14">
        <f t="shared" si="36"/>
        <v>4</v>
      </c>
      <c r="D245" s="14" t="s">
        <v>1140</v>
      </c>
      <c r="E245" s="58" t="s">
        <v>991</v>
      </c>
      <c r="F245" s="82" t="s">
        <v>993</v>
      </c>
      <c r="G245" s="176" t="s">
        <v>994</v>
      </c>
      <c r="H245" s="170" t="str">
        <f>'16. System Data Protection'!$H6</f>
        <v>Comment is required</v>
      </c>
      <c r="I245" s="14">
        <f>'16. System Data Protection'!$G6</f>
        <v>0</v>
      </c>
      <c r="J245" s="14" t="str">
        <f t="shared" si="44"/>
        <v>Blank</v>
      </c>
      <c r="K245" s="155" t="s">
        <v>1131</v>
      </c>
      <c r="L245" s="14" t="str">
        <f t="shared" si="35"/>
        <v>Blank</v>
      </c>
      <c r="N245" s="14" t="str">
        <f t="shared" si="37"/>
        <v/>
      </c>
      <c r="O245" s="14" t="str">
        <f t="shared" si="38"/>
        <v/>
      </c>
      <c r="P245" s="14" t="str">
        <f t="shared" si="39"/>
        <v>Comment is required</v>
      </c>
      <c r="Q245" s="14" t="str">
        <f t="shared" si="40"/>
        <v>Blank</v>
      </c>
      <c r="R245" s="14" t="str">
        <f t="shared" si="41"/>
        <v>No Override</v>
      </c>
      <c r="S245" s="14">
        <f t="shared" si="42"/>
        <v>4</v>
      </c>
      <c r="T245" s="14" t="str">
        <f t="shared" si="43"/>
        <v/>
      </c>
    </row>
    <row r="246" spans="1:20" x14ac:dyDescent="0.3">
      <c r="A246" s="224">
        <v>4</v>
      </c>
      <c r="C246" s="14">
        <f t="shared" si="36"/>
        <v>4</v>
      </c>
      <c r="D246" s="14" t="s">
        <v>1140</v>
      </c>
      <c r="E246" s="58" t="s">
        <v>995</v>
      </c>
      <c r="F246" s="82" t="s">
        <v>997</v>
      </c>
      <c r="G246" s="170" t="s">
        <v>998</v>
      </c>
      <c r="H246" s="170" t="str">
        <f>'16. System Data Protection'!$H7</f>
        <v>Comment is required</v>
      </c>
      <c r="I246" s="14">
        <f>'16. System Data Protection'!$G7</f>
        <v>0</v>
      </c>
      <c r="J246" s="14" t="str">
        <f t="shared" si="44"/>
        <v>Blank</v>
      </c>
      <c r="K246" s="155" t="s">
        <v>1131</v>
      </c>
      <c r="L246" s="14" t="str">
        <f t="shared" si="35"/>
        <v>Blank</v>
      </c>
      <c r="N246" s="14" t="str">
        <f t="shared" si="37"/>
        <v/>
      </c>
      <c r="O246" s="14" t="str">
        <f t="shared" si="38"/>
        <v/>
      </c>
      <c r="P246" s="14" t="str">
        <f t="shared" si="39"/>
        <v>Comment is required</v>
      </c>
      <c r="Q246" s="14" t="str">
        <f t="shared" si="40"/>
        <v>Blank</v>
      </c>
      <c r="R246" s="14" t="str">
        <f t="shared" si="41"/>
        <v>No Override</v>
      </c>
      <c r="S246" s="14">
        <f t="shared" si="42"/>
        <v>4</v>
      </c>
      <c r="T246" s="14" t="str">
        <f t="shared" si="43"/>
        <v/>
      </c>
    </row>
    <row r="247" spans="1:20" ht="22.8" x14ac:dyDescent="0.3">
      <c r="A247" s="224">
        <v>3</v>
      </c>
      <c r="C247" s="14">
        <f t="shared" si="36"/>
        <v>3</v>
      </c>
      <c r="D247" s="14" t="s">
        <v>1140</v>
      </c>
      <c r="E247" s="58" t="s">
        <v>999</v>
      </c>
      <c r="F247" s="82" t="s">
        <v>1001</v>
      </c>
      <c r="G247" s="176" t="s">
        <v>1002</v>
      </c>
      <c r="H247" s="170" t="str">
        <f>'16. System Data Protection'!$H8</f>
        <v>Comment is required</v>
      </c>
      <c r="I247" s="14">
        <f>'16. System Data Protection'!$G8</f>
        <v>0</v>
      </c>
      <c r="J247" s="14" t="str">
        <f t="shared" si="44"/>
        <v>Blank</v>
      </c>
      <c r="K247" s="155" t="s">
        <v>1131</v>
      </c>
      <c r="L247" s="14" t="str">
        <f t="shared" si="35"/>
        <v>Blank</v>
      </c>
      <c r="N247" s="14" t="str">
        <f t="shared" si="37"/>
        <v/>
      </c>
      <c r="O247" s="14" t="str">
        <f t="shared" si="38"/>
        <v/>
      </c>
      <c r="P247" s="14" t="str">
        <f t="shared" si="39"/>
        <v>Comment is required</v>
      </c>
      <c r="Q247" s="14" t="str">
        <f t="shared" si="40"/>
        <v>Blank</v>
      </c>
      <c r="R247" s="14" t="str">
        <f t="shared" si="41"/>
        <v>No Override</v>
      </c>
      <c r="S247" s="14">
        <f t="shared" si="42"/>
        <v>3</v>
      </c>
      <c r="T247" s="14" t="str">
        <f t="shared" si="43"/>
        <v/>
      </c>
    </row>
    <row r="248" spans="1:20" ht="22.8" x14ac:dyDescent="0.3">
      <c r="A248" s="224">
        <v>3</v>
      </c>
      <c r="C248" s="14">
        <f t="shared" si="36"/>
        <v>3</v>
      </c>
      <c r="D248" s="14" t="s">
        <v>1140</v>
      </c>
      <c r="E248" s="58" t="s">
        <v>1003</v>
      </c>
      <c r="F248" s="82" t="s">
        <v>1001</v>
      </c>
      <c r="G248" s="176" t="s">
        <v>1004</v>
      </c>
      <c r="H248" s="170" t="str">
        <f>'16. System Data Protection'!$H9</f>
        <v>Comment is required</v>
      </c>
      <c r="I248" s="14">
        <f>'16. System Data Protection'!$G9</f>
        <v>0</v>
      </c>
      <c r="J248" s="14" t="str">
        <f t="shared" si="44"/>
        <v>Blank</v>
      </c>
      <c r="K248" s="155" t="s">
        <v>1131</v>
      </c>
      <c r="L248" s="14" t="str">
        <f t="shared" si="35"/>
        <v>Blank</v>
      </c>
      <c r="N248" s="14" t="str">
        <f t="shared" si="37"/>
        <v/>
      </c>
      <c r="O248" s="14" t="str">
        <f t="shared" si="38"/>
        <v/>
      </c>
      <c r="P248" s="14" t="str">
        <f t="shared" si="39"/>
        <v>Comment is required</v>
      </c>
      <c r="Q248" s="14" t="str">
        <f t="shared" si="40"/>
        <v>Blank</v>
      </c>
      <c r="R248" s="14" t="str">
        <f t="shared" si="41"/>
        <v>No Override</v>
      </c>
      <c r="S248" s="14">
        <f t="shared" si="42"/>
        <v>3</v>
      </c>
      <c r="T248" s="14" t="str">
        <f t="shared" si="43"/>
        <v/>
      </c>
    </row>
    <row r="249" spans="1:20" ht="22.8" x14ac:dyDescent="0.3">
      <c r="A249" s="224">
        <v>3</v>
      </c>
      <c r="C249" s="14">
        <f t="shared" si="36"/>
        <v>3</v>
      </c>
      <c r="D249" s="14" t="s">
        <v>1140</v>
      </c>
      <c r="E249" s="58" t="s">
        <v>1005</v>
      </c>
      <c r="F249" s="82" t="s">
        <v>1001</v>
      </c>
      <c r="G249" s="176" t="s">
        <v>1006</v>
      </c>
      <c r="H249" s="170" t="str">
        <f>'16. System Data Protection'!$H10</f>
        <v>Comment is required</v>
      </c>
      <c r="I249" s="14">
        <f>'16. System Data Protection'!$G10</f>
        <v>0</v>
      </c>
      <c r="J249" s="14" t="str">
        <f t="shared" si="44"/>
        <v>Blank</v>
      </c>
      <c r="K249" s="155" t="s">
        <v>1131</v>
      </c>
      <c r="L249" s="14" t="str">
        <f t="shared" si="35"/>
        <v>Blank</v>
      </c>
      <c r="N249" s="14" t="str">
        <f t="shared" si="37"/>
        <v/>
      </c>
      <c r="O249" s="14" t="str">
        <f t="shared" si="38"/>
        <v/>
      </c>
      <c r="P249" s="14" t="str">
        <f t="shared" si="39"/>
        <v>Comment is required</v>
      </c>
      <c r="Q249" s="14" t="str">
        <f t="shared" si="40"/>
        <v>Blank</v>
      </c>
      <c r="R249" s="14" t="str">
        <f t="shared" si="41"/>
        <v>No Override</v>
      </c>
      <c r="S249" s="14">
        <f t="shared" si="42"/>
        <v>3</v>
      </c>
      <c r="T249" s="14" t="str">
        <f t="shared" si="43"/>
        <v/>
      </c>
    </row>
    <row r="250" spans="1:20" ht="22.8" x14ac:dyDescent="0.3">
      <c r="A250" s="224">
        <v>3</v>
      </c>
      <c r="C250" s="14">
        <f t="shared" si="36"/>
        <v>3</v>
      </c>
      <c r="D250" s="14" t="s">
        <v>1140</v>
      </c>
      <c r="E250" s="58" t="s">
        <v>1007</v>
      </c>
      <c r="F250" s="82" t="s">
        <v>1001</v>
      </c>
      <c r="G250" s="176" t="s">
        <v>1008</v>
      </c>
      <c r="H250" s="170" t="str">
        <f>'16. System Data Protection'!$H11</f>
        <v>Comment is required</v>
      </c>
      <c r="I250" s="14">
        <f>'16. System Data Protection'!$G11</f>
        <v>0</v>
      </c>
      <c r="J250" s="14" t="str">
        <f t="shared" si="44"/>
        <v>Blank</v>
      </c>
      <c r="K250" s="155" t="s">
        <v>1131</v>
      </c>
      <c r="L250" s="14" t="str">
        <f t="shared" si="35"/>
        <v>Blank</v>
      </c>
      <c r="N250" s="14" t="str">
        <f t="shared" si="37"/>
        <v/>
      </c>
      <c r="O250" s="14" t="str">
        <f t="shared" si="38"/>
        <v/>
      </c>
      <c r="P250" s="14" t="str">
        <f t="shared" si="39"/>
        <v>Comment is required</v>
      </c>
      <c r="Q250" s="14" t="str">
        <f t="shared" si="40"/>
        <v>Blank</v>
      </c>
      <c r="R250" s="14" t="str">
        <f t="shared" si="41"/>
        <v>No Override</v>
      </c>
      <c r="S250" s="14">
        <f t="shared" si="42"/>
        <v>3</v>
      </c>
      <c r="T250" s="14" t="str">
        <f t="shared" si="43"/>
        <v/>
      </c>
    </row>
    <row r="251" spans="1:20" ht="22.8" x14ac:dyDescent="0.3">
      <c r="A251" s="224">
        <v>3</v>
      </c>
      <c r="C251" s="14">
        <f t="shared" si="36"/>
        <v>3</v>
      </c>
      <c r="D251" s="14" t="s">
        <v>1140</v>
      </c>
      <c r="E251" s="58" t="s">
        <v>1009</v>
      </c>
      <c r="F251" s="82" t="s">
        <v>1001</v>
      </c>
      <c r="G251" s="176" t="s">
        <v>1010</v>
      </c>
      <c r="H251" s="170" t="str">
        <f>'16. System Data Protection'!$H12</f>
        <v>Comment is required</v>
      </c>
      <c r="I251" s="14">
        <f>'16. System Data Protection'!$G12</f>
        <v>0</v>
      </c>
      <c r="J251" s="14" t="str">
        <f t="shared" si="44"/>
        <v>Blank</v>
      </c>
      <c r="K251" s="155" t="s">
        <v>1131</v>
      </c>
      <c r="L251" s="14" t="str">
        <f t="shared" si="35"/>
        <v>Blank</v>
      </c>
      <c r="N251" s="14" t="str">
        <f t="shared" si="37"/>
        <v/>
      </c>
      <c r="O251" s="14" t="str">
        <f t="shared" si="38"/>
        <v/>
      </c>
      <c r="P251" s="14" t="str">
        <f t="shared" si="39"/>
        <v>Comment is required</v>
      </c>
      <c r="Q251" s="14" t="str">
        <f t="shared" si="40"/>
        <v>Blank</v>
      </c>
      <c r="R251" s="14" t="str">
        <f t="shared" si="41"/>
        <v>No Override</v>
      </c>
      <c r="S251" s="14">
        <f t="shared" si="42"/>
        <v>3</v>
      </c>
      <c r="T251" s="14" t="str">
        <f t="shared" si="43"/>
        <v/>
      </c>
    </row>
    <row r="252" spans="1:20" ht="22.8" x14ac:dyDescent="0.3">
      <c r="A252" s="224">
        <v>1</v>
      </c>
      <c r="C252" s="14">
        <f t="shared" si="36"/>
        <v>1</v>
      </c>
      <c r="D252" s="14" t="s">
        <v>1140</v>
      </c>
      <c r="E252" s="62" t="s">
        <v>1011</v>
      </c>
      <c r="F252" s="82" t="s">
        <v>1014</v>
      </c>
      <c r="G252" s="176" t="s">
        <v>1336</v>
      </c>
      <c r="H252" s="170" t="str">
        <f>'16. System Data Protection'!$H13</f>
        <v>Comment is required</v>
      </c>
      <c r="I252" s="14">
        <f>'16. System Data Protection'!$G13</f>
        <v>0</v>
      </c>
      <c r="J252" s="14" t="str">
        <f t="shared" si="44"/>
        <v>Blank</v>
      </c>
      <c r="K252" s="155" t="s">
        <v>1131</v>
      </c>
      <c r="L252" s="14" t="str">
        <f t="shared" si="35"/>
        <v>Blank</v>
      </c>
      <c r="N252" s="14" t="str">
        <f t="shared" si="37"/>
        <v/>
      </c>
      <c r="O252" s="14" t="str">
        <f t="shared" si="38"/>
        <v/>
      </c>
      <c r="P252" s="14" t="str">
        <f t="shared" si="39"/>
        <v>Comment is required</v>
      </c>
      <c r="Q252" s="14" t="str">
        <f t="shared" si="40"/>
        <v>Blank</v>
      </c>
      <c r="R252" s="14" t="str">
        <f t="shared" si="41"/>
        <v>No Override</v>
      </c>
      <c r="S252" s="14">
        <f t="shared" si="42"/>
        <v>1</v>
      </c>
      <c r="T252" s="14" t="str">
        <f t="shared" si="43"/>
        <v/>
      </c>
    </row>
    <row r="253" spans="1:20" ht="22.8" x14ac:dyDescent="0.3">
      <c r="A253" s="224">
        <v>1</v>
      </c>
      <c r="C253" s="14">
        <f t="shared" si="36"/>
        <v>1</v>
      </c>
      <c r="D253" s="14" t="s">
        <v>1140</v>
      </c>
      <c r="E253" s="62" t="s">
        <v>1015</v>
      </c>
      <c r="F253" s="82" t="s">
        <v>1014</v>
      </c>
      <c r="G253" s="176" t="s">
        <v>1016</v>
      </c>
      <c r="H253" s="170" t="str">
        <f>'16. System Data Protection'!$H14</f>
        <v>Comment is required</v>
      </c>
      <c r="I253" s="14">
        <f>'16. System Data Protection'!$G14</f>
        <v>0</v>
      </c>
      <c r="J253" s="14" t="str">
        <f t="shared" si="44"/>
        <v>Blank</v>
      </c>
      <c r="K253" s="155" t="s">
        <v>1131</v>
      </c>
      <c r="L253" s="14" t="str">
        <f t="shared" si="35"/>
        <v>Blank</v>
      </c>
      <c r="N253" s="14" t="str">
        <f t="shared" si="37"/>
        <v/>
      </c>
      <c r="O253" s="14" t="str">
        <f t="shared" si="38"/>
        <v/>
      </c>
      <c r="P253" s="14" t="str">
        <f t="shared" si="39"/>
        <v>Comment is required</v>
      </c>
      <c r="Q253" s="14" t="str">
        <f t="shared" si="40"/>
        <v>Blank</v>
      </c>
      <c r="R253" s="14" t="str">
        <f t="shared" si="41"/>
        <v>No Override</v>
      </c>
      <c r="S253" s="14">
        <f t="shared" si="42"/>
        <v>1</v>
      </c>
      <c r="T253" s="14" t="str">
        <f t="shared" si="43"/>
        <v/>
      </c>
    </row>
    <row r="254" spans="1:20" ht="22.8" x14ac:dyDescent="0.3">
      <c r="A254" s="224">
        <v>4</v>
      </c>
      <c r="C254" s="14">
        <f t="shared" si="36"/>
        <v>4</v>
      </c>
      <c r="D254" s="14" t="s">
        <v>1140</v>
      </c>
      <c r="E254" s="58" t="s">
        <v>1017</v>
      </c>
      <c r="F254" s="82" t="s">
        <v>1019</v>
      </c>
      <c r="G254" s="176" t="s">
        <v>1020</v>
      </c>
      <c r="H254" s="170" t="str">
        <f>'16. System Data Protection'!$H15</f>
        <v>Comment is required</v>
      </c>
      <c r="I254" s="14">
        <f>'16. System Data Protection'!$G15</f>
        <v>0</v>
      </c>
      <c r="J254" s="14" t="str">
        <f t="shared" si="44"/>
        <v>Blank</v>
      </c>
      <c r="K254" s="155" t="s">
        <v>1131</v>
      </c>
      <c r="L254" s="14" t="str">
        <f t="shared" si="35"/>
        <v>Blank</v>
      </c>
      <c r="N254" s="14" t="str">
        <f t="shared" si="37"/>
        <v/>
      </c>
      <c r="O254" s="14" t="str">
        <f t="shared" si="38"/>
        <v/>
      </c>
      <c r="P254" s="14" t="str">
        <f t="shared" si="39"/>
        <v>Comment is required</v>
      </c>
      <c r="Q254" s="14" t="str">
        <f t="shared" si="40"/>
        <v>Blank</v>
      </c>
      <c r="R254" s="14" t="str">
        <f t="shared" si="41"/>
        <v>No Override</v>
      </c>
      <c r="S254" s="14">
        <f t="shared" si="42"/>
        <v>4</v>
      </c>
      <c r="T254" s="14" t="str">
        <f t="shared" si="43"/>
        <v/>
      </c>
    </row>
    <row r="255" spans="1:20" x14ac:dyDescent="0.3">
      <c r="A255" s="224">
        <v>4</v>
      </c>
      <c r="C255" s="14">
        <f t="shared" si="36"/>
        <v>4</v>
      </c>
      <c r="D255" s="14" t="s">
        <v>1140</v>
      </c>
      <c r="E255" s="58" t="s">
        <v>1021</v>
      </c>
      <c r="F255" s="82" t="s">
        <v>1024</v>
      </c>
      <c r="G255" s="176" t="s">
        <v>1025</v>
      </c>
      <c r="H255" s="170" t="str">
        <f>'16. System Data Protection'!$H16</f>
        <v>Comment is required</v>
      </c>
      <c r="I255" s="14">
        <f>'16. System Data Protection'!$G16</f>
        <v>0</v>
      </c>
      <c r="J255" s="14" t="str">
        <f t="shared" si="44"/>
        <v>Blank</v>
      </c>
      <c r="K255" s="155" t="s">
        <v>1131</v>
      </c>
      <c r="L255" s="14" t="str">
        <f t="shared" si="35"/>
        <v>Blank</v>
      </c>
      <c r="N255" s="14" t="str">
        <f t="shared" si="37"/>
        <v/>
      </c>
      <c r="O255" s="14" t="str">
        <f t="shared" si="38"/>
        <v/>
      </c>
      <c r="P255" s="14" t="str">
        <f t="shared" si="39"/>
        <v>Comment is required</v>
      </c>
      <c r="Q255" s="14" t="str">
        <f t="shared" si="40"/>
        <v>Blank</v>
      </c>
      <c r="R255" s="14" t="str">
        <f t="shared" si="41"/>
        <v>No Override</v>
      </c>
      <c r="S255" s="14">
        <f t="shared" si="42"/>
        <v>4</v>
      </c>
      <c r="T255" s="14" t="str">
        <f t="shared" si="43"/>
        <v/>
      </c>
    </row>
    <row r="256" spans="1:20" ht="22.8" x14ac:dyDescent="0.3">
      <c r="A256" s="224">
        <v>4</v>
      </c>
      <c r="C256" s="14">
        <f t="shared" si="36"/>
        <v>4</v>
      </c>
      <c r="D256" s="14" t="s">
        <v>1140</v>
      </c>
      <c r="E256" s="58" t="s">
        <v>1026</v>
      </c>
      <c r="F256" s="82" t="s">
        <v>1028</v>
      </c>
      <c r="G256" s="176" t="s">
        <v>1338</v>
      </c>
      <c r="H256" s="170" t="str">
        <f>'16. System Data Protection'!$H17</f>
        <v>Comment is required</v>
      </c>
      <c r="I256" s="14">
        <f>'16. System Data Protection'!$G17</f>
        <v>0</v>
      </c>
      <c r="J256" s="14" t="str">
        <f t="shared" si="44"/>
        <v>Blank</v>
      </c>
      <c r="K256" s="155" t="s">
        <v>1131</v>
      </c>
      <c r="L256" s="14" t="str">
        <f t="shared" si="35"/>
        <v>Blank</v>
      </c>
      <c r="N256" s="14" t="str">
        <f t="shared" si="37"/>
        <v/>
      </c>
      <c r="O256" s="14" t="str">
        <f t="shared" si="38"/>
        <v/>
      </c>
      <c r="P256" s="14" t="str">
        <f t="shared" si="39"/>
        <v>Comment is required</v>
      </c>
      <c r="Q256" s="14" t="str">
        <f t="shared" si="40"/>
        <v>Blank</v>
      </c>
      <c r="R256" s="14" t="str">
        <f t="shared" si="41"/>
        <v>No Override</v>
      </c>
      <c r="S256" s="14">
        <f t="shared" si="42"/>
        <v>4</v>
      </c>
      <c r="T256" s="14" t="str">
        <f t="shared" si="43"/>
        <v/>
      </c>
    </row>
    <row r="257" spans="1:20" ht="22.8" x14ac:dyDescent="0.3">
      <c r="A257" s="224">
        <v>4</v>
      </c>
      <c r="C257" s="14">
        <f t="shared" si="36"/>
        <v>4</v>
      </c>
      <c r="D257" s="14" t="s">
        <v>1140</v>
      </c>
      <c r="E257" s="58" t="s">
        <v>1029</v>
      </c>
      <c r="F257" s="82" t="s">
        <v>1031</v>
      </c>
      <c r="G257" s="176" t="s">
        <v>1032</v>
      </c>
      <c r="H257" s="170" t="str">
        <f>'16. System Data Protection'!$H18</f>
        <v>Comment is required</v>
      </c>
      <c r="I257" s="14">
        <f>'16. System Data Protection'!$G18</f>
        <v>0</v>
      </c>
      <c r="J257" s="48" t="str">
        <f>IF(AND($I257="Yes",$I258="Yes",$I259="Yes"),"Adequate",IF(AND($I257="Yes",OR(NOT($I258="Yes"),NOT($I259="Yes"))),"Inadequate",IF($I257="No","N/A",IF($I257="Partial","Inadequate",IF($I257="N/A","N/A",IF(OR($I257="",$I257=0),"Blank","Error"))))))</f>
        <v>Blank</v>
      </c>
      <c r="K257" s="155" t="s">
        <v>1131</v>
      </c>
      <c r="L257" s="14" t="str">
        <f t="shared" si="35"/>
        <v>Blank</v>
      </c>
      <c r="N257" s="14" t="str">
        <f t="shared" si="37"/>
        <v/>
      </c>
      <c r="O257" s="14" t="str">
        <f t="shared" si="38"/>
        <v/>
      </c>
      <c r="P257" s="14" t="str">
        <f t="shared" si="39"/>
        <v>Comment is required</v>
      </c>
      <c r="Q257" s="14" t="str">
        <f t="shared" si="40"/>
        <v>Blank</v>
      </c>
      <c r="R257" s="14" t="str">
        <f t="shared" si="41"/>
        <v>No Override</v>
      </c>
      <c r="S257" s="14">
        <f t="shared" si="42"/>
        <v>4</v>
      </c>
      <c r="T257" s="14" t="str">
        <f t="shared" si="43"/>
        <v/>
      </c>
    </row>
    <row r="258" spans="1:20" x14ac:dyDescent="0.3">
      <c r="A258" s="224">
        <v>2</v>
      </c>
      <c r="C258" s="14">
        <f t="shared" si="36"/>
        <v>2</v>
      </c>
      <c r="D258" s="14" t="s">
        <v>1140</v>
      </c>
      <c r="E258" s="58" t="s">
        <v>1033</v>
      </c>
      <c r="F258" s="82" t="s">
        <v>1031</v>
      </c>
      <c r="G258" s="176" t="s">
        <v>1034</v>
      </c>
      <c r="H258" s="170" t="str">
        <f>'16. System Data Protection'!$H19</f>
        <v>Comment is required</v>
      </c>
      <c r="I258" s="14">
        <f>'16. System Data Protection'!$G19</f>
        <v>0</v>
      </c>
      <c r="J258" s="60" t="str">
        <f>IF(OR($I257="N/A",$I257="No"),"N/A",IF($I258="Yes","Adequate",IF($I258="No","Inadequate",IF($I258="Partial","Inadequate",IF(AND($I258="N/A",NOT($I257="No"),NOT($I257="N/A")),"Inadequate",IF(OR($I258="",$I258=0),"Blank","Error"))))))</f>
        <v>Blank</v>
      </c>
      <c r="K258" s="155" t="s">
        <v>1131</v>
      </c>
      <c r="L258" s="14" t="str">
        <f t="shared" si="35"/>
        <v>Blank</v>
      </c>
      <c r="N258" s="14" t="str">
        <f t="shared" si="37"/>
        <v/>
      </c>
      <c r="O258" s="14" t="str">
        <f t="shared" si="38"/>
        <v/>
      </c>
      <c r="P258" s="14" t="str">
        <f t="shared" si="39"/>
        <v>Comment is required</v>
      </c>
      <c r="Q258" s="14" t="str">
        <f t="shared" si="40"/>
        <v>Blank</v>
      </c>
      <c r="R258" s="14" t="str">
        <f t="shared" si="41"/>
        <v>No Override</v>
      </c>
      <c r="S258" s="14">
        <f t="shared" si="42"/>
        <v>2</v>
      </c>
      <c r="T258" s="14" t="str">
        <f t="shared" si="43"/>
        <v/>
      </c>
    </row>
    <row r="259" spans="1:20" ht="22.8" x14ac:dyDescent="0.3">
      <c r="A259" s="224">
        <v>2</v>
      </c>
      <c r="C259" s="14">
        <f t="shared" si="36"/>
        <v>2</v>
      </c>
      <c r="D259" s="14" t="s">
        <v>1140</v>
      </c>
      <c r="E259" s="58" t="s">
        <v>1035</v>
      </c>
      <c r="F259" s="82" t="s">
        <v>1031</v>
      </c>
      <c r="G259" s="176" t="s">
        <v>1036</v>
      </c>
      <c r="H259" s="170" t="str">
        <f>'16. System Data Protection'!$H20</f>
        <v>Comment is required</v>
      </c>
      <c r="I259" s="14">
        <f>'16. System Data Protection'!$G20</f>
        <v>0</v>
      </c>
      <c r="J259" s="60" t="str">
        <f>IF(OR($I257="N/A",$I257="No"),"N/A",IF($I259="Yes","Adequate",IF($I259="No","Inadequate",IF($I259="Partial","Inadequate",IF(AND($I259="N/A",NOT($I257="No"),NOT($I257="N/A")),"Inadequate",IF(OR($I259="",$I259=0),"Blank","Error"))))))</f>
        <v>Blank</v>
      </c>
      <c r="K259" s="155" t="s">
        <v>1131</v>
      </c>
      <c r="L259" s="14" t="str">
        <f t="shared" si="35"/>
        <v>Blank</v>
      </c>
      <c r="N259" s="14" t="str">
        <f t="shared" si="37"/>
        <v/>
      </c>
      <c r="O259" s="14" t="str">
        <f t="shared" si="38"/>
        <v/>
      </c>
      <c r="P259" s="14" t="str">
        <f t="shared" si="39"/>
        <v>Comment is required</v>
      </c>
      <c r="Q259" s="14" t="str">
        <f t="shared" si="40"/>
        <v>Blank</v>
      </c>
      <c r="R259" s="14" t="str">
        <f t="shared" si="41"/>
        <v>No Override</v>
      </c>
      <c r="S259" s="14">
        <f t="shared" si="42"/>
        <v>2</v>
      </c>
      <c r="T259" s="14" t="str">
        <f t="shared" si="43"/>
        <v/>
      </c>
    </row>
    <row r="260" spans="1:20" ht="22.8" x14ac:dyDescent="0.3">
      <c r="A260" s="224">
        <v>2</v>
      </c>
      <c r="C260" s="14">
        <f t="shared" si="36"/>
        <v>2</v>
      </c>
      <c r="D260" s="14" t="s">
        <v>1140</v>
      </c>
      <c r="E260" s="58" t="s">
        <v>1037</v>
      </c>
      <c r="F260" s="82" t="s">
        <v>1039</v>
      </c>
      <c r="G260" s="176" t="s">
        <v>1040</v>
      </c>
      <c r="H260" s="170" t="str">
        <f>'16. System Data Protection'!$H21</f>
        <v>Comment is required</v>
      </c>
      <c r="I260" s="14">
        <f>'16. System Data Protection'!$G21</f>
        <v>0</v>
      </c>
      <c r="J260" s="14" t="str">
        <f t="shared" si="44"/>
        <v>Blank</v>
      </c>
      <c r="K260" s="155" t="s">
        <v>1131</v>
      </c>
      <c r="L260" s="14" t="str">
        <f t="shared" si="35"/>
        <v>Blank</v>
      </c>
      <c r="N260" s="14" t="str">
        <f t="shared" si="37"/>
        <v/>
      </c>
      <c r="O260" s="14" t="str">
        <f t="shared" si="38"/>
        <v/>
      </c>
      <c r="P260" s="14" t="str">
        <f t="shared" si="39"/>
        <v>Comment is required</v>
      </c>
      <c r="Q260" s="14" t="str">
        <f t="shared" si="40"/>
        <v>Blank</v>
      </c>
      <c r="R260" s="14" t="str">
        <f t="shared" si="41"/>
        <v>No Override</v>
      </c>
      <c r="S260" s="14">
        <f t="shared" si="42"/>
        <v>2</v>
      </c>
      <c r="T260" s="14" t="str">
        <f t="shared" si="43"/>
        <v/>
      </c>
    </row>
    <row r="261" spans="1:20" ht="34.200000000000003" x14ac:dyDescent="0.3">
      <c r="A261" s="224">
        <v>1</v>
      </c>
      <c r="C261" s="14">
        <f t="shared" si="36"/>
        <v>1</v>
      </c>
      <c r="D261" s="14" t="s">
        <v>1140</v>
      </c>
      <c r="E261" s="58" t="s">
        <v>1041</v>
      </c>
      <c r="F261" s="82" t="s">
        <v>1043</v>
      </c>
      <c r="G261" s="176" t="s">
        <v>1044</v>
      </c>
      <c r="H261" s="170" t="str">
        <f>'16. System Data Protection'!$H22</f>
        <v>Comment is required</v>
      </c>
      <c r="I261" s="14">
        <f>'16. System Data Protection'!$G22</f>
        <v>0</v>
      </c>
      <c r="J261" s="14" t="str">
        <f t="shared" si="44"/>
        <v>Blank</v>
      </c>
      <c r="K261" s="155" t="s">
        <v>1131</v>
      </c>
      <c r="L261" s="14" t="str">
        <f t="shared" si="35"/>
        <v>Blank</v>
      </c>
      <c r="N261" s="14" t="str">
        <f t="shared" si="37"/>
        <v/>
      </c>
      <c r="O261" s="14" t="str">
        <f t="shared" si="38"/>
        <v/>
      </c>
      <c r="P261" s="14" t="str">
        <f t="shared" si="39"/>
        <v>Comment is required</v>
      </c>
      <c r="Q261" s="14" t="str">
        <f t="shared" si="40"/>
        <v>Blank</v>
      </c>
      <c r="R261" s="14" t="str">
        <f t="shared" si="41"/>
        <v>No Override</v>
      </c>
      <c r="S261" s="14">
        <f t="shared" si="42"/>
        <v>1</v>
      </c>
      <c r="T261" s="14" t="str">
        <f t="shared" si="43"/>
        <v/>
      </c>
    </row>
    <row r="262" spans="1:20" ht="22.8" x14ac:dyDescent="0.3">
      <c r="A262" s="224">
        <v>4</v>
      </c>
      <c r="C262" s="14">
        <f t="shared" si="36"/>
        <v>4</v>
      </c>
      <c r="D262" s="14" t="s">
        <v>1140</v>
      </c>
      <c r="E262" s="58" t="s">
        <v>1045</v>
      </c>
      <c r="F262" s="82" t="s">
        <v>1047</v>
      </c>
      <c r="G262" s="176" t="s">
        <v>1048</v>
      </c>
      <c r="H262" s="170" t="str">
        <f>'16. System Data Protection'!$H23</f>
        <v>Comment is required</v>
      </c>
      <c r="I262" s="14">
        <f>'16. System Data Protection'!$G23</f>
        <v>0</v>
      </c>
      <c r="J262" s="14" t="str">
        <f t="shared" si="44"/>
        <v>Blank</v>
      </c>
      <c r="K262" s="155" t="s">
        <v>1131</v>
      </c>
      <c r="L262" s="14" t="str">
        <f t="shared" si="35"/>
        <v>Blank</v>
      </c>
      <c r="N262" s="14" t="str">
        <f t="shared" si="37"/>
        <v/>
      </c>
      <c r="O262" s="14" t="str">
        <f t="shared" si="38"/>
        <v/>
      </c>
      <c r="P262" s="14" t="str">
        <f t="shared" si="39"/>
        <v>Comment is required</v>
      </c>
      <c r="Q262" s="14" t="str">
        <f t="shared" si="40"/>
        <v>Blank</v>
      </c>
      <c r="R262" s="14" t="str">
        <f t="shared" si="41"/>
        <v>No Override</v>
      </c>
      <c r="S262" s="14">
        <f t="shared" si="42"/>
        <v>4</v>
      </c>
      <c r="T262" s="14" t="str">
        <f t="shared" si="43"/>
        <v/>
      </c>
    </row>
    <row r="263" spans="1:20" ht="22.8" x14ac:dyDescent="0.3">
      <c r="A263" s="224">
        <v>4</v>
      </c>
      <c r="C263" s="14">
        <f t="shared" si="36"/>
        <v>4</v>
      </c>
      <c r="D263" s="14" t="s">
        <v>1140</v>
      </c>
      <c r="E263" s="58" t="s">
        <v>1049</v>
      </c>
      <c r="F263" s="82" t="s">
        <v>1051</v>
      </c>
      <c r="G263" s="176" t="s">
        <v>1052</v>
      </c>
      <c r="H263" s="170" t="str">
        <f>'16. System Data Protection'!$H24</f>
        <v>Comment is required</v>
      </c>
      <c r="I263" s="14">
        <f>'16. System Data Protection'!$G24</f>
        <v>0</v>
      </c>
      <c r="J263" s="14" t="str">
        <f t="shared" si="44"/>
        <v>Blank</v>
      </c>
      <c r="K263" s="155" t="s">
        <v>1131</v>
      </c>
      <c r="L263" s="14" t="str">
        <f t="shared" si="35"/>
        <v>Blank</v>
      </c>
      <c r="N263" s="14" t="str">
        <f t="shared" si="37"/>
        <v/>
      </c>
      <c r="O263" s="14" t="str">
        <f t="shared" si="38"/>
        <v/>
      </c>
      <c r="P263" s="14" t="str">
        <f t="shared" si="39"/>
        <v>Comment is required</v>
      </c>
      <c r="Q263" s="14" t="str">
        <f t="shared" si="40"/>
        <v>Blank</v>
      </c>
      <c r="R263" s="14" t="str">
        <f t="shared" si="41"/>
        <v>No Override</v>
      </c>
      <c r="S263" s="14">
        <f t="shared" si="42"/>
        <v>4</v>
      </c>
      <c r="T263" s="14" t="str">
        <f t="shared" si="43"/>
        <v/>
      </c>
    </row>
    <row r="264" spans="1:20" ht="22.8" x14ac:dyDescent="0.3">
      <c r="A264" s="224">
        <v>4</v>
      </c>
      <c r="C264" s="14">
        <f t="shared" si="36"/>
        <v>4</v>
      </c>
      <c r="D264" s="14" t="s">
        <v>1140</v>
      </c>
      <c r="E264" s="58" t="s">
        <v>1053</v>
      </c>
      <c r="F264" s="82" t="s">
        <v>1055</v>
      </c>
      <c r="G264" s="176" t="s">
        <v>1056</v>
      </c>
      <c r="H264" s="170" t="str">
        <f>'16. System Data Protection'!$H25</f>
        <v>Comment is required</v>
      </c>
      <c r="I264" s="14">
        <f>'16. System Data Protection'!$G25</f>
        <v>0</v>
      </c>
      <c r="J264" s="14" t="str">
        <f t="shared" si="44"/>
        <v>Blank</v>
      </c>
      <c r="K264" s="155" t="s">
        <v>1131</v>
      </c>
      <c r="L264" s="14" t="str">
        <f t="shared" si="35"/>
        <v>Blank</v>
      </c>
      <c r="N264" s="14" t="str">
        <f t="shared" si="37"/>
        <v/>
      </c>
      <c r="O264" s="14" t="str">
        <f t="shared" si="38"/>
        <v/>
      </c>
      <c r="P264" s="14" t="str">
        <f t="shared" si="39"/>
        <v>Comment is required</v>
      </c>
      <c r="Q264" s="14" t="str">
        <f t="shared" si="40"/>
        <v>Blank</v>
      </c>
      <c r="R264" s="14" t="str">
        <f t="shared" si="41"/>
        <v>No Override</v>
      </c>
      <c r="S264" s="14">
        <f t="shared" si="42"/>
        <v>4</v>
      </c>
      <c r="T264" s="14" t="str">
        <f t="shared" si="43"/>
        <v/>
      </c>
    </row>
    <row r="265" spans="1:20" ht="22.8" x14ac:dyDescent="0.3">
      <c r="A265" s="224">
        <v>4</v>
      </c>
      <c r="C265" s="14">
        <f t="shared" si="36"/>
        <v>4</v>
      </c>
      <c r="D265" s="14" t="s">
        <v>1140</v>
      </c>
      <c r="E265" s="58" t="s">
        <v>1057</v>
      </c>
      <c r="F265" s="82" t="s">
        <v>1059</v>
      </c>
      <c r="G265" s="176" t="s">
        <v>1060</v>
      </c>
      <c r="H265" s="170" t="str">
        <f>'16. System Data Protection'!$H26</f>
        <v>Comment is required</v>
      </c>
      <c r="I265" s="14">
        <f>'16. System Data Protection'!$G26</f>
        <v>0</v>
      </c>
      <c r="J265" s="14" t="str">
        <f t="shared" si="44"/>
        <v>Blank</v>
      </c>
      <c r="K265" s="155" t="s">
        <v>1131</v>
      </c>
      <c r="L265" s="14" t="str">
        <f t="shared" si="35"/>
        <v>Blank</v>
      </c>
      <c r="N265" s="14" t="str">
        <f t="shared" si="37"/>
        <v/>
      </c>
      <c r="O265" s="14" t="str">
        <f t="shared" si="38"/>
        <v/>
      </c>
      <c r="P265" s="14" t="str">
        <f t="shared" si="39"/>
        <v>Comment is required</v>
      </c>
      <c r="Q265" s="14" t="str">
        <f t="shared" si="40"/>
        <v>Blank</v>
      </c>
      <c r="R265" s="14" t="str">
        <f t="shared" si="41"/>
        <v>No Override</v>
      </c>
      <c r="S265" s="14">
        <f t="shared" si="42"/>
        <v>4</v>
      </c>
      <c r="T265" s="14" t="str">
        <f t="shared" si="43"/>
        <v/>
      </c>
    </row>
    <row r="266" spans="1:20" x14ac:dyDescent="0.3">
      <c r="A266" s="224">
        <v>3</v>
      </c>
      <c r="C266" s="14">
        <f t="shared" si="36"/>
        <v>3</v>
      </c>
      <c r="D266" s="14" t="s">
        <v>1140</v>
      </c>
      <c r="E266" s="58" t="s">
        <v>1061</v>
      </c>
      <c r="F266" s="82" t="s">
        <v>1063</v>
      </c>
      <c r="G266" s="176" t="s">
        <v>1064</v>
      </c>
      <c r="H266" s="170" t="str">
        <f>'16. System Data Protection'!$H27</f>
        <v>Comment is required</v>
      </c>
      <c r="I266" s="14">
        <f>'16. System Data Protection'!$G27</f>
        <v>0</v>
      </c>
      <c r="J266" s="14" t="str">
        <f t="shared" si="44"/>
        <v>Blank</v>
      </c>
      <c r="K266" s="155" t="s">
        <v>1131</v>
      </c>
      <c r="L266" s="14" t="str">
        <f t="shared" si="35"/>
        <v>Blank</v>
      </c>
      <c r="N266" s="14" t="str">
        <f t="shared" si="37"/>
        <v/>
      </c>
      <c r="O266" s="14" t="str">
        <f t="shared" si="38"/>
        <v/>
      </c>
      <c r="P266" s="14" t="str">
        <f t="shared" si="39"/>
        <v>Comment is required</v>
      </c>
      <c r="Q266" s="14" t="str">
        <f t="shared" si="40"/>
        <v>Blank</v>
      </c>
      <c r="R266" s="14" t="str">
        <f t="shared" si="41"/>
        <v>No Override</v>
      </c>
      <c r="S266" s="14">
        <f t="shared" si="42"/>
        <v>3</v>
      </c>
      <c r="T266" s="14" t="str">
        <f t="shared" si="43"/>
        <v/>
      </c>
    </row>
    <row r="267" spans="1:20" ht="22.8" x14ac:dyDescent="0.3">
      <c r="A267" s="224">
        <v>1</v>
      </c>
      <c r="C267" s="14">
        <f t="shared" si="36"/>
        <v>1</v>
      </c>
      <c r="D267" s="14" t="s">
        <v>1140</v>
      </c>
      <c r="E267" s="58" t="s">
        <v>1065</v>
      </c>
      <c r="F267" s="82" t="s">
        <v>1067</v>
      </c>
      <c r="G267" s="176" t="s">
        <v>1339</v>
      </c>
      <c r="H267" s="170" t="str">
        <f>'16. System Data Protection'!$H28</f>
        <v>Comment is required</v>
      </c>
      <c r="I267" s="14">
        <f>'16. System Data Protection'!$G28</f>
        <v>0</v>
      </c>
      <c r="J267" s="14" t="str">
        <f t="shared" si="44"/>
        <v>Blank</v>
      </c>
      <c r="K267" s="155" t="s">
        <v>1131</v>
      </c>
      <c r="L267" s="14" t="str">
        <f t="shared" si="35"/>
        <v>Blank</v>
      </c>
      <c r="N267" s="14" t="str">
        <f t="shared" si="37"/>
        <v/>
      </c>
      <c r="O267" s="14" t="str">
        <f t="shared" si="38"/>
        <v/>
      </c>
      <c r="P267" s="14" t="str">
        <f t="shared" si="39"/>
        <v>Comment is required</v>
      </c>
      <c r="Q267" s="14" t="str">
        <f t="shared" si="40"/>
        <v>Blank</v>
      </c>
      <c r="R267" s="14" t="str">
        <f t="shared" si="41"/>
        <v>No Override</v>
      </c>
      <c r="S267" s="14">
        <f t="shared" si="42"/>
        <v>1</v>
      </c>
      <c r="T267" s="14" t="str">
        <f t="shared" si="43"/>
        <v/>
      </c>
    </row>
    <row r="268" spans="1:20" ht="22.8" x14ac:dyDescent="0.3">
      <c r="A268" s="224">
        <v>2</v>
      </c>
      <c r="C268" s="14">
        <f t="shared" si="36"/>
        <v>2</v>
      </c>
      <c r="D268" s="14" t="s">
        <v>1140</v>
      </c>
      <c r="E268" s="58" t="s">
        <v>1068</v>
      </c>
      <c r="F268" s="82" t="s">
        <v>1070</v>
      </c>
      <c r="G268" s="170" t="s">
        <v>1309</v>
      </c>
      <c r="H268" s="170" t="str">
        <f>'16. System Data Protection'!$H29</f>
        <v>Comment is required</v>
      </c>
      <c r="I268" s="14">
        <f>'16. System Data Protection'!$G29</f>
        <v>0</v>
      </c>
      <c r="J268" s="14" t="str">
        <f t="shared" si="44"/>
        <v>Blank</v>
      </c>
      <c r="K268" s="155" t="s">
        <v>1131</v>
      </c>
      <c r="L268" s="14" t="str">
        <f t="shared" si="35"/>
        <v>Blank</v>
      </c>
      <c r="N268" s="14" t="str">
        <f t="shared" si="37"/>
        <v/>
      </c>
      <c r="O268" s="14" t="str">
        <f t="shared" si="38"/>
        <v/>
      </c>
      <c r="P268" s="14" t="str">
        <f t="shared" si="39"/>
        <v>Comment is required</v>
      </c>
      <c r="Q268" s="14" t="str">
        <f t="shared" si="40"/>
        <v>Blank</v>
      </c>
      <c r="R268" s="14" t="str">
        <f t="shared" si="41"/>
        <v>No Override</v>
      </c>
      <c r="S268" s="14">
        <f t="shared" si="42"/>
        <v>2</v>
      </c>
      <c r="T268" s="14" t="str">
        <f t="shared" si="43"/>
        <v/>
      </c>
    </row>
    <row r="269" spans="1:20" ht="22.8" x14ac:dyDescent="0.3">
      <c r="A269" s="224">
        <v>4</v>
      </c>
      <c r="C269" s="14">
        <f t="shared" si="36"/>
        <v>4</v>
      </c>
      <c r="D269" t="s">
        <v>1141</v>
      </c>
      <c r="E269" s="58" t="s">
        <v>1072</v>
      </c>
      <c r="F269" s="82" t="s">
        <v>1075</v>
      </c>
      <c r="G269" s="170" t="s">
        <v>1076</v>
      </c>
      <c r="H269" s="176" t="str">
        <f>'17. System Data Integrity'!$H3</f>
        <v>Comment is required</v>
      </c>
      <c r="I269">
        <f>'17. System Data Integrity'!$G3</f>
        <v>0</v>
      </c>
      <c r="J269" s="14" t="str">
        <f t="shared" si="44"/>
        <v>Blank</v>
      </c>
      <c r="K269" s="155" t="s">
        <v>1131</v>
      </c>
      <c r="L269" s="14" t="str">
        <f t="shared" si="35"/>
        <v>Blank</v>
      </c>
      <c r="N269" s="14" t="str">
        <f t="shared" si="37"/>
        <v/>
      </c>
      <c r="O269" s="14" t="str">
        <f t="shared" si="38"/>
        <v/>
      </c>
      <c r="P269" s="14" t="str">
        <f t="shared" si="39"/>
        <v>Comment is required</v>
      </c>
      <c r="Q269" s="14" t="str">
        <f t="shared" si="40"/>
        <v>Blank</v>
      </c>
      <c r="R269" s="14" t="str">
        <f t="shared" si="41"/>
        <v>No Override</v>
      </c>
      <c r="S269" s="14">
        <f t="shared" si="42"/>
        <v>4</v>
      </c>
      <c r="T269" s="14" t="str">
        <f t="shared" si="43"/>
        <v/>
      </c>
    </row>
    <row r="270" spans="1:20" ht="22.8" x14ac:dyDescent="0.3">
      <c r="A270" s="224">
        <v>1</v>
      </c>
      <c r="C270" s="14">
        <f t="shared" si="36"/>
        <v>1</v>
      </c>
      <c r="D270" s="14" t="s">
        <v>1141</v>
      </c>
      <c r="E270" s="58" t="s">
        <v>199</v>
      </c>
      <c r="F270" s="82" t="s">
        <v>1078</v>
      </c>
      <c r="G270" s="176" t="s">
        <v>1079</v>
      </c>
      <c r="H270" s="176" t="str">
        <f>'17. System Data Integrity'!$H4</f>
        <v>Comment is required</v>
      </c>
      <c r="I270" s="14">
        <f>'17. System Data Integrity'!$G4</f>
        <v>0</v>
      </c>
      <c r="J270" s="14" t="str">
        <f t="shared" si="44"/>
        <v>Blank</v>
      </c>
      <c r="K270" s="155" t="s">
        <v>1131</v>
      </c>
      <c r="L270" s="14" t="str">
        <f t="shared" si="35"/>
        <v>Blank</v>
      </c>
      <c r="N270" s="14" t="str">
        <f t="shared" si="37"/>
        <v/>
      </c>
      <c r="O270" s="14" t="str">
        <f t="shared" si="38"/>
        <v/>
      </c>
      <c r="P270" s="14" t="str">
        <f t="shared" si="39"/>
        <v>Comment is required</v>
      </c>
      <c r="Q270" s="14" t="str">
        <f t="shared" si="40"/>
        <v>Blank</v>
      </c>
      <c r="R270" s="14" t="str">
        <f t="shared" si="41"/>
        <v>No Override</v>
      </c>
      <c r="S270" s="14">
        <f t="shared" si="42"/>
        <v>1</v>
      </c>
      <c r="T270" s="14" t="str">
        <f t="shared" si="43"/>
        <v/>
      </c>
    </row>
    <row r="271" spans="1:20" x14ac:dyDescent="0.3">
      <c r="A271" s="224">
        <v>1</v>
      </c>
      <c r="C271" s="14">
        <f t="shared" si="36"/>
        <v>1</v>
      </c>
      <c r="D271" s="14" t="s">
        <v>1141</v>
      </c>
      <c r="E271" s="58" t="s">
        <v>1080</v>
      </c>
      <c r="F271" s="82" t="s">
        <v>1078</v>
      </c>
      <c r="G271" s="176" t="s">
        <v>1081</v>
      </c>
      <c r="H271" s="176" t="str">
        <f>'17. System Data Integrity'!$H5</f>
        <v>Comment is required</v>
      </c>
      <c r="I271" s="14">
        <f>'17. System Data Integrity'!$G5</f>
        <v>0</v>
      </c>
      <c r="J271" s="14" t="str">
        <f t="shared" si="44"/>
        <v>Blank</v>
      </c>
      <c r="K271" s="155" t="s">
        <v>1131</v>
      </c>
      <c r="L271" s="14" t="str">
        <f t="shared" si="35"/>
        <v>Blank</v>
      </c>
      <c r="N271" s="14" t="str">
        <f t="shared" si="37"/>
        <v/>
      </c>
      <c r="O271" s="14" t="str">
        <f t="shared" si="38"/>
        <v/>
      </c>
      <c r="P271" s="14" t="str">
        <f t="shared" si="39"/>
        <v>Comment is required</v>
      </c>
      <c r="Q271" s="14" t="str">
        <f t="shared" si="40"/>
        <v>Blank</v>
      </c>
      <c r="R271" s="14" t="str">
        <f t="shared" si="41"/>
        <v>No Override</v>
      </c>
      <c r="S271" s="14">
        <f t="shared" si="42"/>
        <v>1</v>
      </c>
      <c r="T271" s="14" t="str">
        <f t="shared" si="43"/>
        <v/>
      </c>
    </row>
    <row r="272" spans="1:20" x14ac:dyDescent="0.3">
      <c r="A272" s="224">
        <v>1</v>
      </c>
      <c r="C272" s="14">
        <f t="shared" si="36"/>
        <v>1</v>
      </c>
      <c r="D272" s="14" t="s">
        <v>1141</v>
      </c>
      <c r="E272" s="58" t="s">
        <v>1082</v>
      </c>
      <c r="F272" s="82" t="s">
        <v>1078</v>
      </c>
      <c r="G272" s="176" t="s">
        <v>1083</v>
      </c>
      <c r="H272" s="176" t="str">
        <f>'17. System Data Integrity'!$H6</f>
        <v>Comment is required</v>
      </c>
      <c r="I272" s="14">
        <f>'17. System Data Integrity'!$G6</f>
        <v>0</v>
      </c>
      <c r="J272" s="14" t="str">
        <f t="shared" si="44"/>
        <v>Blank</v>
      </c>
      <c r="K272" s="155" t="s">
        <v>1131</v>
      </c>
      <c r="L272" s="14" t="str">
        <f t="shared" si="35"/>
        <v>Blank</v>
      </c>
      <c r="N272" s="14" t="str">
        <f t="shared" si="37"/>
        <v/>
      </c>
      <c r="O272" s="14" t="str">
        <f t="shared" si="38"/>
        <v/>
      </c>
      <c r="P272" s="14" t="str">
        <f t="shared" si="39"/>
        <v>Comment is required</v>
      </c>
      <c r="Q272" s="14" t="str">
        <f t="shared" si="40"/>
        <v>Blank</v>
      </c>
      <c r="R272" s="14" t="str">
        <f t="shared" si="41"/>
        <v>No Override</v>
      </c>
      <c r="S272" s="14">
        <f t="shared" si="42"/>
        <v>1</v>
      </c>
      <c r="T272" s="14" t="str">
        <f t="shared" si="43"/>
        <v/>
      </c>
    </row>
    <row r="273" spans="1:20" ht="22.8" x14ac:dyDescent="0.3">
      <c r="A273" s="224">
        <v>1</v>
      </c>
      <c r="C273" s="14">
        <f t="shared" si="36"/>
        <v>1</v>
      </c>
      <c r="D273" s="14" t="s">
        <v>1141</v>
      </c>
      <c r="E273" s="62" t="s">
        <v>1084</v>
      </c>
      <c r="F273" s="86" t="s">
        <v>1086</v>
      </c>
      <c r="G273" s="176" t="s">
        <v>1307</v>
      </c>
      <c r="H273" s="176" t="str">
        <f>'17. System Data Integrity'!$H7</f>
        <v>Comment is required</v>
      </c>
      <c r="I273" s="14">
        <f>'17. System Data Integrity'!$G7</f>
        <v>0</v>
      </c>
      <c r="J273" s="14" t="str">
        <f t="shared" si="44"/>
        <v>Blank</v>
      </c>
      <c r="K273" s="155" t="s">
        <v>1131</v>
      </c>
      <c r="L273" s="14" t="str">
        <f t="shared" si="35"/>
        <v>Blank</v>
      </c>
      <c r="N273" s="14" t="str">
        <f t="shared" si="37"/>
        <v/>
      </c>
      <c r="O273" s="14" t="str">
        <f t="shared" si="38"/>
        <v/>
      </c>
      <c r="P273" s="14" t="str">
        <f t="shared" si="39"/>
        <v>Comment is required</v>
      </c>
      <c r="Q273" s="14" t="str">
        <f t="shared" si="40"/>
        <v>Blank</v>
      </c>
      <c r="R273" s="14" t="str">
        <f t="shared" si="41"/>
        <v>No Override</v>
      </c>
      <c r="S273" s="14">
        <f t="shared" si="42"/>
        <v>1</v>
      </c>
      <c r="T273" s="14" t="str">
        <f t="shared" si="43"/>
        <v/>
      </c>
    </row>
    <row r="274" spans="1:20" x14ac:dyDescent="0.3">
      <c r="A274" s="224">
        <v>1</v>
      </c>
      <c r="C274" s="14">
        <f t="shared" si="36"/>
        <v>1</v>
      </c>
      <c r="D274" s="14" t="s">
        <v>1141</v>
      </c>
      <c r="E274" s="62" t="s">
        <v>1087</v>
      </c>
      <c r="F274" s="86" t="s">
        <v>1086</v>
      </c>
      <c r="G274" s="176" t="s">
        <v>1088</v>
      </c>
      <c r="H274" s="176" t="str">
        <f>'17. System Data Integrity'!$H8</f>
        <v>Comment is required</v>
      </c>
      <c r="I274" s="14">
        <f>'17. System Data Integrity'!$G8</f>
        <v>0</v>
      </c>
      <c r="J274" s="14" t="str">
        <f t="shared" si="44"/>
        <v>Blank</v>
      </c>
      <c r="K274" s="155" t="s">
        <v>1131</v>
      </c>
      <c r="L274" s="14" t="str">
        <f t="shared" ref="L274:L282" si="45">IF($K274="No Override",$J274,$K274)</f>
        <v>Blank</v>
      </c>
      <c r="N274" s="14" t="str">
        <f t="shared" si="37"/>
        <v/>
      </c>
      <c r="O274" s="14" t="str">
        <f t="shared" si="38"/>
        <v/>
      </c>
      <c r="P274" s="14" t="str">
        <f t="shared" si="39"/>
        <v>Comment is required</v>
      </c>
      <c r="Q274" s="14" t="str">
        <f t="shared" si="40"/>
        <v>Blank</v>
      </c>
      <c r="R274" s="14" t="str">
        <f t="shared" si="41"/>
        <v>No Override</v>
      </c>
      <c r="S274" s="14">
        <f t="shared" si="42"/>
        <v>1</v>
      </c>
      <c r="T274" s="14" t="str">
        <f t="shared" si="43"/>
        <v/>
      </c>
    </row>
    <row r="275" spans="1:20" x14ac:dyDescent="0.3">
      <c r="A275" s="224">
        <v>1</v>
      </c>
      <c r="C275" s="14">
        <f t="shared" ref="C275:C282" si="46">IF($B275="",$A275,$B275)</f>
        <v>1</v>
      </c>
      <c r="D275" s="14" t="s">
        <v>1141</v>
      </c>
      <c r="E275" s="62" t="s">
        <v>1089</v>
      </c>
      <c r="F275" s="86" t="s">
        <v>1086</v>
      </c>
      <c r="G275" s="176" t="s">
        <v>1090</v>
      </c>
      <c r="H275" s="176" t="str">
        <f>'17. System Data Integrity'!$H9</f>
        <v>Comment is required</v>
      </c>
      <c r="I275" s="14">
        <f>'17. System Data Integrity'!$G9</f>
        <v>0</v>
      </c>
      <c r="J275" s="14" t="str">
        <f t="shared" si="44"/>
        <v>Blank</v>
      </c>
      <c r="K275" s="155" t="s">
        <v>1131</v>
      </c>
      <c r="L275" s="14" t="str">
        <f t="shared" si="45"/>
        <v>Blank</v>
      </c>
      <c r="N275" s="14" t="str">
        <f t="shared" ref="N275:N282" si="47">IF($J275=$L275,"","***")</f>
        <v/>
      </c>
      <c r="O275" s="14" t="str">
        <f t="shared" ref="O275:O282" si="48">IF(OR($I275="",$I275=0),"",$I275)</f>
        <v/>
      </c>
      <c r="P275" s="14" t="str">
        <f t="shared" ref="P275:P282" si="49">IF(OR($H275="",$H275=0),"",$H275)</f>
        <v>Comment is required</v>
      </c>
      <c r="Q275" s="14" t="str">
        <f t="shared" ref="Q275:Q282" si="50">$L275</f>
        <v>Blank</v>
      </c>
      <c r="R275" s="14" t="str">
        <f t="shared" ref="R275:R282" si="51">$K275</f>
        <v>No Override</v>
      </c>
      <c r="S275" s="14">
        <f t="shared" ref="S275:S282" si="52">$C275</f>
        <v>1</v>
      </c>
      <c r="T275" s="14" t="str">
        <f t="shared" ref="T275:T282" si="53">IF($L275=$Q275,"","***")</f>
        <v/>
      </c>
    </row>
    <row r="276" spans="1:20" x14ac:dyDescent="0.3">
      <c r="A276" s="224">
        <v>1</v>
      </c>
      <c r="C276" s="14">
        <f t="shared" si="46"/>
        <v>1</v>
      </c>
      <c r="D276" s="14" t="s">
        <v>1141</v>
      </c>
      <c r="E276" s="62" t="s">
        <v>1091</v>
      </c>
      <c r="F276" s="86" t="s">
        <v>1086</v>
      </c>
      <c r="G276" s="176" t="s">
        <v>1092</v>
      </c>
      <c r="H276" s="176" t="str">
        <f>'17. System Data Integrity'!$H10</f>
        <v>Comment is required</v>
      </c>
      <c r="I276" s="14">
        <f>'17. System Data Integrity'!$G10</f>
        <v>0</v>
      </c>
      <c r="J276" s="14" t="str">
        <f t="shared" ref="J276:J282" si="54">IF($I276="Yes","Adequate",IF($I276="No","Inadequate",IF($I276="Partial","Inadequate",IF($I276="N/A","Inadequate",IF(OR($I276="",$I276=0),"Blank","Error")))))</f>
        <v>Blank</v>
      </c>
      <c r="K276" s="155" t="s">
        <v>1131</v>
      </c>
      <c r="L276" s="14" t="str">
        <f t="shared" si="45"/>
        <v>Blank</v>
      </c>
      <c r="N276" s="14" t="str">
        <f t="shared" si="47"/>
        <v/>
      </c>
      <c r="O276" s="14" t="str">
        <f t="shared" si="48"/>
        <v/>
      </c>
      <c r="P276" s="14" t="str">
        <f t="shared" si="49"/>
        <v>Comment is required</v>
      </c>
      <c r="Q276" s="14" t="str">
        <f t="shared" si="50"/>
        <v>Blank</v>
      </c>
      <c r="R276" s="14" t="str">
        <f t="shared" si="51"/>
        <v>No Override</v>
      </c>
      <c r="S276" s="14">
        <f t="shared" si="52"/>
        <v>1</v>
      </c>
      <c r="T276" s="14" t="str">
        <f t="shared" si="53"/>
        <v/>
      </c>
    </row>
    <row r="277" spans="1:20" ht="22.8" x14ac:dyDescent="0.3">
      <c r="A277" s="224">
        <v>1</v>
      </c>
      <c r="C277" s="14">
        <f t="shared" si="46"/>
        <v>1</v>
      </c>
      <c r="D277" s="14" t="s">
        <v>1141</v>
      </c>
      <c r="E277" s="58" t="s">
        <v>1093</v>
      </c>
      <c r="F277" s="82" t="s">
        <v>1096</v>
      </c>
      <c r="G277" s="176" t="s">
        <v>1097</v>
      </c>
      <c r="H277" s="176" t="str">
        <f>'17. System Data Integrity'!$H11</f>
        <v>Comment is required</v>
      </c>
      <c r="I277" s="14">
        <f>'17. System Data Integrity'!$G11</f>
        <v>0</v>
      </c>
      <c r="J277" s="14" t="str">
        <f t="shared" si="54"/>
        <v>Blank</v>
      </c>
      <c r="K277" s="155" t="s">
        <v>1131</v>
      </c>
      <c r="L277" s="14" t="str">
        <f t="shared" si="45"/>
        <v>Blank</v>
      </c>
      <c r="N277" s="14" t="str">
        <f t="shared" si="47"/>
        <v/>
      </c>
      <c r="O277" s="14" t="str">
        <f t="shared" si="48"/>
        <v/>
      </c>
      <c r="P277" s="14" t="str">
        <f t="shared" si="49"/>
        <v>Comment is required</v>
      </c>
      <c r="Q277" s="14" t="str">
        <f t="shared" si="50"/>
        <v>Blank</v>
      </c>
      <c r="R277" s="14" t="str">
        <f t="shared" si="51"/>
        <v>No Override</v>
      </c>
      <c r="S277" s="14">
        <f t="shared" si="52"/>
        <v>1</v>
      </c>
      <c r="T277" s="14" t="str">
        <f t="shared" si="53"/>
        <v/>
      </c>
    </row>
    <row r="278" spans="1:20" ht="22.8" x14ac:dyDescent="0.3">
      <c r="A278" s="224">
        <v>4</v>
      </c>
      <c r="C278" s="14">
        <f t="shared" si="46"/>
        <v>4</v>
      </c>
      <c r="D278" s="14" t="s">
        <v>1141</v>
      </c>
      <c r="E278" s="62" t="s">
        <v>1098</v>
      </c>
      <c r="F278" s="86" t="s">
        <v>1100</v>
      </c>
      <c r="G278" s="176" t="s">
        <v>1101</v>
      </c>
      <c r="H278" s="176" t="str">
        <f>'17. System Data Integrity'!$H12</f>
        <v>Comment is required</v>
      </c>
      <c r="I278" s="14">
        <f>'17. System Data Integrity'!$G12</f>
        <v>0</v>
      </c>
      <c r="J278" s="14" t="str">
        <f t="shared" si="54"/>
        <v>Blank</v>
      </c>
      <c r="K278" s="155" t="s">
        <v>1131</v>
      </c>
      <c r="L278" s="14" t="str">
        <f t="shared" si="45"/>
        <v>Blank</v>
      </c>
      <c r="N278" s="14" t="str">
        <f t="shared" si="47"/>
        <v/>
      </c>
      <c r="O278" s="14" t="str">
        <f t="shared" si="48"/>
        <v/>
      </c>
      <c r="P278" s="14" t="str">
        <f t="shared" si="49"/>
        <v>Comment is required</v>
      </c>
      <c r="Q278" s="14" t="str">
        <f t="shared" si="50"/>
        <v>Blank</v>
      </c>
      <c r="R278" s="14" t="str">
        <f t="shared" si="51"/>
        <v>No Override</v>
      </c>
      <c r="S278" s="14">
        <f t="shared" si="52"/>
        <v>4</v>
      </c>
      <c r="T278" s="14" t="str">
        <f t="shared" si="53"/>
        <v/>
      </c>
    </row>
    <row r="279" spans="1:20" x14ac:dyDescent="0.3">
      <c r="A279" s="224">
        <v>4</v>
      </c>
      <c r="C279" s="14">
        <f t="shared" si="46"/>
        <v>4</v>
      </c>
      <c r="D279" s="14" t="s">
        <v>1141</v>
      </c>
      <c r="E279" s="62" t="s">
        <v>1102</v>
      </c>
      <c r="F279" s="86" t="s">
        <v>1100</v>
      </c>
      <c r="G279" s="176" t="s">
        <v>1103</v>
      </c>
      <c r="H279" s="176" t="str">
        <f>'17. System Data Integrity'!$H13</f>
        <v>Comment is required</v>
      </c>
      <c r="I279" s="14">
        <f>'17. System Data Integrity'!$G13</f>
        <v>0</v>
      </c>
      <c r="J279" s="14" t="str">
        <f t="shared" si="54"/>
        <v>Blank</v>
      </c>
      <c r="K279" s="155" t="s">
        <v>1131</v>
      </c>
      <c r="L279" s="14" t="str">
        <f t="shared" si="45"/>
        <v>Blank</v>
      </c>
      <c r="N279" s="14" t="str">
        <f t="shared" si="47"/>
        <v/>
      </c>
      <c r="O279" s="14" t="str">
        <f t="shared" si="48"/>
        <v/>
      </c>
      <c r="P279" s="14" t="str">
        <f t="shared" si="49"/>
        <v>Comment is required</v>
      </c>
      <c r="Q279" s="14" t="str">
        <f t="shared" si="50"/>
        <v>Blank</v>
      </c>
      <c r="R279" s="14" t="str">
        <f t="shared" si="51"/>
        <v>No Override</v>
      </c>
      <c r="S279" s="14">
        <f t="shared" si="52"/>
        <v>4</v>
      </c>
      <c r="T279" s="14" t="str">
        <f t="shared" si="53"/>
        <v/>
      </c>
    </row>
    <row r="280" spans="1:20" ht="22.8" x14ac:dyDescent="0.3">
      <c r="A280" s="224">
        <v>1</v>
      </c>
      <c r="C280" s="14">
        <f t="shared" si="46"/>
        <v>1</v>
      </c>
      <c r="D280" s="14" t="s">
        <v>1141</v>
      </c>
      <c r="E280" s="58" t="s">
        <v>1104</v>
      </c>
      <c r="F280" s="82" t="s">
        <v>1107</v>
      </c>
      <c r="G280" s="176" t="s">
        <v>1108</v>
      </c>
      <c r="H280" s="176" t="str">
        <f>'17. System Data Integrity'!$H14</f>
        <v>Comment is required</v>
      </c>
      <c r="I280" s="14">
        <f>'17. System Data Integrity'!$G14</f>
        <v>0</v>
      </c>
      <c r="J280" s="14" t="str">
        <f t="shared" si="54"/>
        <v>Blank</v>
      </c>
      <c r="K280" s="155" t="s">
        <v>1131</v>
      </c>
      <c r="L280" s="14" t="str">
        <f t="shared" si="45"/>
        <v>Blank</v>
      </c>
      <c r="N280" s="14" t="str">
        <f t="shared" si="47"/>
        <v/>
      </c>
      <c r="O280" s="14" t="str">
        <f t="shared" si="48"/>
        <v/>
      </c>
      <c r="P280" s="14" t="str">
        <f t="shared" si="49"/>
        <v>Comment is required</v>
      </c>
      <c r="Q280" s="14" t="str">
        <f t="shared" si="50"/>
        <v>Blank</v>
      </c>
      <c r="R280" s="14" t="str">
        <f t="shared" si="51"/>
        <v>No Override</v>
      </c>
      <c r="S280" s="14">
        <f t="shared" si="52"/>
        <v>1</v>
      </c>
      <c r="T280" s="14" t="str">
        <f t="shared" si="53"/>
        <v/>
      </c>
    </row>
    <row r="281" spans="1:20" x14ac:dyDescent="0.3">
      <c r="A281" s="224">
        <v>2</v>
      </c>
      <c r="C281" s="14">
        <f t="shared" si="46"/>
        <v>2</v>
      </c>
      <c r="D281" s="14" t="s">
        <v>1141</v>
      </c>
      <c r="E281" s="58" t="s">
        <v>1109</v>
      </c>
      <c r="F281" s="82" t="s">
        <v>1111</v>
      </c>
      <c r="G281" s="176" t="s">
        <v>1308</v>
      </c>
      <c r="H281" s="176" t="str">
        <f>'17. System Data Integrity'!$H15</f>
        <v>Comment is required</v>
      </c>
      <c r="I281" s="14">
        <f>'17. System Data Integrity'!$G15</f>
        <v>0</v>
      </c>
      <c r="J281" s="14" t="str">
        <f t="shared" si="54"/>
        <v>Blank</v>
      </c>
      <c r="K281" s="155" t="s">
        <v>1131</v>
      </c>
      <c r="L281" s="14" t="str">
        <f t="shared" si="45"/>
        <v>Blank</v>
      </c>
      <c r="N281" s="14" t="str">
        <f t="shared" si="47"/>
        <v/>
      </c>
      <c r="O281" s="14" t="str">
        <f t="shared" si="48"/>
        <v/>
      </c>
      <c r="P281" s="14" t="str">
        <f t="shared" si="49"/>
        <v>Comment is required</v>
      </c>
      <c r="Q281" s="14" t="str">
        <f t="shared" si="50"/>
        <v>Blank</v>
      </c>
      <c r="R281" s="14" t="str">
        <f t="shared" si="51"/>
        <v>No Override</v>
      </c>
      <c r="S281" s="14">
        <f t="shared" si="52"/>
        <v>2</v>
      </c>
      <c r="T281" s="14" t="str">
        <f t="shared" si="53"/>
        <v/>
      </c>
    </row>
    <row r="282" spans="1:20" ht="22.8" x14ac:dyDescent="0.3">
      <c r="A282" s="224">
        <v>4</v>
      </c>
      <c r="C282" s="14">
        <f t="shared" si="46"/>
        <v>4</v>
      </c>
      <c r="D282" s="14" t="s">
        <v>1141</v>
      </c>
      <c r="E282" s="58" t="s">
        <v>1112</v>
      </c>
      <c r="F282" s="82" t="s">
        <v>1114</v>
      </c>
      <c r="G282" s="176" t="s">
        <v>1115</v>
      </c>
      <c r="H282" s="176" t="str">
        <f>'17. System Data Integrity'!$H16</f>
        <v>Comment is required</v>
      </c>
      <c r="I282" s="14">
        <f>'17. System Data Integrity'!$G16</f>
        <v>0</v>
      </c>
      <c r="J282" s="14" t="str">
        <f t="shared" si="54"/>
        <v>Blank</v>
      </c>
      <c r="K282" s="155" t="s">
        <v>1131</v>
      </c>
      <c r="L282" s="14" t="str">
        <f t="shared" si="45"/>
        <v>Blank</v>
      </c>
      <c r="N282" s="14" t="str">
        <f t="shared" si="47"/>
        <v/>
      </c>
      <c r="O282" s="14" t="str">
        <f t="shared" si="48"/>
        <v/>
      </c>
      <c r="P282" s="14" t="str">
        <f t="shared" si="49"/>
        <v>Comment is required</v>
      </c>
      <c r="Q282" s="14" t="str">
        <f t="shared" si="50"/>
        <v>Blank</v>
      </c>
      <c r="R282" s="14" t="str">
        <f t="shared" si="51"/>
        <v>No Override</v>
      </c>
      <c r="S282" s="14">
        <f t="shared" si="52"/>
        <v>4</v>
      </c>
      <c r="T282" s="14" t="str">
        <f t="shared" si="53"/>
        <v/>
      </c>
    </row>
  </sheetData>
  <sheetProtection selectLockedCells="1"/>
  <mergeCells count="1">
    <mergeCell ref="F1:J1"/>
  </mergeCells>
  <conditionalFormatting sqref="L104:L282 L9:L101">
    <cfRule type="expression" dxfId="24" priority="3">
      <formula>AND(AND($I9="Partial",$H9&lt;&gt;0),AND($I9="Partial",$H9&lt;&gt;"Comment is required"))</formula>
    </cfRule>
    <cfRule type="expression" dxfId="23" priority="4">
      <formula>AND(AND($I9="N/A",$H9&lt;&gt;0),AND($I9="N/A",$H9&lt;&gt;"Comment is required"))</formula>
    </cfRule>
    <cfRule type="expression" dxfId="22" priority="5">
      <formula>OR(AND($I9="N/A",OR($H9="Comment is required",$H9=0)),AND($I9="Partial",OR($H9="Comment is required",$H9=0)))</formula>
    </cfRule>
  </conditionalFormatting>
  <conditionalFormatting sqref="L102:L103">
    <cfRule type="expression" dxfId="21" priority="1">
      <formula>AND($I102="N/A",$H102&lt;&gt;0)</formula>
    </cfRule>
    <cfRule type="expression" dxfId="20" priority="2">
      <formula>AND($I102="N/A",$H102=0)</formula>
    </cfRule>
  </conditionalFormatting>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B00-000000000000}">
          <x14:formula1>
            <xm:f>'Data Validation Key'!$C$21:$C$24</xm:f>
          </x14:formula1>
          <xm:sqref>K9:K282</xm:sqref>
        </x14:dataValidation>
      </x14:dataValidations>
    </ext>
  </extLst>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T282"/>
  <sheetViews>
    <sheetView zoomScaleNormal="100" workbookViewId="0">
      <pane ySplit="8" topLeftCell="A9" activePane="bottomLeft" state="frozen"/>
      <selection activeCell="G32" sqref="G32"/>
      <selection pane="bottomLeft" activeCell="G32" sqref="G32"/>
    </sheetView>
  </sheetViews>
  <sheetFormatPr defaultColWidth="9" defaultRowHeight="14.4" x14ac:dyDescent="0.3"/>
  <cols>
    <col min="1" max="1" width="4.44140625" style="14" bestFit="1" customWidth="1"/>
    <col min="2" max="2" width="8.88671875" style="14" bestFit="1" customWidth="1"/>
    <col min="3" max="3" width="7.44140625" style="14" bestFit="1" customWidth="1"/>
    <col min="4" max="4" width="18.109375" style="14" customWidth="1"/>
    <col min="5" max="5" width="12.5546875" style="14" customWidth="1"/>
    <col min="6" max="6" width="27.33203125" style="83" customWidth="1"/>
    <col min="7" max="7" width="86.5546875" style="178" customWidth="1"/>
    <col min="8" max="8" width="28.5546875" style="178" customWidth="1"/>
    <col min="9" max="9" width="18.44140625" style="14" customWidth="1"/>
    <col min="10" max="10" width="24.5546875" style="14" customWidth="1"/>
    <col min="11" max="11" width="11.88671875" style="14" bestFit="1" customWidth="1"/>
    <col min="12" max="12" width="14.44140625" style="14" bestFit="1" customWidth="1"/>
    <col min="13" max="13" width="14.44140625" style="14" customWidth="1"/>
    <col min="14" max="14" width="20.44140625" style="14" customWidth="1"/>
    <col min="15" max="15" width="10.109375" style="14" customWidth="1"/>
    <col min="16" max="16" width="18" style="14" customWidth="1"/>
    <col min="17" max="17" width="14" style="14" customWidth="1"/>
    <col min="18" max="18" width="9.6640625" style="14" customWidth="1"/>
    <col min="19" max="19" width="12.33203125" style="14" customWidth="1"/>
    <col min="20" max="20" width="22" style="14" customWidth="1"/>
    <col min="21" max="16384" width="9" style="14"/>
  </cols>
  <sheetData>
    <row r="1" spans="1:20" x14ac:dyDescent="0.3">
      <c r="F1" s="312" t="s">
        <v>1368</v>
      </c>
      <c r="G1" s="312"/>
      <c r="H1" s="312"/>
      <c r="I1" s="312"/>
      <c r="J1" s="312"/>
    </row>
    <row r="2" spans="1:20" ht="24.9" customHeight="1" x14ac:dyDescent="0.3">
      <c r="F2" s="210" t="s">
        <v>1373</v>
      </c>
      <c r="G2" s="211" t="s">
        <v>1374</v>
      </c>
      <c r="H2" s="211" t="s">
        <v>1372</v>
      </c>
      <c r="I2" s="210" t="s">
        <v>1364</v>
      </c>
      <c r="J2" s="210" t="s">
        <v>1371</v>
      </c>
    </row>
    <row r="3" spans="1:20" x14ac:dyDescent="0.3">
      <c r="F3" s="204" t="str">
        <f>IF(Scope!D6="Yes",_xlfn.CONCAT("Service ")&amp;IF(Scope!D7="Yes",_xlfn.CONCAT("Product"),""),IF(Scope!D7="Yes",_xlfn.CONCAT("Product"),"Blank"))</f>
        <v>Blank</v>
      </c>
      <c r="G3" s="205" t="str">
        <f>IF(Scope!D17="Yes","PHI","No PHI")</f>
        <v>No PHI</v>
      </c>
      <c r="H3" s="205" t="str">
        <f>IF(OR(Scope!D23="Yes",NOT(Scope!E23="")),"Workstation"&amp;_xlfn.CONCAT(" ,",Scope!E23),"")</f>
        <v/>
      </c>
      <c r="I3" s="206" t="str">
        <f>IF(Scope!D36="Yes",_xlfn.CONCAT("SOC 1 Type 1 ")&amp;IF(Scope!D37="Yes",_xlfn.CONCAT("SOC 1 Type 2"),""),IF(Scope!D37="Yes",_xlfn.CONCAT("SOC 1 Type 2"),"No SOC 1"))</f>
        <v>No SOC 1</v>
      </c>
      <c r="J3" s="206" t="str">
        <f>IF(Scope!D10="Yes",_xlfn.CONCAT("Remote Access Client Network ")&amp;IF(Scope!D11="Yes",_xlfn.CONCAT("Onsite Network Access"),""),IF(Scope!D11="Yes",_xlfn.CONCAT("Onsite Network Access"),""))</f>
        <v/>
      </c>
    </row>
    <row r="4" spans="1:20" x14ac:dyDescent="0.3">
      <c r="F4" s="204" t="str">
        <f>IF(Scope!D6="Yes",Scope!E6,"")&amp; " "&amp;IF(Scope!D7="Yes",Scope!E7,"")</f>
        <v xml:space="preserve"> </v>
      </c>
      <c r="G4" s="205" t="str">
        <f>IF(Scope!D18="Yes","PII","No PII")</f>
        <v>No PII</v>
      </c>
      <c r="H4" s="205" t="str">
        <f>IF(OR(Scope!D24="Yes",NOT(Scope!E24="")),"Mobile Device"&amp;_xlfn.CONCAT(" ,",Scope!E24),"")</f>
        <v/>
      </c>
      <c r="I4" s="206" t="str">
        <f>IF(Scope!D38="Yes",_xlfn.CONCAT("SOC 2 Type 1 ")&amp;IF(Scope!D39="Yes",_xlfn.CONCAT("SOC 2 Type 2"),""),IF(Scope!D39="Yes",_xlfn.CONCAT("SOC 2 Type 2"),"No SOC 2"))</f>
        <v>No SOC 2</v>
      </c>
      <c r="J4" s="206" t="str">
        <f>IF(Scope!D12="Yes",_xlfn.CONCAT("Access Client Infrastructure ")&amp;IF(Scope!D13="Yes",_xlfn.CONCAT("Access Application/Database"),""),IF(Scope!D13="Yes",_xlfn.CONCAT("Access Application/Database"),""))</f>
        <v/>
      </c>
    </row>
    <row r="5" spans="1:20" x14ac:dyDescent="0.3">
      <c r="F5" s="204"/>
      <c r="G5" s="205" t="str">
        <f>IF(Scope!D19="Yes","PCI","No PCI")</f>
        <v>No PCI</v>
      </c>
      <c r="H5" s="205" t="str">
        <f>IF(OR(Scope!D25="Yes",NOT(Scope!E25="")),"Medical Device"&amp;_xlfn.CONCAT(" ,",Scope!E25),"")</f>
        <v/>
      </c>
      <c r="I5" s="206" t="str">
        <f>IF(Scope!D40="Yes",_xlfn.CONCAT("SOC 3 ")&amp;IF(Scope!D41="Yes",_xlfn.CONCAT("HITRUST"),""),IF(Scope!D41="Yes",_xlfn.CONCAT("HITRUST"),""))</f>
        <v/>
      </c>
      <c r="J5" s="206" t="str">
        <f>IF(Scope!D14="Yes",_xlfn.CONCAT("Receive Client Data ")&amp;IF(Scope!D15="Yes",_xlfn.CONCAT("No Access"),""),IF(Scope!D15="Yes",_xlfn.CONCAT("No Access"),""))</f>
        <v/>
      </c>
    </row>
    <row r="6" spans="1:20" x14ac:dyDescent="0.3">
      <c r="F6" s="204"/>
      <c r="G6" s="205" t="str">
        <f>IF(Scope!D20="Yes",_xlfn.CONCAT("Employee Information ")&amp;IF(Scope!D21="Yes",_xlfn.CONCAT(" Proprietary Information")),IF(Scope!D21="Yes",_xlfn.CONCAT("Proprietary Information"),"No Employee or Proprietary Informaiton"))</f>
        <v>No Employee or Proprietary Informaiton</v>
      </c>
      <c r="H6" s="205" t="str">
        <f>IF(OR(Scope!D26="Yes",NOT(Scope!E26="")),"Other"&amp;_xlfn.CONCAT(" ,",Scope!E26),"")</f>
        <v/>
      </c>
      <c r="I6" s="206" t="str">
        <f>IF(Scope!D42="Yes",_xlfn.CONCAT("PCI DSS ")&amp;IF(Scope!D42="Yes",_xlfn.CONCAT("ISO 27001"),""),IF(Scope!D42="Yes",_xlfn.CONCAT("ISO 27001"),""))</f>
        <v/>
      </c>
      <c r="J6" s="206"/>
    </row>
    <row r="7" spans="1:20" x14ac:dyDescent="0.3">
      <c r="F7" s="204"/>
      <c r="G7" s="205"/>
      <c r="H7" s="205"/>
      <c r="I7" s="206" t="str">
        <f>IF(Scope!D44="Yes",_xlfn.CONCAT("FedRamp ")&amp;IF(Scope!D45="Yes",_xlfn.CONCAT("HIPAA"),""),IF(Scope!D43="Yes",_xlfn.CONCAT("HIPAA"),""))</f>
        <v/>
      </c>
      <c r="J7" s="206"/>
    </row>
    <row r="8" spans="1:20" x14ac:dyDescent="0.3">
      <c r="A8" s="59" t="s">
        <v>1124</v>
      </c>
      <c r="B8" s="59" t="s">
        <v>1179</v>
      </c>
      <c r="C8" s="59" t="s">
        <v>1180</v>
      </c>
      <c r="D8" s="59" t="s">
        <v>1127</v>
      </c>
      <c r="E8" s="59" t="s">
        <v>77</v>
      </c>
      <c r="F8" s="81" t="s">
        <v>78</v>
      </c>
      <c r="G8" s="169" t="s">
        <v>1160</v>
      </c>
      <c r="H8" s="169" t="s">
        <v>1181</v>
      </c>
      <c r="I8" s="59" t="s">
        <v>80</v>
      </c>
      <c r="J8" s="59" t="s">
        <v>1129</v>
      </c>
      <c r="K8" s="59" t="s">
        <v>1125</v>
      </c>
      <c r="L8" s="59" t="s">
        <v>1126</v>
      </c>
      <c r="M8" s="59" t="s">
        <v>1363</v>
      </c>
      <c r="N8" s="95" t="s">
        <v>1182</v>
      </c>
      <c r="O8" s="95" t="s">
        <v>117</v>
      </c>
      <c r="P8" s="95" t="s">
        <v>118</v>
      </c>
      <c r="Q8" s="95" t="s">
        <v>1183</v>
      </c>
      <c r="R8" s="95" t="s">
        <v>1130</v>
      </c>
      <c r="S8" s="95" t="s">
        <v>1184</v>
      </c>
      <c r="T8" s="95" t="s">
        <v>1185</v>
      </c>
    </row>
    <row r="9" spans="1:20" x14ac:dyDescent="0.3">
      <c r="A9" s="224">
        <v>3</v>
      </c>
      <c r="C9" s="14">
        <f>IF($B9="",$A9,$B9)</f>
        <v>3</v>
      </c>
      <c r="D9" s="14" t="s">
        <v>1128</v>
      </c>
      <c r="E9" s="58" t="s">
        <v>203</v>
      </c>
      <c r="F9" s="82" t="s">
        <v>206</v>
      </c>
      <c r="G9" s="170" t="s">
        <v>207</v>
      </c>
      <c r="H9" s="170" t="str">
        <f>'1. Access Controls'!$J3</f>
        <v>Comment is required</v>
      </c>
      <c r="I9" s="14">
        <f>'1. Access Controls'!$I3</f>
        <v>0</v>
      </c>
      <c r="J9" s="14" t="str">
        <f t="shared" ref="J9:J19" si="0">IF($I9="Yes","Adequate",IF($I9="No","Inadequate",IF($I9="Partial","Inadequate",IF($I9="N/A","Inadequate",IF(OR($I9="",$I9=0),"Blank","Error")))))</f>
        <v>Blank</v>
      </c>
      <c r="K9" s="155" t="s">
        <v>1131</v>
      </c>
      <c r="L9" s="14" t="str">
        <f t="shared" ref="L9:L75" si="1">IF($K9="No Override",$J9,$K9)</f>
        <v>Blank</v>
      </c>
      <c r="N9" s="14" t="str">
        <f>IF($J9=$L9,"","***")</f>
        <v/>
      </c>
      <c r="O9" s="14" t="str">
        <f>IF(OR($I9="",$I9=0),"",$I9)</f>
        <v/>
      </c>
      <c r="P9" s="14" t="str">
        <f>IF(OR($H9="",$H9=0),"",$H9)</f>
        <v>Comment is required</v>
      </c>
      <c r="Q9" s="14" t="str">
        <f>$L9</f>
        <v>Blank</v>
      </c>
      <c r="R9" s="14" t="str">
        <f>$K9</f>
        <v>No Override</v>
      </c>
      <c r="S9" s="14">
        <f>$C9</f>
        <v>3</v>
      </c>
      <c r="T9" s="14" t="str">
        <f>IF($L9=$Q9,"","***")</f>
        <v/>
      </c>
    </row>
    <row r="10" spans="1:20" ht="22.8" x14ac:dyDescent="0.3">
      <c r="A10" s="224">
        <v>1</v>
      </c>
      <c r="C10" s="14">
        <f t="shared" ref="C10:C76" si="2">IF($B10="",$A10,$B10)</f>
        <v>1</v>
      </c>
      <c r="D10" s="14" t="s">
        <v>1128</v>
      </c>
      <c r="E10" s="58" t="s">
        <v>208</v>
      </c>
      <c r="F10" s="82" t="s">
        <v>211</v>
      </c>
      <c r="G10" s="170" t="s">
        <v>212</v>
      </c>
      <c r="H10" s="170" t="str">
        <f>'1. Access Controls'!$J4</f>
        <v>Comment is required</v>
      </c>
      <c r="I10" s="14">
        <f>'1. Access Controls'!$I4</f>
        <v>0</v>
      </c>
      <c r="J10" s="14" t="str">
        <f t="shared" si="0"/>
        <v>Blank</v>
      </c>
      <c r="K10" s="155" t="s">
        <v>1131</v>
      </c>
      <c r="L10" s="14" t="str">
        <f t="shared" si="1"/>
        <v>Blank</v>
      </c>
      <c r="N10" s="14" t="str">
        <f t="shared" ref="N10:N76" si="3">IF($J10=$L10,"","***")</f>
        <v/>
      </c>
      <c r="O10" s="14" t="str">
        <f t="shared" ref="O10:O76" si="4">IF(OR($I10="",$I10=0),"",$I10)</f>
        <v/>
      </c>
      <c r="P10" s="14" t="str">
        <f t="shared" ref="P10:P76" si="5">IF(OR($H10="",$H10=0),"",$H10)</f>
        <v>Comment is required</v>
      </c>
      <c r="Q10" s="14" t="str">
        <f t="shared" ref="Q10:Q76" si="6">$L10</f>
        <v>Blank</v>
      </c>
      <c r="R10" s="14" t="str">
        <f t="shared" ref="R10:R76" si="7">$K10</f>
        <v>No Override</v>
      </c>
      <c r="S10" s="14">
        <f t="shared" ref="S10:S76" si="8">$C10</f>
        <v>1</v>
      </c>
      <c r="T10" s="14" t="str">
        <f t="shared" ref="T10:T76" si="9">IF($L10=$Q10,"","***")</f>
        <v/>
      </c>
    </row>
    <row r="11" spans="1:20" x14ac:dyDescent="0.3">
      <c r="A11" s="224">
        <v>1</v>
      </c>
      <c r="C11" s="14">
        <f t="shared" si="2"/>
        <v>1</v>
      </c>
      <c r="D11" s="14" t="s">
        <v>1128</v>
      </c>
      <c r="E11" s="58" t="s">
        <v>213</v>
      </c>
      <c r="F11" s="82" t="s">
        <v>211</v>
      </c>
      <c r="G11" s="170" t="s">
        <v>214</v>
      </c>
      <c r="H11" s="170" t="str">
        <f>'1. Access Controls'!$J5</f>
        <v>Comment is required</v>
      </c>
      <c r="I11" s="14">
        <f>'1. Access Controls'!$I5</f>
        <v>0</v>
      </c>
      <c r="J11" s="14" t="str">
        <f t="shared" si="0"/>
        <v>Blank</v>
      </c>
      <c r="K11" s="155" t="s">
        <v>1131</v>
      </c>
      <c r="L11" s="14" t="str">
        <f t="shared" si="1"/>
        <v>Blank</v>
      </c>
      <c r="N11" s="14" t="str">
        <f t="shared" si="3"/>
        <v/>
      </c>
      <c r="O11" s="14" t="str">
        <f t="shared" si="4"/>
        <v/>
      </c>
      <c r="P11" s="14" t="str">
        <f t="shared" si="5"/>
        <v>Comment is required</v>
      </c>
      <c r="Q11" s="14" t="str">
        <f t="shared" si="6"/>
        <v>Blank</v>
      </c>
      <c r="R11" s="14" t="str">
        <f t="shared" si="7"/>
        <v>No Override</v>
      </c>
      <c r="S11" s="14">
        <f t="shared" si="8"/>
        <v>1</v>
      </c>
      <c r="T11" s="14" t="str">
        <f t="shared" si="9"/>
        <v/>
      </c>
    </row>
    <row r="12" spans="1:20" x14ac:dyDescent="0.3">
      <c r="A12" s="224">
        <v>1</v>
      </c>
      <c r="C12" s="14">
        <f t="shared" si="2"/>
        <v>1</v>
      </c>
      <c r="D12" s="14" t="s">
        <v>1128</v>
      </c>
      <c r="E12" s="58" t="s">
        <v>215</v>
      </c>
      <c r="F12" s="82" t="s">
        <v>211</v>
      </c>
      <c r="G12" s="170" t="s">
        <v>216</v>
      </c>
      <c r="H12" s="170" t="str">
        <f>'1. Access Controls'!$J6</f>
        <v>Comment is required</v>
      </c>
      <c r="I12" s="14">
        <f>'1. Access Controls'!$I6</f>
        <v>0</v>
      </c>
      <c r="J12" s="14" t="str">
        <f t="shared" si="0"/>
        <v>Blank</v>
      </c>
      <c r="K12" s="155" t="s">
        <v>1131</v>
      </c>
      <c r="L12" s="14" t="str">
        <f t="shared" si="1"/>
        <v>Blank</v>
      </c>
      <c r="N12" s="14" t="str">
        <f t="shared" si="3"/>
        <v/>
      </c>
      <c r="O12" s="14" t="str">
        <f t="shared" si="4"/>
        <v/>
      </c>
      <c r="P12" s="14" t="str">
        <f t="shared" si="5"/>
        <v>Comment is required</v>
      </c>
      <c r="Q12" s="14" t="str">
        <f t="shared" si="6"/>
        <v>Blank</v>
      </c>
      <c r="R12" s="14" t="str">
        <f t="shared" si="7"/>
        <v>No Override</v>
      </c>
      <c r="S12" s="14">
        <f t="shared" si="8"/>
        <v>1</v>
      </c>
      <c r="T12" s="14" t="str">
        <f t="shared" si="9"/>
        <v/>
      </c>
    </row>
    <row r="13" spans="1:20" ht="22.8" x14ac:dyDescent="0.3">
      <c r="A13" s="224">
        <v>1</v>
      </c>
      <c r="C13" s="14">
        <f t="shared" si="2"/>
        <v>1</v>
      </c>
      <c r="D13" s="14" t="s">
        <v>1128</v>
      </c>
      <c r="E13" s="58" t="s">
        <v>217</v>
      </c>
      <c r="F13" s="82" t="s">
        <v>211</v>
      </c>
      <c r="G13" s="170" t="s">
        <v>218</v>
      </c>
      <c r="H13" s="170" t="str">
        <f>'1. Access Controls'!$J7</f>
        <v>Comment is required</v>
      </c>
      <c r="I13" s="14">
        <f>'1. Access Controls'!$I7</f>
        <v>0</v>
      </c>
      <c r="J13" s="14" t="str">
        <f t="shared" si="0"/>
        <v>Blank</v>
      </c>
      <c r="K13" s="155" t="s">
        <v>1131</v>
      </c>
      <c r="L13" s="14" t="str">
        <f t="shared" si="1"/>
        <v>Blank</v>
      </c>
      <c r="N13" s="14" t="str">
        <f t="shared" si="3"/>
        <v/>
      </c>
      <c r="O13" s="14" t="str">
        <f t="shared" si="4"/>
        <v/>
      </c>
      <c r="P13" s="14" t="str">
        <f t="shared" si="5"/>
        <v>Comment is required</v>
      </c>
      <c r="Q13" s="14" t="str">
        <f t="shared" si="6"/>
        <v>Blank</v>
      </c>
      <c r="R13" s="14" t="str">
        <f t="shared" si="7"/>
        <v>No Override</v>
      </c>
      <c r="S13" s="14">
        <f t="shared" si="8"/>
        <v>1</v>
      </c>
      <c r="T13" s="14" t="str">
        <f t="shared" si="9"/>
        <v/>
      </c>
    </row>
    <row r="14" spans="1:20" x14ac:dyDescent="0.3">
      <c r="A14" s="224">
        <v>1</v>
      </c>
      <c r="C14" s="14">
        <f t="shared" si="2"/>
        <v>1</v>
      </c>
      <c r="D14" s="14" t="s">
        <v>1128</v>
      </c>
      <c r="E14" s="58" t="s">
        <v>219</v>
      </c>
      <c r="F14" s="82" t="s">
        <v>211</v>
      </c>
      <c r="G14" s="170" t="s">
        <v>220</v>
      </c>
      <c r="H14" s="170" t="str">
        <f>'1. Access Controls'!$J8</f>
        <v>Comment is required</v>
      </c>
      <c r="I14" s="14">
        <f>'1. Access Controls'!$I8</f>
        <v>0</v>
      </c>
      <c r="J14" s="14" t="str">
        <f t="shared" si="0"/>
        <v>Blank</v>
      </c>
      <c r="K14" s="155" t="s">
        <v>1131</v>
      </c>
      <c r="L14" s="14" t="str">
        <f t="shared" si="1"/>
        <v>Blank</v>
      </c>
      <c r="N14" s="14" t="str">
        <f t="shared" si="3"/>
        <v/>
      </c>
      <c r="O14" s="14" t="str">
        <f t="shared" si="4"/>
        <v/>
      </c>
      <c r="P14" s="14" t="str">
        <f t="shared" si="5"/>
        <v>Comment is required</v>
      </c>
      <c r="Q14" s="14" t="str">
        <f t="shared" si="6"/>
        <v>Blank</v>
      </c>
      <c r="R14" s="14" t="str">
        <f t="shared" si="7"/>
        <v>No Override</v>
      </c>
      <c r="S14" s="14">
        <f t="shared" si="8"/>
        <v>1</v>
      </c>
      <c r="T14" s="14" t="str">
        <f t="shared" si="9"/>
        <v/>
      </c>
    </row>
    <row r="15" spans="1:20" ht="22.8" x14ac:dyDescent="0.3">
      <c r="A15" s="224">
        <v>1</v>
      </c>
      <c r="C15" s="14">
        <f>IF($B15="",$A15,$B15)</f>
        <v>1</v>
      </c>
      <c r="D15" s="14" t="s">
        <v>1128</v>
      </c>
      <c r="E15" s="58" t="s">
        <v>221</v>
      </c>
      <c r="F15" s="82" t="s">
        <v>224</v>
      </c>
      <c r="G15" s="170" t="s">
        <v>225</v>
      </c>
      <c r="H15" s="170" t="str">
        <f>'1. Access Controls'!$J9</f>
        <v>Comment is required</v>
      </c>
      <c r="I15" s="14">
        <f>'1. Access Controls'!$I9</f>
        <v>0</v>
      </c>
      <c r="J15" s="14" t="str">
        <f t="shared" si="0"/>
        <v>Blank</v>
      </c>
      <c r="K15" s="155" t="s">
        <v>1131</v>
      </c>
      <c r="L15" s="14" t="str">
        <f t="shared" si="1"/>
        <v>Blank</v>
      </c>
      <c r="N15" s="14" t="str">
        <f t="shared" si="3"/>
        <v/>
      </c>
      <c r="O15" s="14" t="str">
        <f t="shared" si="4"/>
        <v/>
      </c>
      <c r="P15" s="14" t="str">
        <f t="shared" si="5"/>
        <v>Comment is required</v>
      </c>
      <c r="Q15" s="14" t="str">
        <f t="shared" si="6"/>
        <v>Blank</v>
      </c>
      <c r="R15" s="14" t="str">
        <f t="shared" si="7"/>
        <v>No Override</v>
      </c>
      <c r="S15" s="14">
        <f t="shared" si="8"/>
        <v>1</v>
      </c>
      <c r="T15" s="14" t="str">
        <f t="shared" si="9"/>
        <v/>
      </c>
    </row>
    <row r="16" spans="1:20" x14ac:dyDescent="0.3">
      <c r="A16" s="224">
        <v>3</v>
      </c>
      <c r="C16" s="14">
        <f>IF($B16="",$A16,$B16)</f>
        <v>3</v>
      </c>
      <c r="D16" s="14" t="s">
        <v>1128</v>
      </c>
      <c r="E16" s="58" t="s">
        <v>1289</v>
      </c>
      <c r="F16" s="82" t="s">
        <v>224</v>
      </c>
      <c r="G16" s="170" t="s">
        <v>1291</v>
      </c>
      <c r="H16" s="170" t="str">
        <f>'1. Access Controls'!$J10</f>
        <v>Comment is required</v>
      </c>
      <c r="I16" s="14">
        <f>'1. Access Controls'!$I10</f>
        <v>0</v>
      </c>
      <c r="J16" s="14" t="str">
        <f t="shared" si="0"/>
        <v>Blank</v>
      </c>
      <c r="K16" s="155" t="s">
        <v>1131</v>
      </c>
      <c r="L16" s="14" t="str">
        <f t="shared" si="1"/>
        <v>Blank</v>
      </c>
      <c r="N16" s="14" t="str">
        <f t="shared" si="3"/>
        <v/>
      </c>
      <c r="O16" s="14" t="str">
        <f t="shared" si="4"/>
        <v/>
      </c>
      <c r="P16" s="14" t="str">
        <f t="shared" si="5"/>
        <v>Comment is required</v>
      </c>
      <c r="Q16" s="14" t="str">
        <f t="shared" si="6"/>
        <v>Blank</v>
      </c>
      <c r="R16" s="14" t="str">
        <f t="shared" si="7"/>
        <v>No Override</v>
      </c>
      <c r="S16" s="14">
        <f t="shared" si="8"/>
        <v>3</v>
      </c>
      <c r="T16" s="14" t="str">
        <f t="shared" si="9"/>
        <v/>
      </c>
    </row>
    <row r="17" spans="1:20" x14ac:dyDescent="0.3">
      <c r="A17" s="224">
        <v>4</v>
      </c>
      <c r="C17" s="14">
        <f>IF($B17="",$A17,$B17)</f>
        <v>4</v>
      </c>
      <c r="D17" s="14" t="s">
        <v>1128</v>
      </c>
      <c r="E17" s="58" t="s">
        <v>1290</v>
      </c>
      <c r="F17" s="82" t="s">
        <v>224</v>
      </c>
      <c r="G17" s="170" t="s">
        <v>1292</v>
      </c>
      <c r="H17" s="170" t="str">
        <f>'1. Access Controls'!$J11</f>
        <v>Comment is required</v>
      </c>
      <c r="I17" s="14">
        <f>'1. Access Controls'!$I11</f>
        <v>0</v>
      </c>
      <c r="J17" s="14" t="str">
        <f t="shared" si="0"/>
        <v>Blank</v>
      </c>
      <c r="K17" s="155" t="s">
        <v>1131</v>
      </c>
      <c r="L17" s="14" t="str">
        <f t="shared" si="1"/>
        <v>Blank</v>
      </c>
      <c r="N17" s="14" t="str">
        <f t="shared" si="3"/>
        <v/>
      </c>
      <c r="O17" s="14" t="str">
        <f t="shared" si="4"/>
        <v/>
      </c>
      <c r="P17" s="14" t="str">
        <f t="shared" si="5"/>
        <v>Comment is required</v>
      </c>
      <c r="Q17" s="14" t="str">
        <f t="shared" si="6"/>
        <v>Blank</v>
      </c>
      <c r="R17" s="14" t="str">
        <f t="shared" si="7"/>
        <v>No Override</v>
      </c>
      <c r="S17" s="14">
        <f t="shared" si="8"/>
        <v>4</v>
      </c>
      <c r="T17" s="14" t="str">
        <f t="shared" si="9"/>
        <v/>
      </c>
    </row>
    <row r="18" spans="1:20" ht="22.8" x14ac:dyDescent="0.3">
      <c r="A18" s="224">
        <v>2</v>
      </c>
      <c r="C18" s="14">
        <f t="shared" si="2"/>
        <v>2</v>
      </c>
      <c r="D18" s="14" t="s">
        <v>1128</v>
      </c>
      <c r="E18" s="58" t="s">
        <v>226</v>
      </c>
      <c r="F18" s="82" t="s">
        <v>229</v>
      </c>
      <c r="G18" s="170" t="s">
        <v>230</v>
      </c>
      <c r="H18" s="170" t="str">
        <f>'1. Access Controls'!$J12</f>
        <v>Comment is required</v>
      </c>
      <c r="I18" s="14">
        <f>'1. Access Controls'!$I12</f>
        <v>0</v>
      </c>
      <c r="J18" s="14" t="str">
        <f t="shared" si="0"/>
        <v>Blank</v>
      </c>
      <c r="K18" s="155" t="s">
        <v>1131</v>
      </c>
      <c r="L18" s="14" t="str">
        <f t="shared" si="1"/>
        <v>Blank</v>
      </c>
      <c r="N18" s="14" t="str">
        <f t="shared" si="3"/>
        <v/>
      </c>
      <c r="O18" s="14" t="str">
        <f t="shared" si="4"/>
        <v/>
      </c>
      <c r="P18" s="14" t="str">
        <f t="shared" si="5"/>
        <v>Comment is required</v>
      </c>
      <c r="Q18" s="14" t="str">
        <f t="shared" si="6"/>
        <v>Blank</v>
      </c>
      <c r="R18" s="14" t="str">
        <f t="shared" si="7"/>
        <v>No Override</v>
      </c>
      <c r="S18" s="14">
        <f t="shared" si="8"/>
        <v>2</v>
      </c>
      <c r="T18" s="14" t="str">
        <f t="shared" si="9"/>
        <v/>
      </c>
    </row>
    <row r="19" spans="1:20" ht="22.8" x14ac:dyDescent="0.3">
      <c r="A19" s="224">
        <v>4</v>
      </c>
      <c r="C19" s="14">
        <f t="shared" si="2"/>
        <v>4</v>
      </c>
      <c r="D19" s="14" t="s">
        <v>1128</v>
      </c>
      <c r="E19" s="58" t="s">
        <v>231</v>
      </c>
      <c r="F19" s="82" t="s">
        <v>234</v>
      </c>
      <c r="G19" s="170" t="s">
        <v>235</v>
      </c>
      <c r="H19" s="170" t="str">
        <f>'1. Access Controls'!$J13</f>
        <v>Comment is required</v>
      </c>
      <c r="I19" s="14">
        <f>'1. Access Controls'!$I13</f>
        <v>0</v>
      </c>
      <c r="J19" s="14" t="str">
        <f t="shared" si="0"/>
        <v>Blank</v>
      </c>
      <c r="K19" s="155" t="s">
        <v>1131</v>
      </c>
      <c r="L19" s="14" t="str">
        <f t="shared" si="1"/>
        <v>Blank</v>
      </c>
      <c r="N19" s="14" t="str">
        <f t="shared" si="3"/>
        <v/>
      </c>
      <c r="O19" s="14" t="str">
        <f t="shared" si="4"/>
        <v/>
      </c>
      <c r="P19" s="14" t="str">
        <f t="shared" si="5"/>
        <v>Comment is required</v>
      </c>
      <c r="Q19" s="14" t="str">
        <f t="shared" si="6"/>
        <v>Blank</v>
      </c>
      <c r="R19" s="14" t="str">
        <f t="shared" si="7"/>
        <v>No Override</v>
      </c>
      <c r="S19" s="14">
        <f t="shared" si="8"/>
        <v>4</v>
      </c>
      <c r="T19" s="14" t="str">
        <f t="shared" si="9"/>
        <v/>
      </c>
    </row>
    <row r="20" spans="1:20" ht="22.8" x14ac:dyDescent="0.3">
      <c r="A20" s="224">
        <v>2</v>
      </c>
      <c r="C20" s="14">
        <f t="shared" si="2"/>
        <v>2</v>
      </c>
      <c r="D20" s="14" t="s">
        <v>1128</v>
      </c>
      <c r="E20" s="58" t="s">
        <v>236</v>
      </c>
      <c r="F20" s="82" t="s">
        <v>239</v>
      </c>
      <c r="G20" s="170" t="s">
        <v>240</v>
      </c>
      <c r="H20" s="170" t="str">
        <f>'1. Access Controls'!$J14</f>
        <v>Comment is required</v>
      </c>
      <c r="I20" s="14">
        <f>'1. Access Controls'!$I14</f>
        <v>0</v>
      </c>
      <c r="J20" s="14" t="str">
        <f t="shared" ref="J20:J32" si="10">IF($I20="Yes","Adequate",IF($I20="No","Inadequate",IF($I20="Partial","Inadequate",IF($I20="N/A","Inadequate",IF(OR($I20="",$I20=0),"Blank","Error")))))</f>
        <v>Blank</v>
      </c>
      <c r="K20" s="155" t="s">
        <v>1131</v>
      </c>
      <c r="L20" s="14" t="str">
        <f t="shared" si="1"/>
        <v>Blank</v>
      </c>
      <c r="N20" s="14" t="str">
        <f t="shared" si="3"/>
        <v/>
      </c>
      <c r="O20" s="14" t="str">
        <f t="shared" si="4"/>
        <v/>
      </c>
      <c r="P20" s="14" t="str">
        <f t="shared" si="5"/>
        <v>Comment is required</v>
      </c>
      <c r="Q20" s="14" t="str">
        <f t="shared" si="6"/>
        <v>Blank</v>
      </c>
      <c r="R20" s="14" t="str">
        <f t="shared" si="7"/>
        <v>No Override</v>
      </c>
      <c r="S20" s="14">
        <f t="shared" si="8"/>
        <v>2</v>
      </c>
      <c r="T20" s="14" t="str">
        <f t="shared" si="9"/>
        <v/>
      </c>
    </row>
    <row r="21" spans="1:20" ht="22.8" x14ac:dyDescent="0.3">
      <c r="A21" s="224">
        <v>2</v>
      </c>
      <c r="C21" s="14">
        <f t="shared" si="2"/>
        <v>2</v>
      </c>
      <c r="D21" s="14" t="s">
        <v>1128</v>
      </c>
      <c r="E21" s="58" t="s">
        <v>241</v>
      </c>
      <c r="F21" s="82" t="s">
        <v>243</v>
      </c>
      <c r="G21" s="170" t="s">
        <v>1337</v>
      </c>
      <c r="H21" s="170" t="str">
        <f>'1. Access Controls'!$J15</f>
        <v>Comment is required</v>
      </c>
      <c r="I21" s="14">
        <f>'1. Access Controls'!$I15</f>
        <v>0</v>
      </c>
      <c r="J21" s="14" t="str">
        <f t="shared" si="10"/>
        <v>Blank</v>
      </c>
      <c r="K21" s="155" t="s">
        <v>1131</v>
      </c>
      <c r="L21" s="14" t="str">
        <f t="shared" si="1"/>
        <v>Blank</v>
      </c>
      <c r="N21" s="14" t="str">
        <f t="shared" si="3"/>
        <v/>
      </c>
      <c r="O21" s="14" t="str">
        <f t="shared" si="4"/>
        <v/>
      </c>
      <c r="P21" s="14" t="str">
        <f t="shared" si="5"/>
        <v>Comment is required</v>
      </c>
      <c r="Q21" s="14" t="str">
        <f t="shared" si="6"/>
        <v>Blank</v>
      </c>
      <c r="R21" s="14" t="str">
        <f t="shared" si="7"/>
        <v>No Override</v>
      </c>
      <c r="S21" s="14">
        <f t="shared" si="8"/>
        <v>2</v>
      </c>
      <c r="T21" s="14" t="str">
        <f t="shared" si="9"/>
        <v/>
      </c>
    </row>
    <row r="22" spans="1:20" x14ac:dyDescent="0.3">
      <c r="A22" s="224">
        <v>4</v>
      </c>
      <c r="C22" s="14">
        <f t="shared" si="2"/>
        <v>4</v>
      </c>
      <c r="D22" s="14" t="s">
        <v>1128</v>
      </c>
      <c r="E22" s="58" t="s">
        <v>244</v>
      </c>
      <c r="F22" s="82" t="s">
        <v>246</v>
      </c>
      <c r="G22" s="170" t="s">
        <v>247</v>
      </c>
      <c r="H22" s="170" t="str">
        <f>'1. Access Controls'!$J16</f>
        <v>Comment is required</v>
      </c>
      <c r="I22" s="14">
        <f>'1. Access Controls'!$I16</f>
        <v>0</v>
      </c>
      <c r="J22" s="14" t="str">
        <f t="shared" si="10"/>
        <v>Blank</v>
      </c>
      <c r="K22" s="155" t="s">
        <v>1131</v>
      </c>
      <c r="L22" s="14" t="str">
        <f t="shared" si="1"/>
        <v>Blank</v>
      </c>
      <c r="N22" s="14" t="str">
        <f t="shared" si="3"/>
        <v/>
      </c>
      <c r="O22" s="14" t="str">
        <f t="shared" si="4"/>
        <v/>
      </c>
      <c r="P22" s="14" t="str">
        <f t="shared" si="5"/>
        <v>Comment is required</v>
      </c>
      <c r="Q22" s="14" t="str">
        <f t="shared" si="6"/>
        <v>Blank</v>
      </c>
      <c r="R22" s="14" t="str">
        <f t="shared" si="7"/>
        <v>No Override</v>
      </c>
      <c r="S22" s="14">
        <f t="shared" si="8"/>
        <v>4</v>
      </c>
      <c r="T22" s="14" t="str">
        <f t="shared" si="9"/>
        <v/>
      </c>
    </row>
    <row r="23" spans="1:20" x14ac:dyDescent="0.3">
      <c r="A23" s="224">
        <v>4</v>
      </c>
      <c r="C23" s="14">
        <f t="shared" si="2"/>
        <v>4</v>
      </c>
      <c r="D23" s="14" t="s">
        <v>1128</v>
      </c>
      <c r="E23" s="58" t="s">
        <v>248</v>
      </c>
      <c r="F23" s="82" t="s">
        <v>250</v>
      </c>
      <c r="G23" s="170" t="s">
        <v>251</v>
      </c>
      <c r="H23" s="170" t="str">
        <f>'1. Access Controls'!$J17</f>
        <v>Comment is required</v>
      </c>
      <c r="I23" s="14">
        <f>'1. Access Controls'!$I17</f>
        <v>0</v>
      </c>
      <c r="J23" s="14" t="str">
        <f t="shared" si="10"/>
        <v>Blank</v>
      </c>
      <c r="K23" s="155" t="s">
        <v>1131</v>
      </c>
      <c r="L23" s="14" t="str">
        <f t="shared" si="1"/>
        <v>Blank</v>
      </c>
      <c r="N23" s="14" t="str">
        <f t="shared" si="3"/>
        <v/>
      </c>
      <c r="O23" s="14" t="str">
        <f t="shared" si="4"/>
        <v/>
      </c>
      <c r="P23" s="14" t="str">
        <f t="shared" si="5"/>
        <v>Comment is required</v>
      </c>
      <c r="Q23" s="14" t="str">
        <f t="shared" si="6"/>
        <v>Blank</v>
      </c>
      <c r="R23" s="14" t="str">
        <f t="shared" si="7"/>
        <v>No Override</v>
      </c>
      <c r="S23" s="14">
        <f t="shared" si="8"/>
        <v>4</v>
      </c>
      <c r="T23" s="14" t="str">
        <f t="shared" si="9"/>
        <v/>
      </c>
    </row>
    <row r="24" spans="1:20" x14ac:dyDescent="0.3">
      <c r="A24" s="224">
        <v>4</v>
      </c>
      <c r="C24" s="14">
        <f t="shared" si="2"/>
        <v>4</v>
      </c>
      <c r="D24" s="14" t="s">
        <v>1128</v>
      </c>
      <c r="E24" s="58" t="s">
        <v>252</v>
      </c>
      <c r="F24" s="82" t="s">
        <v>254</v>
      </c>
      <c r="G24" s="170" t="s">
        <v>255</v>
      </c>
      <c r="H24" s="170" t="str">
        <f>'1. Access Controls'!$J18</f>
        <v>Comment is required</v>
      </c>
      <c r="I24" s="14">
        <f>'1. Access Controls'!$I18</f>
        <v>0</v>
      </c>
      <c r="J24" s="14" t="str">
        <f t="shared" si="10"/>
        <v>Blank</v>
      </c>
      <c r="K24" s="155" t="s">
        <v>1131</v>
      </c>
      <c r="L24" s="14" t="str">
        <f t="shared" si="1"/>
        <v>Blank</v>
      </c>
      <c r="N24" s="14" t="str">
        <f t="shared" si="3"/>
        <v/>
      </c>
      <c r="O24" s="14" t="str">
        <f t="shared" si="4"/>
        <v/>
      </c>
      <c r="P24" s="14" t="str">
        <f t="shared" si="5"/>
        <v>Comment is required</v>
      </c>
      <c r="Q24" s="14" t="str">
        <f t="shared" si="6"/>
        <v>Blank</v>
      </c>
      <c r="R24" s="14" t="str">
        <f t="shared" si="7"/>
        <v>No Override</v>
      </c>
      <c r="S24" s="14">
        <f t="shared" si="8"/>
        <v>4</v>
      </c>
      <c r="T24" s="14" t="str">
        <f t="shared" si="9"/>
        <v/>
      </c>
    </row>
    <row r="25" spans="1:20" x14ac:dyDescent="0.3">
      <c r="A25" s="224">
        <v>2</v>
      </c>
      <c r="C25" s="14">
        <f t="shared" si="2"/>
        <v>2</v>
      </c>
      <c r="D25" s="14" t="s">
        <v>1128</v>
      </c>
      <c r="E25" s="58" t="s">
        <v>256</v>
      </c>
      <c r="F25" s="82" t="s">
        <v>259</v>
      </c>
      <c r="G25" s="170" t="s">
        <v>260</v>
      </c>
      <c r="H25" s="170" t="str">
        <f>'1. Access Controls'!$J19</f>
        <v>Comment is required</v>
      </c>
      <c r="I25" s="14">
        <f>'1. Access Controls'!$I19</f>
        <v>0</v>
      </c>
      <c r="J25" s="14" t="str">
        <f t="shared" si="10"/>
        <v>Blank</v>
      </c>
      <c r="K25" s="155" t="s">
        <v>1131</v>
      </c>
      <c r="L25" s="14" t="str">
        <f t="shared" si="1"/>
        <v>Blank</v>
      </c>
      <c r="N25" s="14" t="str">
        <f t="shared" si="3"/>
        <v/>
      </c>
      <c r="O25" s="14" t="str">
        <f t="shared" si="4"/>
        <v/>
      </c>
      <c r="P25" s="14" t="str">
        <f t="shared" si="5"/>
        <v>Comment is required</v>
      </c>
      <c r="Q25" s="14" t="str">
        <f t="shared" si="6"/>
        <v>Blank</v>
      </c>
      <c r="R25" s="14" t="str">
        <f t="shared" si="7"/>
        <v>No Override</v>
      </c>
      <c r="S25" s="14">
        <f t="shared" si="8"/>
        <v>2</v>
      </c>
      <c r="T25" s="14" t="str">
        <f t="shared" si="9"/>
        <v/>
      </c>
    </row>
    <row r="26" spans="1:20" x14ac:dyDescent="0.3">
      <c r="A26" s="224">
        <v>2</v>
      </c>
      <c r="C26" s="14">
        <f t="shared" si="2"/>
        <v>2</v>
      </c>
      <c r="D26" s="14" t="s">
        <v>1128</v>
      </c>
      <c r="E26" s="58" t="s">
        <v>261</v>
      </c>
      <c r="F26" s="82" t="s">
        <v>263</v>
      </c>
      <c r="G26" s="170" t="s">
        <v>264</v>
      </c>
      <c r="H26" s="170" t="str">
        <f>'1. Access Controls'!$J20</f>
        <v>Comment is required</v>
      </c>
      <c r="I26" s="14">
        <f>'1. Access Controls'!$I20</f>
        <v>0</v>
      </c>
      <c r="J26" s="14" t="str">
        <f t="shared" si="10"/>
        <v>Blank</v>
      </c>
      <c r="K26" s="155" t="s">
        <v>1131</v>
      </c>
      <c r="L26" s="14" t="str">
        <f t="shared" si="1"/>
        <v>Blank</v>
      </c>
      <c r="N26" s="14" t="str">
        <f t="shared" si="3"/>
        <v/>
      </c>
      <c r="O26" s="14" t="str">
        <f t="shared" si="4"/>
        <v/>
      </c>
      <c r="P26" s="14" t="str">
        <f t="shared" si="5"/>
        <v>Comment is required</v>
      </c>
      <c r="Q26" s="14" t="str">
        <f t="shared" si="6"/>
        <v>Blank</v>
      </c>
      <c r="R26" s="14" t="str">
        <f t="shared" si="7"/>
        <v>No Override</v>
      </c>
      <c r="S26" s="14">
        <f t="shared" si="8"/>
        <v>2</v>
      </c>
      <c r="T26" s="14" t="str">
        <f t="shared" si="9"/>
        <v/>
      </c>
    </row>
    <row r="27" spans="1:20" x14ac:dyDescent="0.3">
      <c r="A27" s="224">
        <v>2</v>
      </c>
      <c r="C27" s="14">
        <f t="shared" si="2"/>
        <v>2</v>
      </c>
      <c r="D27" s="14" t="s">
        <v>1128</v>
      </c>
      <c r="E27" s="58" t="s">
        <v>265</v>
      </c>
      <c r="F27" s="82" t="s">
        <v>267</v>
      </c>
      <c r="G27" s="170" t="s">
        <v>268</v>
      </c>
      <c r="H27" s="170" t="str">
        <f>'1. Access Controls'!$J21</f>
        <v>Comment is required</v>
      </c>
      <c r="I27" s="14">
        <f>'1. Access Controls'!$I21</f>
        <v>0</v>
      </c>
      <c r="J27" s="14" t="str">
        <f t="shared" si="10"/>
        <v>Blank</v>
      </c>
      <c r="K27" s="155" t="s">
        <v>1131</v>
      </c>
      <c r="L27" s="14" t="str">
        <f t="shared" si="1"/>
        <v>Blank</v>
      </c>
      <c r="N27" s="14" t="str">
        <f t="shared" si="3"/>
        <v/>
      </c>
      <c r="O27" s="14" t="str">
        <f t="shared" si="4"/>
        <v/>
      </c>
      <c r="P27" s="14" t="str">
        <f t="shared" si="5"/>
        <v>Comment is required</v>
      </c>
      <c r="Q27" s="14" t="str">
        <f t="shared" si="6"/>
        <v>Blank</v>
      </c>
      <c r="R27" s="14" t="str">
        <f t="shared" si="7"/>
        <v>No Override</v>
      </c>
      <c r="S27" s="14">
        <f t="shared" si="8"/>
        <v>2</v>
      </c>
      <c r="T27" s="14" t="str">
        <f t="shared" si="9"/>
        <v/>
      </c>
    </row>
    <row r="28" spans="1:20" x14ac:dyDescent="0.3">
      <c r="A28" s="224">
        <v>2</v>
      </c>
      <c r="C28" s="14">
        <f t="shared" si="2"/>
        <v>2</v>
      </c>
      <c r="D28" s="14" t="s">
        <v>1128</v>
      </c>
      <c r="E28" s="58" t="s">
        <v>269</v>
      </c>
      <c r="F28" s="82" t="s">
        <v>272</v>
      </c>
      <c r="G28" s="170" t="s">
        <v>273</v>
      </c>
      <c r="H28" s="170" t="str">
        <f>'1. Access Controls'!$J22</f>
        <v>Comment is required</v>
      </c>
      <c r="I28" s="14">
        <f>'1. Access Controls'!$I22</f>
        <v>0</v>
      </c>
      <c r="J28" s="14" t="str">
        <f t="shared" si="10"/>
        <v>Blank</v>
      </c>
      <c r="K28" s="155" t="s">
        <v>1131</v>
      </c>
      <c r="L28" s="14" t="str">
        <f t="shared" si="1"/>
        <v>Blank</v>
      </c>
      <c r="N28" s="14" t="str">
        <f t="shared" si="3"/>
        <v/>
      </c>
      <c r="O28" s="14" t="str">
        <f t="shared" si="4"/>
        <v/>
      </c>
      <c r="P28" s="14" t="str">
        <f t="shared" si="5"/>
        <v>Comment is required</v>
      </c>
      <c r="Q28" s="14" t="str">
        <f t="shared" si="6"/>
        <v>Blank</v>
      </c>
      <c r="R28" s="14" t="str">
        <f t="shared" si="7"/>
        <v>No Override</v>
      </c>
      <c r="S28" s="14">
        <f t="shared" si="8"/>
        <v>2</v>
      </c>
      <c r="T28" s="14" t="str">
        <f t="shared" si="9"/>
        <v/>
      </c>
    </row>
    <row r="29" spans="1:20" x14ac:dyDescent="0.3">
      <c r="A29" s="224">
        <v>1</v>
      </c>
      <c r="C29" s="14">
        <f t="shared" si="2"/>
        <v>1</v>
      </c>
      <c r="D29" s="14" t="s">
        <v>1128</v>
      </c>
      <c r="E29" s="58" t="s">
        <v>274</v>
      </c>
      <c r="F29" s="82" t="s">
        <v>196</v>
      </c>
      <c r="G29" s="170" t="s">
        <v>275</v>
      </c>
      <c r="H29" s="170" t="str">
        <f>'1. Access Controls'!$J23</f>
        <v>Comment is required</v>
      </c>
      <c r="I29" s="14">
        <f>'1. Access Controls'!$I23</f>
        <v>0</v>
      </c>
      <c r="J29" s="14" t="str">
        <f t="shared" si="10"/>
        <v>Blank</v>
      </c>
      <c r="K29" s="155" t="s">
        <v>1131</v>
      </c>
      <c r="L29" s="14" t="str">
        <f t="shared" si="1"/>
        <v>Blank</v>
      </c>
      <c r="N29" s="14" t="str">
        <f t="shared" si="3"/>
        <v/>
      </c>
      <c r="O29" s="14" t="str">
        <f t="shared" si="4"/>
        <v/>
      </c>
      <c r="P29" s="14" t="str">
        <f t="shared" si="5"/>
        <v>Comment is required</v>
      </c>
      <c r="Q29" s="14" t="str">
        <f t="shared" si="6"/>
        <v>Blank</v>
      </c>
      <c r="R29" s="14" t="str">
        <f t="shared" si="7"/>
        <v>No Override</v>
      </c>
      <c r="S29" s="14">
        <f t="shared" si="8"/>
        <v>1</v>
      </c>
      <c r="T29" s="14" t="str">
        <f t="shared" si="9"/>
        <v/>
      </c>
    </row>
    <row r="30" spans="1:20" x14ac:dyDescent="0.3">
      <c r="A30" s="224">
        <v>1</v>
      </c>
      <c r="C30" s="14">
        <f t="shared" si="2"/>
        <v>1</v>
      </c>
      <c r="D30" s="14" t="s">
        <v>1128</v>
      </c>
      <c r="E30" s="58" t="s">
        <v>276</v>
      </c>
      <c r="F30" s="82" t="s">
        <v>196</v>
      </c>
      <c r="G30" s="170" t="s">
        <v>277</v>
      </c>
      <c r="H30" s="170" t="str">
        <f>'1. Access Controls'!$J24</f>
        <v>Comment is required</v>
      </c>
      <c r="I30" s="14">
        <f>'1. Access Controls'!$I24</f>
        <v>0</v>
      </c>
      <c r="J30" s="14" t="str">
        <f t="shared" si="10"/>
        <v>Blank</v>
      </c>
      <c r="K30" s="155" t="s">
        <v>1131</v>
      </c>
      <c r="L30" s="14" t="str">
        <f t="shared" si="1"/>
        <v>Blank</v>
      </c>
      <c r="N30" s="14" t="str">
        <f t="shared" si="3"/>
        <v/>
      </c>
      <c r="O30" s="14" t="str">
        <f t="shared" si="4"/>
        <v/>
      </c>
      <c r="P30" s="14" t="str">
        <f t="shared" si="5"/>
        <v>Comment is required</v>
      </c>
      <c r="Q30" s="14" t="str">
        <f t="shared" si="6"/>
        <v>Blank</v>
      </c>
      <c r="R30" s="14" t="str">
        <f t="shared" si="7"/>
        <v>No Override</v>
      </c>
      <c r="S30" s="14">
        <f t="shared" si="8"/>
        <v>1</v>
      </c>
      <c r="T30" s="14" t="str">
        <f t="shared" si="9"/>
        <v/>
      </c>
    </row>
    <row r="31" spans="1:20" x14ac:dyDescent="0.3">
      <c r="A31" s="224">
        <v>1</v>
      </c>
      <c r="C31" s="14">
        <f t="shared" si="2"/>
        <v>1</v>
      </c>
      <c r="D31" s="14" t="s">
        <v>1128</v>
      </c>
      <c r="E31" s="58" t="s">
        <v>278</v>
      </c>
      <c r="F31" s="82" t="s">
        <v>196</v>
      </c>
      <c r="G31" s="170" t="s">
        <v>279</v>
      </c>
      <c r="H31" s="170" t="str">
        <f>'1. Access Controls'!$J25</f>
        <v>Comment is required</v>
      </c>
      <c r="I31" s="14">
        <f>'1. Access Controls'!$I25</f>
        <v>0</v>
      </c>
      <c r="J31" s="14" t="str">
        <f t="shared" si="10"/>
        <v>Blank</v>
      </c>
      <c r="K31" s="155" t="s">
        <v>1131</v>
      </c>
      <c r="L31" s="14" t="str">
        <f t="shared" si="1"/>
        <v>Blank</v>
      </c>
      <c r="N31" s="14" t="str">
        <f t="shared" si="3"/>
        <v/>
      </c>
      <c r="O31" s="14" t="str">
        <f t="shared" si="4"/>
        <v/>
      </c>
      <c r="P31" s="14" t="str">
        <f t="shared" si="5"/>
        <v>Comment is required</v>
      </c>
      <c r="Q31" s="14" t="str">
        <f t="shared" si="6"/>
        <v>Blank</v>
      </c>
      <c r="R31" s="14" t="str">
        <f t="shared" si="7"/>
        <v>No Override</v>
      </c>
      <c r="S31" s="14">
        <f t="shared" si="8"/>
        <v>1</v>
      </c>
      <c r="T31" s="14" t="str">
        <f t="shared" si="9"/>
        <v/>
      </c>
    </row>
    <row r="32" spans="1:20" ht="45.6" x14ac:dyDescent="0.3">
      <c r="A32" s="224"/>
      <c r="B32" s="14">
        <v>1</v>
      </c>
      <c r="C32" s="14">
        <f t="shared" si="2"/>
        <v>1</v>
      </c>
      <c r="D32" s="14" t="s">
        <v>1128</v>
      </c>
      <c r="E32" s="58" t="s">
        <v>1398</v>
      </c>
      <c r="F32" s="82"/>
      <c r="G32" s="170" t="s">
        <v>1399</v>
      </c>
      <c r="H32" s="170" t="str">
        <f>'1. Access Controls'!$H26</f>
        <v>Comment is required</v>
      </c>
      <c r="I32" s="14">
        <f>'1. Access Controls'!$G26</f>
        <v>0</v>
      </c>
      <c r="J32" s="14" t="str">
        <f t="shared" si="10"/>
        <v>Blank</v>
      </c>
      <c r="K32" s="155" t="s">
        <v>1131</v>
      </c>
      <c r="L32" s="14" t="str">
        <f t="shared" si="1"/>
        <v>Blank</v>
      </c>
      <c r="N32" s="14" t="str">
        <f t="shared" si="3"/>
        <v/>
      </c>
      <c r="O32" s="14" t="str">
        <f t="shared" si="4"/>
        <v/>
      </c>
      <c r="P32" s="14" t="str">
        <f t="shared" si="5"/>
        <v>Comment is required</v>
      </c>
      <c r="Q32" s="14" t="str">
        <f t="shared" si="6"/>
        <v>Blank</v>
      </c>
      <c r="R32" s="14" t="str">
        <f t="shared" si="7"/>
        <v>No Override</v>
      </c>
      <c r="S32" s="14">
        <f t="shared" si="8"/>
        <v>1</v>
      </c>
      <c r="T32" s="14" t="str">
        <f t="shared" si="9"/>
        <v/>
      </c>
    </row>
    <row r="33" spans="1:20" ht="22.8" x14ac:dyDescent="0.3">
      <c r="A33" s="224">
        <v>1</v>
      </c>
      <c r="C33" s="14">
        <f t="shared" si="2"/>
        <v>1</v>
      </c>
      <c r="D33" s="14" t="s">
        <v>1128</v>
      </c>
      <c r="E33" s="58" t="s">
        <v>280</v>
      </c>
      <c r="F33" s="82" t="s">
        <v>282</v>
      </c>
      <c r="G33" s="170" t="s">
        <v>283</v>
      </c>
      <c r="H33" s="170" t="str">
        <f>'1. Access Controls'!$J27</f>
        <v>Comment is required</v>
      </c>
      <c r="I33" s="14">
        <f>'1. Access Controls'!$I27</f>
        <v>0</v>
      </c>
      <c r="J33" s="14" t="str">
        <f>IF($I33="Yes","Adequate",IF($I33="No","Adequate",IF($I33="Partial","Inadequate",IF($I33="N/A","Inadequate",IF(OR($I33="",$I33=0),"Blank","Error")))))</f>
        <v>Blank</v>
      </c>
      <c r="K33" s="155" t="s">
        <v>1131</v>
      </c>
      <c r="L33" s="14" t="str">
        <f t="shared" si="1"/>
        <v>Blank</v>
      </c>
      <c r="N33" s="14" t="str">
        <f t="shared" si="3"/>
        <v/>
      </c>
      <c r="O33" s="14" t="str">
        <f t="shared" si="4"/>
        <v/>
      </c>
      <c r="P33" s="14" t="str">
        <f t="shared" si="5"/>
        <v>Comment is required</v>
      </c>
      <c r="Q33" s="14" t="str">
        <f t="shared" si="6"/>
        <v>Blank</v>
      </c>
      <c r="R33" s="14" t="str">
        <f t="shared" si="7"/>
        <v>No Override</v>
      </c>
      <c r="S33" s="14">
        <f t="shared" si="8"/>
        <v>1</v>
      </c>
      <c r="T33" s="14" t="str">
        <f t="shared" si="9"/>
        <v/>
      </c>
    </row>
    <row r="34" spans="1:20" x14ac:dyDescent="0.3">
      <c r="A34" s="224">
        <v>4</v>
      </c>
      <c r="C34" s="14">
        <f t="shared" si="2"/>
        <v>4</v>
      </c>
      <c r="D34" s="14" t="s">
        <v>1128</v>
      </c>
      <c r="E34" s="58" t="s">
        <v>284</v>
      </c>
      <c r="F34" s="82" t="s">
        <v>286</v>
      </c>
      <c r="G34" s="170" t="s">
        <v>287</v>
      </c>
      <c r="H34" s="170" t="str">
        <f>'1. Access Controls'!$J28</f>
        <v>Comment is required</v>
      </c>
      <c r="I34" s="14">
        <f>'1. Access Controls'!$I28</f>
        <v>0</v>
      </c>
      <c r="J34" s="48" t="str">
        <f>IF(AND($I34="Yes",$I35="Yes",$I36="Yes"),"Adequate",IF(AND($I34="Yes",OR(NOT($I35="Yes"),NOT($I36="Yes"))),"Inadequate",IF($I34="No","N/A",IF($I34="Partial","Inadequate",IF($I34="N/A","N/A",IF(OR($I34="",$I34=0),"Blank","Error"))))))</f>
        <v>Blank</v>
      </c>
      <c r="K34" s="155" t="s">
        <v>1131</v>
      </c>
      <c r="L34" s="14" t="str">
        <f t="shared" si="1"/>
        <v>Blank</v>
      </c>
      <c r="N34" s="14" t="str">
        <f t="shared" si="3"/>
        <v/>
      </c>
      <c r="O34" s="14" t="str">
        <f t="shared" si="4"/>
        <v/>
      </c>
      <c r="P34" s="14" t="str">
        <f t="shared" si="5"/>
        <v>Comment is required</v>
      </c>
      <c r="Q34" s="14" t="str">
        <f t="shared" si="6"/>
        <v>Blank</v>
      </c>
      <c r="R34" s="14" t="str">
        <f t="shared" si="7"/>
        <v>No Override</v>
      </c>
      <c r="S34" s="14">
        <f t="shared" si="8"/>
        <v>4</v>
      </c>
      <c r="T34" s="14" t="str">
        <f t="shared" si="9"/>
        <v/>
      </c>
    </row>
    <row r="35" spans="1:20" x14ac:dyDescent="0.3">
      <c r="A35" s="224">
        <v>2</v>
      </c>
      <c r="C35" s="14">
        <f t="shared" si="2"/>
        <v>2</v>
      </c>
      <c r="D35" s="14" t="s">
        <v>1128</v>
      </c>
      <c r="E35" s="58" t="s">
        <v>288</v>
      </c>
      <c r="F35" s="82" t="s">
        <v>286</v>
      </c>
      <c r="G35" s="170" t="s">
        <v>277</v>
      </c>
      <c r="H35" s="170" t="str">
        <f>'1. Access Controls'!$J29</f>
        <v>Comment is required</v>
      </c>
      <c r="I35" s="14">
        <f>'1. Access Controls'!$I29</f>
        <v>0</v>
      </c>
      <c r="J35" s="60" t="str">
        <f>IF(OR($I34="N/A",$I34="No"),"N/A",IF($I35="Yes","Adequate",IF($I35="No","Inadequate",IF($I35="Partial","Inadequate",IF(AND($I35="N/A",NOT($I34="No"),NOT($I34="N/A")),"Inadequate",IF(OR($I35="",$I35=0),"Blank","Error"))))))</f>
        <v>Blank</v>
      </c>
      <c r="K35" s="155" t="s">
        <v>1131</v>
      </c>
      <c r="L35" s="14" t="str">
        <f t="shared" si="1"/>
        <v>Blank</v>
      </c>
      <c r="N35" s="14" t="str">
        <f t="shared" si="3"/>
        <v/>
      </c>
      <c r="O35" s="14" t="str">
        <f t="shared" si="4"/>
        <v/>
      </c>
      <c r="P35" s="14" t="str">
        <f t="shared" si="5"/>
        <v>Comment is required</v>
      </c>
      <c r="Q35" s="14" t="str">
        <f t="shared" si="6"/>
        <v>Blank</v>
      </c>
      <c r="R35" s="14" t="str">
        <f t="shared" si="7"/>
        <v>No Override</v>
      </c>
      <c r="S35" s="14">
        <f t="shared" si="8"/>
        <v>2</v>
      </c>
      <c r="T35" s="14" t="str">
        <f t="shared" si="9"/>
        <v/>
      </c>
    </row>
    <row r="36" spans="1:20" x14ac:dyDescent="0.3">
      <c r="A36" s="224">
        <v>2</v>
      </c>
      <c r="C36" s="14">
        <f t="shared" si="2"/>
        <v>2</v>
      </c>
      <c r="D36" s="14" t="s">
        <v>1128</v>
      </c>
      <c r="E36" s="58" t="s">
        <v>289</v>
      </c>
      <c r="F36" s="82" t="s">
        <v>286</v>
      </c>
      <c r="G36" s="170" t="s">
        <v>279</v>
      </c>
      <c r="H36" s="170" t="str">
        <f>'1. Access Controls'!$J30</f>
        <v>Comment is required</v>
      </c>
      <c r="I36" s="14">
        <f>'1. Access Controls'!$I30</f>
        <v>0</v>
      </c>
      <c r="J36" s="60" t="str">
        <f>IF(OR($I34="N/A",$I34="No"),"N/A",IF($I36="Yes","Adequate",IF($I36="No","Inadequate",IF($I36="Partial","Inadequate",IF(AND($I36="N/A",NOT($I34="No"),NOT($I34="N/A")),"Inadequate",IF(OR($I36="",$I36=0),"Blank","Error"))))))</f>
        <v>Blank</v>
      </c>
      <c r="K36" s="155" t="s">
        <v>1131</v>
      </c>
      <c r="L36" s="14" t="str">
        <f t="shared" si="1"/>
        <v>Blank</v>
      </c>
      <c r="N36" s="14" t="str">
        <f t="shared" si="3"/>
        <v/>
      </c>
      <c r="O36" s="14" t="str">
        <f t="shared" si="4"/>
        <v/>
      </c>
      <c r="P36" s="14" t="str">
        <f t="shared" si="5"/>
        <v>Comment is required</v>
      </c>
      <c r="Q36" s="14" t="str">
        <f t="shared" si="6"/>
        <v>Blank</v>
      </c>
      <c r="R36" s="14" t="str">
        <f t="shared" si="7"/>
        <v>No Override</v>
      </c>
      <c r="S36" s="14">
        <f t="shared" si="8"/>
        <v>2</v>
      </c>
      <c r="T36" s="14" t="str">
        <f t="shared" si="9"/>
        <v/>
      </c>
    </row>
    <row r="37" spans="1:20" ht="22.8" x14ac:dyDescent="0.3">
      <c r="A37" s="224">
        <v>4</v>
      </c>
      <c r="C37" s="14">
        <f t="shared" si="2"/>
        <v>4</v>
      </c>
      <c r="D37" s="14" t="s">
        <v>1128</v>
      </c>
      <c r="E37" s="58" t="s">
        <v>290</v>
      </c>
      <c r="F37" s="82" t="s">
        <v>292</v>
      </c>
      <c r="G37" s="170" t="s">
        <v>293</v>
      </c>
      <c r="H37" s="170" t="str">
        <f>'1. Access Controls'!$J31</f>
        <v>Comment is required</v>
      </c>
      <c r="I37" s="14">
        <f>'1. Access Controls'!$I31</f>
        <v>0</v>
      </c>
      <c r="J37" s="48" t="str">
        <f>IF(AND($I37="Yes",$I38="Yes"),"Adequate",IF(AND($I37="Yes",NOT($I38="Yes")),"Inadequate",IF($I37="No","N/A",IF($I37="Partial","Inadequate",IF($I37="N/A","N/A",IF(OR($I37="",$I37=0),"Blank","Error"))))))</f>
        <v>Blank</v>
      </c>
      <c r="K37" s="155" t="s">
        <v>1131</v>
      </c>
      <c r="L37" s="14" t="str">
        <f t="shared" si="1"/>
        <v>Blank</v>
      </c>
      <c r="N37" s="14" t="str">
        <f t="shared" si="3"/>
        <v/>
      </c>
      <c r="O37" s="14" t="str">
        <f t="shared" si="4"/>
        <v/>
      </c>
      <c r="P37" s="14" t="str">
        <f t="shared" si="5"/>
        <v>Comment is required</v>
      </c>
      <c r="Q37" s="14" t="str">
        <f t="shared" si="6"/>
        <v>Blank</v>
      </c>
      <c r="R37" s="14" t="str">
        <f t="shared" si="7"/>
        <v>No Override</v>
      </c>
      <c r="S37" s="14">
        <f t="shared" si="8"/>
        <v>4</v>
      </c>
      <c r="T37" s="14" t="str">
        <f t="shared" si="9"/>
        <v/>
      </c>
    </row>
    <row r="38" spans="1:20" ht="22.8" x14ac:dyDescent="0.3">
      <c r="A38" s="224">
        <v>2</v>
      </c>
      <c r="C38" s="14">
        <f t="shared" si="2"/>
        <v>2</v>
      </c>
      <c r="D38" s="14" t="s">
        <v>1128</v>
      </c>
      <c r="E38" s="58" t="s">
        <v>294</v>
      </c>
      <c r="F38" s="82" t="s">
        <v>292</v>
      </c>
      <c r="G38" s="170" t="s">
        <v>295</v>
      </c>
      <c r="H38" s="170" t="str">
        <f>'1. Access Controls'!$J32</f>
        <v>Comment is required</v>
      </c>
      <c r="I38" s="14">
        <f>'1. Access Controls'!$I32</f>
        <v>0</v>
      </c>
      <c r="J38" s="60" t="str">
        <f>IF(OR($I37="N/A",$I37="No"),"N/A",IF($I38="Yes","Adequate",IF($I38="No","Inadequate",IF($I38="Partial","Inadequate",IF(AND($I38="N/A",NOT($I37="No"),NOT($I37="N/A")),"Inadequate",IF(OR($I38="",$I38=0),"Blank","Error"))))))</f>
        <v>Blank</v>
      </c>
      <c r="K38" s="155" t="s">
        <v>1131</v>
      </c>
      <c r="L38" s="14" t="str">
        <f t="shared" si="1"/>
        <v>Blank</v>
      </c>
      <c r="N38" s="14" t="str">
        <f t="shared" si="3"/>
        <v/>
      </c>
      <c r="O38" s="14" t="str">
        <f t="shared" si="4"/>
        <v/>
      </c>
      <c r="P38" s="14" t="str">
        <f t="shared" si="5"/>
        <v>Comment is required</v>
      </c>
      <c r="Q38" s="14" t="str">
        <f t="shared" si="6"/>
        <v>Blank</v>
      </c>
      <c r="R38" s="14" t="str">
        <f t="shared" si="7"/>
        <v>No Override</v>
      </c>
      <c r="S38" s="14">
        <f t="shared" si="8"/>
        <v>2</v>
      </c>
      <c r="T38" s="14" t="str">
        <f t="shared" si="9"/>
        <v/>
      </c>
    </row>
    <row r="39" spans="1:20" ht="22.8" x14ac:dyDescent="0.3">
      <c r="A39" s="224">
        <v>4</v>
      </c>
      <c r="C39" s="14">
        <f t="shared" si="2"/>
        <v>4</v>
      </c>
      <c r="D39" s="14" t="s">
        <v>1128</v>
      </c>
      <c r="E39" s="58" t="s">
        <v>296</v>
      </c>
      <c r="F39" s="82" t="s">
        <v>298</v>
      </c>
      <c r="G39" s="170" t="s">
        <v>299</v>
      </c>
      <c r="H39" s="170" t="str">
        <f>'1. Access Controls'!$J33</f>
        <v>Comment is required</v>
      </c>
      <c r="I39" s="14">
        <f>'1. Access Controls'!$I33</f>
        <v>0</v>
      </c>
      <c r="J39" s="14" t="str">
        <f>IF($I39="Yes","Adequate",IF($I39="No","Inadequate",IF($I39="Partial","Inadequate",IF($I39="N/A","Inadequate",IF(OR($I39="",$I39=0),"Blank","Error")))))</f>
        <v>Blank</v>
      </c>
      <c r="K39" s="155" t="s">
        <v>1131</v>
      </c>
      <c r="L39" s="14" t="str">
        <f t="shared" si="1"/>
        <v>Blank</v>
      </c>
      <c r="N39" s="14" t="str">
        <f t="shared" si="3"/>
        <v/>
      </c>
      <c r="O39" s="14" t="str">
        <f t="shared" si="4"/>
        <v/>
      </c>
      <c r="P39" s="14" t="str">
        <f t="shared" si="5"/>
        <v>Comment is required</v>
      </c>
      <c r="Q39" s="14" t="str">
        <f t="shared" si="6"/>
        <v>Blank</v>
      </c>
      <c r="R39" s="14" t="str">
        <f t="shared" si="7"/>
        <v>No Override</v>
      </c>
      <c r="S39" s="14">
        <f t="shared" si="8"/>
        <v>4</v>
      </c>
      <c r="T39" s="14" t="str">
        <f t="shared" si="9"/>
        <v/>
      </c>
    </row>
    <row r="40" spans="1:20" x14ac:dyDescent="0.3">
      <c r="A40" s="224">
        <v>4</v>
      </c>
      <c r="C40" s="14">
        <f t="shared" si="2"/>
        <v>4</v>
      </c>
      <c r="D40" s="14" t="s">
        <v>1128</v>
      </c>
      <c r="E40" s="58" t="s">
        <v>300</v>
      </c>
      <c r="F40" s="82" t="s">
        <v>302</v>
      </c>
      <c r="G40" s="170" t="s">
        <v>303</v>
      </c>
      <c r="H40" s="170" t="str">
        <f>'1. Access Controls'!$J34</f>
        <v>Comment is required</v>
      </c>
      <c r="I40" s="14">
        <f>'1. Access Controls'!$I34</f>
        <v>0</v>
      </c>
      <c r="J40" s="48" t="str">
        <f>IF(AND($I40="Yes",$I41="Yes"),"Adequate",IF(AND($I40="Yes",Scope!$D$17="No",Scope!$D$21="No",Scope!$D$18="No",Scope!$D$19="No"),"Adequate",IF(AND($I40="Yes",NOT($I41="Yes")),"Inadequate",IF($I40="No","N/A",IF($I40="Partial","Inadequate",IF($I40="N/A","N/A",IF(OR($I40="",$I40=0),"Blank","Error")))))))</f>
        <v>Blank</v>
      </c>
      <c r="K40" s="155" t="s">
        <v>1131</v>
      </c>
      <c r="L40" s="14" t="str">
        <f t="shared" si="1"/>
        <v>Blank</v>
      </c>
      <c r="N40" s="14" t="str">
        <f t="shared" si="3"/>
        <v/>
      </c>
      <c r="O40" s="14" t="str">
        <f t="shared" si="4"/>
        <v/>
      </c>
      <c r="P40" s="14" t="str">
        <f t="shared" si="5"/>
        <v>Comment is required</v>
      </c>
      <c r="Q40" s="14" t="str">
        <f t="shared" si="6"/>
        <v>Blank</v>
      </c>
      <c r="R40" s="14" t="str">
        <f t="shared" si="7"/>
        <v>No Override</v>
      </c>
      <c r="S40" s="14">
        <f t="shared" si="8"/>
        <v>4</v>
      </c>
      <c r="T40" s="14" t="str">
        <f t="shared" si="9"/>
        <v/>
      </c>
    </row>
    <row r="41" spans="1:20" x14ac:dyDescent="0.3">
      <c r="A41" s="224">
        <v>4</v>
      </c>
      <c r="C41" s="14">
        <f t="shared" si="2"/>
        <v>4</v>
      </c>
      <c r="D41" s="14" t="s">
        <v>1128</v>
      </c>
      <c r="E41" s="58" t="s">
        <v>304</v>
      </c>
      <c r="F41" s="82" t="s">
        <v>302</v>
      </c>
      <c r="G41" s="170" t="s">
        <v>305</v>
      </c>
      <c r="H41" s="170" t="str">
        <f>'1. Access Controls'!$J35</f>
        <v>Comment is required</v>
      </c>
      <c r="I41" s="14">
        <f>'1. Access Controls'!$I35</f>
        <v>0</v>
      </c>
      <c r="J41" s="60" t="str">
        <f>IF(OR($I40="N/A",$I40="No"),"N/A",IF($I41="Yes","Adequate",IF($I41="No","Inadequate",IF($I41="Partial","Inadequate",IF(AND($I41="N/A",NOT($I40="No"),NOT($I40="N/A")),"Inadequate",IF(OR($I41="",$I41=0),"Blank","Error"))))))</f>
        <v>Blank</v>
      </c>
      <c r="K41" s="155" t="s">
        <v>1131</v>
      </c>
      <c r="L41" s="14" t="str">
        <f t="shared" si="1"/>
        <v>Blank</v>
      </c>
      <c r="N41" s="14" t="str">
        <f t="shared" si="3"/>
        <v/>
      </c>
      <c r="O41" s="14" t="str">
        <f t="shared" si="4"/>
        <v/>
      </c>
      <c r="P41" s="14" t="str">
        <f t="shared" si="5"/>
        <v>Comment is required</v>
      </c>
      <c r="Q41" s="14" t="str">
        <f t="shared" si="6"/>
        <v>Blank</v>
      </c>
      <c r="R41" s="14" t="str">
        <f t="shared" si="7"/>
        <v>No Override</v>
      </c>
      <c r="S41" s="14">
        <f t="shared" si="8"/>
        <v>4</v>
      </c>
      <c r="T41" s="14" t="str">
        <f t="shared" si="9"/>
        <v/>
      </c>
    </row>
    <row r="42" spans="1:20" ht="22.8" x14ac:dyDescent="0.3">
      <c r="A42" s="224">
        <v>2</v>
      </c>
      <c r="C42" s="14">
        <f t="shared" si="2"/>
        <v>2</v>
      </c>
      <c r="D42" s="14" t="s">
        <v>306</v>
      </c>
      <c r="E42" s="58" t="s">
        <v>307</v>
      </c>
      <c r="F42" s="82" t="s">
        <v>310</v>
      </c>
      <c r="G42" s="170" t="s">
        <v>311</v>
      </c>
      <c r="H42" s="170" t="str">
        <f>'2. Awareness and Training'!$J3</f>
        <v>Comment is required</v>
      </c>
      <c r="I42" s="14">
        <f>'2. Awareness and Training'!$I3</f>
        <v>0</v>
      </c>
      <c r="J42" s="14" t="str">
        <f>IF($I42="Yes","Adequate",IF($I42="No","Inadequate",IF($I42="Partial","Inadequate",IF($I42="N/A","Inadequate",IF(OR($I42="",$I42=0),"Blank","Error")))))</f>
        <v>Blank</v>
      </c>
      <c r="K42" s="155" t="s">
        <v>1131</v>
      </c>
      <c r="L42" s="14" t="str">
        <f t="shared" si="1"/>
        <v>Blank</v>
      </c>
      <c r="N42" s="14" t="str">
        <f t="shared" si="3"/>
        <v/>
      </c>
      <c r="O42" s="14" t="str">
        <f t="shared" si="4"/>
        <v/>
      </c>
      <c r="P42" s="14" t="str">
        <f t="shared" si="5"/>
        <v>Comment is required</v>
      </c>
      <c r="Q42" s="14" t="str">
        <f t="shared" si="6"/>
        <v>Blank</v>
      </c>
      <c r="R42" s="14" t="str">
        <f t="shared" si="7"/>
        <v>No Override</v>
      </c>
      <c r="S42" s="14">
        <f t="shared" si="8"/>
        <v>2</v>
      </c>
      <c r="T42" s="14" t="str">
        <f t="shared" si="9"/>
        <v/>
      </c>
    </row>
    <row r="43" spans="1:20" x14ac:dyDescent="0.3">
      <c r="A43" s="224">
        <v>2</v>
      </c>
      <c r="C43" s="14">
        <f t="shared" si="2"/>
        <v>2</v>
      </c>
      <c r="D43" s="14" t="s">
        <v>306</v>
      </c>
      <c r="E43" s="58" t="s">
        <v>312</v>
      </c>
      <c r="F43" s="84" t="s">
        <v>315</v>
      </c>
      <c r="G43" s="170" t="s">
        <v>316</v>
      </c>
      <c r="H43" s="170" t="str">
        <f>'2. Awareness and Training'!$J4</f>
        <v>Comment is required</v>
      </c>
      <c r="I43" s="14">
        <f>'2. Awareness and Training'!$I4</f>
        <v>0</v>
      </c>
      <c r="J43" s="14" t="str">
        <f>IF($I43="Yes","Adequate",IF($I43="No","Inadequate",IF($I43="Partial","Inadequate",IF($I43="N/A","Inadequate",IF(OR($I43="",$I43=0),"Blank","Error")))))</f>
        <v>Blank</v>
      </c>
      <c r="K43" s="155" t="s">
        <v>1131</v>
      </c>
      <c r="L43" s="14" t="str">
        <f t="shared" si="1"/>
        <v>Blank</v>
      </c>
      <c r="N43" s="14" t="str">
        <f t="shared" si="3"/>
        <v/>
      </c>
      <c r="O43" s="14" t="str">
        <f t="shared" si="4"/>
        <v/>
      </c>
      <c r="P43" s="14" t="str">
        <f t="shared" si="5"/>
        <v>Comment is required</v>
      </c>
      <c r="Q43" s="14" t="str">
        <f t="shared" si="6"/>
        <v>Blank</v>
      </c>
      <c r="R43" s="14" t="str">
        <f t="shared" si="7"/>
        <v>No Override</v>
      </c>
      <c r="S43" s="14">
        <f t="shared" si="8"/>
        <v>2</v>
      </c>
      <c r="T43" s="14" t="str">
        <f t="shared" si="9"/>
        <v/>
      </c>
    </row>
    <row r="44" spans="1:20" x14ac:dyDescent="0.3">
      <c r="A44" s="224">
        <v>2</v>
      </c>
      <c r="C44" s="14">
        <f t="shared" si="2"/>
        <v>2</v>
      </c>
      <c r="D44" s="14" t="s">
        <v>306</v>
      </c>
      <c r="E44" s="58" t="s">
        <v>317</v>
      </c>
      <c r="F44" s="84" t="s">
        <v>315</v>
      </c>
      <c r="G44" s="170" t="s">
        <v>318</v>
      </c>
      <c r="H44" s="170" t="str">
        <f>'2. Awareness and Training'!$J5</f>
        <v>Comment is required</v>
      </c>
      <c r="I44" s="14">
        <f>'2. Awareness and Training'!$I5</f>
        <v>0</v>
      </c>
      <c r="J44" s="14" t="str">
        <f>IF($I44="Yes","Adequate",IF($I44="No","Inadequate",IF($I44="Partial","Inadequate",IF($I44="N/A","Inadequate",IF(OR($I44="",$I44=0),"Blank","Error")))))</f>
        <v>Blank</v>
      </c>
      <c r="K44" s="155" t="s">
        <v>1131</v>
      </c>
      <c r="L44" s="14" t="str">
        <f t="shared" si="1"/>
        <v>Blank</v>
      </c>
      <c r="N44" s="14" t="str">
        <f t="shared" si="3"/>
        <v/>
      </c>
      <c r="O44" s="14" t="str">
        <f t="shared" si="4"/>
        <v/>
      </c>
      <c r="P44" s="14" t="str">
        <f t="shared" si="5"/>
        <v>Comment is required</v>
      </c>
      <c r="Q44" s="14" t="str">
        <f t="shared" si="6"/>
        <v>Blank</v>
      </c>
      <c r="R44" s="14" t="str">
        <f t="shared" si="7"/>
        <v>No Override</v>
      </c>
      <c r="S44" s="14">
        <f t="shared" si="8"/>
        <v>2</v>
      </c>
      <c r="T44" s="14" t="str">
        <f t="shared" si="9"/>
        <v/>
      </c>
    </row>
    <row r="45" spans="1:20" ht="22.8" x14ac:dyDescent="0.3">
      <c r="A45" s="224">
        <v>2</v>
      </c>
      <c r="C45" s="14">
        <f t="shared" si="2"/>
        <v>2</v>
      </c>
      <c r="D45" s="14" t="s">
        <v>306</v>
      </c>
      <c r="E45" s="58" t="s">
        <v>319</v>
      </c>
      <c r="F45" s="84" t="s">
        <v>321</v>
      </c>
      <c r="G45" s="171" t="s">
        <v>322</v>
      </c>
      <c r="H45" s="170" t="str">
        <f>'2. Awareness and Training'!$J6</f>
        <v>Comment is required</v>
      </c>
      <c r="I45" s="14">
        <f>'2. Awareness and Training'!$I6</f>
        <v>0</v>
      </c>
      <c r="J45" s="14" t="str">
        <f t="shared" ref="J45:J54" si="11">IF($I45="Yes","Adequate",IF($I45="No","Inadequate",IF($I45="Partial","Inadequate",IF($I45="N/A","Inadequate",IF(OR($I45="",$I45=0),"Blank","Error")))))</f>
        <v>Blank</v>
      </c>
      <c r="K45" s="155" t="s">
        <v>1131</v>
      </c>
      <c r="L45" s="14" t="str">
        <f t="shared" si="1"/>
        <v>Blank</v>
      </c>
      <c r="N45" s="14" t="str">
        <f t="shared" si="3"/>
        <v/>
      </c>
      <c r="O45" s="14" t="str">
        <f t="shared" si="4"/>
        <v/>
      </c>
      <c r="P45" s="14" t="str">
        <f t="shared" si="5"/>
        <v>Comment is required</v>
      </c>
      <c r="Q45" s="14" t="str">
        <f t="shared" si="6"/>
        <v>Blank</v>
      </c>
      <c r="R45" s="14" t="str">
        <f t="shared" si="7"/>
        <v>No Override</v>
      </c>
      <c r="S45" s="14">
        <f t="shared" si="8"/>
        <v>2</v>
      </c>
      <c r="T45" s="14" t="str">
        <f t="shared" si="9"/>
        <v/>
      </c>
    </row>
    <row r="46" spans="1:20" x14ac:dyDescent="0.3">
      <c r="A46" s="224">
        <v>2</v>
      </c>
      <c r="C46" s="14">
        <f t="shared" si="2"/>
        <v>2</v>
      </c>
      <c r="D46" s="14" t="s">
        <v>306</v>
      </c>
      <c r="E46" s="58" t="s">
        <v>323</v>
      </c>
      <c r="F46" s="84" t="s">
        <v>325</v>
      </c>
      <c r="G46" s="171" t="s">
        <v>326</v>
      </c>
      <c r="H46" s="170" t="str">
        <f>'2. Awareness and Training'!$J7</f>
        <v>Comment is required</v>
      </c>
      <c r="I46" s="14">
        <f>'2. Awareness and Training'!$I7</f>
        <v>0</v>
      </c>
      <c r="J46" s="14" t="str">
        <f t="shared" si="11"/>
        <v>Blank</v>
      </c>
      <c r="K46" s="155" t="s">
        <v>1131</v>
      </c>
      <c r="L46" s="14" t="str">
        <f t="shared" si="1"/>
        <v>Blank</v>
      </c>
      <c r="N46" s="14" t="str">
        <f t="shared" si="3"/>
        <v/>
      </c>
      <c r="O46" s="14" t="str">
        <f t="shared" si="4"/>
        <v/>
      </c>
      <c r="P46" s="14" t="str">
        <f t="shared" si="5"/>
        <v>Comment is required</v>
      </c>
      <c r="Q46" s="14" t="str">
        <f t="shared" si="6"/>
        <v>Blank</v>
      </c>
      <c r="R46" s="14" t="str">
        <f t="shared" si="7"/>
        <v>No Override</v>
      </c>
      <c r="S46" s="14">
        <f t="shared" si="8"/>
        <v>2</v>
      </c>
      <c r="T46" s="14" t="str">
        <f t="shared" si="9"/>
        <v/>
      </c>
    </row>
    <row r="47" spans="1:20" x14ac:dyDescent="0.3">
      <c r="A47" s="225">
        <v>1</v>
      </c>
      <c r="C47" s="14">
        <f t="shared" si="2"/>
        <v>1</v>
      </c>
      <c r="D47" s="14" t="s">
        <v>327</v>
      </c>
      <c r="E47" s="58" t="s">
        <v>328</v>
      </c>
      <c r="F47" s="84" t="s">
        <v>331</v>
      </c>
      <c r="G47" s="171" t="s">
        <v>332</v>
      </c>
      <c r="H47" s="170" t="str">
        <f>'3. Audit and Accountability'!$J3</f>
        <v>Comment is required</v>
      </c>
      <c r="I47" s="14">
        <f>'3. Audit and Accountability'!$I3</f>
        <v>0</v>
      </c>
      <c r="J47" s="14" t="str">
        <f t="shared" si="11"/>
        <v>Blank</v>
      </c>
      <c r="K47" s="155" t="s">
        <v>1131</v>
      </c>
      <c r="L47" s="14" t="str">
        <f t="shared" si="1"/>
        <v>Blank</v>
      </c>
      <c r="N47" s="14" t="str">
        <f t="shared" si="3"/>
        <v/>
      </c>
      <c r="O47" s="14" t="str">
        <f t="shared" si="4"/>
        <v/>
      </c>
      <c r="P47" s="14" t="str">
        <f t="shared" si="5"/>
        <v>Comment is required</v>
      </c>
      <c r="Q47" s="14" t="str">
        <f t="shared" si="6"/>
        <v>Blank</v>
      </c>
      <c r="R47" s="14" t="str">
        <f t="shared" si="7"/>
        <v>No Override</v>
      </c>
      <c r="S47" s="14">
        <f t="shared" si="8"/>
        <v>1</v>
      </c>
      <c r="T47" s="14" t="str">
        <f t="shared" si="9"/>
        <v/>
      </c>
    </row>
    <row r="48" spans="1:20" ht="22.8" x14ac:dyDescent="0.3">
      <c r="A48" s="224">
        <v>2</v>
      </c>
      <c r="C48" s="14">
        <f t="shared" si="2"/>
        <v>2</v>
      </c>
      <c r="D48" s="14" t="s">
        <v>327</v>
      </c>
      <c r="E48" s="58" t="s">
        <v>333</v>
      </c>
      <c r="F48" s="84" t="s">
        <v>336</v>
      </c>
      <c r="G48" s="172" t="s">
        <v>337</v>
      </c>
      <c r="H48" s="170" t="str">
        <f>'3. Audit and Accountability'!$J4</f>
        <v>Comment is required</v>
      </c>
      <c r="I48" s="14">
        <f>'3. Audit and Accountability'!$I4</f>
        <v>0</v>
      </c>
      <c r="J48" s="14" t="str">
        <f t="shared" si="11"/>
        <v>Blank</v>
      </c>
      <c r="K48" s="155" t="s">
        <v>1131</v>
      </c>
      <c r="L48" s="14" t="str">
        <f t="shared" si="1"/>
        <v>Blank</v>
      </c>
      <c r="N48" s="14" t="str">
        <f t="shared" si="3"/>
        <v/>
      </c>
      <c r="O48" s="14" t="str">
        <f t="shared" si="4"/>
        <v/>
      </c>
      <c r="P48" s="14" t="str">
        <f t="shared" si="5"/>
        <v>Comment is required</v>
      </c>
      <c r="Q48" s="14" t="str">
        <f t="shared" si="6"/>
        <v>Blank</v>
      </c>
      <c r="R48" s="14" t="str">
        <f t="shared" si="7"/>
        <v>No Override</v>
      </c>
      <c r="S48" s="14">
        <f t="shared" si="8"/>
        <v>2</v>
      </c>
      <c r="T48" s="14" t="str">
        <f t="shared" si="9"/>
        <v/>
      </c>
    </row>
    <row r="49" spans="1:20" x14ac:dyDescent="0.3">
      <c r="A49" s="224">
        <v>2</v>
      </c>
      <c r="C49" s="14">
        <f t="shared" si="2"/>
        <v>2</v>
      </c>
      <c r="D49" s="14" t="s">
        <v>327</v>
      </c>
      <c r="E49" s="58" t="s">
        <v>338</v>
      </c>
      <c r="F49" s="84" t="s">
        <v>336</v>
      </c>
      <c r="G49" s="172" t="s">
        <v>339</v>
      </c>
      <c r="H49" s="170" t="str">
        <f>'3. Audit and Accountability'!$J5</f>
        <v>Comment is required</v>
      </c>
      <c r="I49" s="14">
        <f>'3. Audit and Accountability'!$I5</f>
        <v>0</v>
      </c>
      <c r="J49" s="14" t="str">
        <f t="shared" si="11"/>
        <v>Blank</v>
      </c>
      <c r="K49" s="155" t="s">
        <v>1131</v>
      </c>
      <c r="L49" s="14" t="str">
        <f t="shared" si="1"/>
        <v>Blank</v>
      </c>
      <c r="N49" s="14" t="str">
        <f t="shared" si="3"/>
        <v/>
      </c>
      <c r="O49" s="14" t="str">
        <f t="shared" si="4"/>
        <v/>
      </c>
      <c r="P49" s="14" t="str">
        <f t="shared" si="5"/>
        <v>Comment is required</v>
      </c>
      <c r="Q49" s="14" t="str">
        <f t="shared" si="6"/>
        <v>Blank</v>
      </c>
      <c r="R49" s="14" t="str">
        <f t="shared" si="7"/>
        <v>No Override</v>
      </c>
      <c r="S49" s="14">
        <f t="shared" si="8"/>
        <v>2</v>
      </c>
      <c r="T49" s="14" t="str">
        <f t="shared" si="9"/>
        <v/>
      </c>
    </row>
    <row r="50" spans="1:20" ht="34.200000000000003" x14ac:dyDescent="0.3">
      <c r="A50" s="224">
        <v>2</v>
      </c>
      <c r="C50" s="14">
        <f t="shared" si="2"/>
        <v>2</v>
      </c>
      <c r="D50" s="14" t="s">
        <v>327</v>
      </c>
      <c r="E50" s="58" t="s">
        <v>340</v>
      </c>
      <c r="F50" s="84" t="s">
        <v>342</v>
      </c>
      <c r="G50" s="172" t="s">
        <v>343</v>
      </c>
      <c r="H50" s="170" t="str">
        <f>'3. Audit and Accountability'!$J6</f>
        <v>Comment is required</v>
      </c>
      <c r="I50" s="14">
        <f>'3. Audit and Accountability'!$I6</f>
        <v>0</v>
      </c>
      <c r="J50" s="14" t="str">
        <f t="shared" si="11"/>
        <v>Blank</v>
      </c>
      <c r="K50" s="155" t="s">
        <v>1131</v>
      </c>
      <c r="L50" s="14" t="str">
        <f t="shared" si="1"/>
        <v>Blank</v>
      </c>
      <c r="N50" s="14" t="str">
        <f t="shared" si="3"/>
        <v/>
      </c>
      <c r="O50" s="14" t="str">
        <f t="shared" si="4"/>
        <v/>
      </c>
      <c r="P50" s="14" t="str">
        <f t="shared" si="5"/>
        <v>Comment is required</v>
      </c>
      <c r="Q50" s="14" t="str">
        <f t="shared" si="6"/>
        <v>Blank</v>
      </c>
      <c r="R50" s="14" t="str">
        <f t="shared" si="7"/>
        <v>No Override</v>
      </c>
      <c r="S50" s="14">
        <f t="shared" si="8"/>
        <v>2</v>
      </c>
      <c r="T50" s="14" t="str">
        <f t="shared" si="9"/>
        <v/>
      </c>
    </row>
    <row r="51" spans="1:20" x14ac:dyDescent="0.3">
      <c r="A51" s="224">
        <v>3</v>
      </c>
      <c r="C51" s="14">
        <f t="shared" si="2"/>
        <v>3</v>
      </c>
      <c r="D51" s="14" t="s">
        <v>327</v>
      </c>
      <c r="E51" s="58" t="s">
        <v>344</v>
      </c>
      <c r="F51" s="84" t="s">
        <v>346</v>
      </c>
      <c r="G51" s="172" t="s">
        <v>347</v>
      </c>
      <c r="H51" s="170" t="str">
        <f>'3. Audit and Accountability'!$J7</f>
        <v>Comment is required</v>
      </c>
      <c r="I51" s="14">
        <f>'3. Audit and Accountability'!$I7</f>
        <v>0</v>
      </c>
      <c r="J51" s="14" t="str">
        <f t="shared" si="11"/>
        <v>Blank</v>
      </c>
      <c r="K51" s="155" t="s">
        <v>1131</v>
      </c>
      <c r="L51" s="14" t="str">
        <f t="shared" si="1"/>
        <v>Blank</v>
      </c>
      <c r="N51" s="14" t="str">
        <f t="shared" si="3"/>
        <v/>
      </c>
      <c r="O51" s="14" t="str">
        <f t="shared" si="4"/>
        <v/>
      </c>
      <c r="P51" s="14" t="str">
        <f t="shared" si="5"/>
        <v>Comment is required</v>
      </c>
      <c r="Q51" s="14" t="str">
        <f t="shared" si="6"/>
        <v>Blank</v>
      </c>
      <c r="R51" s="14" t="str">
        <f t="shared" si="7"/>
        <v>No Override</v>
      </c>
      <c r="S51" s="14">
        <f t="shared" si="8"/>
        <v>3</v>
      </c>
      <c r="T51" s="14" t="str">
        <f t="shared" si="9"/>
        <v/>
      </c>
    </row>
    <row r="52" spans="1:20" x14ac:dyDescent="0.3">
      <c r="A52" s="224">
        <v>3</v>
      </c>
      <c r="C52" s="14">
        <f t="shared" si="2"/>
        <v>3</v>
      </c>
      <c r="D52" s="14" t="s">
        <v>327</v>
      </c>
      <c r="E52" s="58" t="s">
        <v>348</v>
      </c>
      <c r="F52" s="84" t="s">
        <v>350</v>
      </c>
      <c r="G52" s="172" t="s">
        <v>351</v>
      </c>
      <c r="H52" s="170" t="str">
        <f>'3. Audit and Accountability'!$J8</f>
        <v>Comment is required</v>
      </c>
      <c r="I52" s="14">
        <f>'3. Audit and Accountability'!$I8</f>
        <v>0</v>
      </c>
      <c r="J52" s="14" t="str">
        <f t="shared" si="11"/>
        <v>Blank</v>
      </c>
      <c r="K52" s="155" t="s">
        <v>1131</v>
      </c>
      <c r="L52" s="14" t="str">
        <f t="shared" si="1"/>
        <v>Blank</v>
      </c>
      <c r="N52" s="14" t="str">
        <f t="shared" si="3"/>
        <v/>
      </c>
      <c r="O52" s="14" t="str">
        <f t="shared" si="4"/>
        <v/>
      </c>
      <c r="P52" s="14" t="str">
        <f t="shared" si="5"/>
        <v>Comment is required</v>
      </c>
      <c r="Q52" s="14" t="str">
        <f t="shared" si="6"/>
        <v>Blank</v>
      </c>
      <c r="R52" s="14" t="str">
        <f t="shared" si="7"/>
        <v>No Override</v>
      </c>
      <c r="S52" s="14">
        <f t="shared" si="8"/>
        <v>3</v>
      </c>
      <c r="T52" s="14" t="str">
        <f t="shared" si="9"/>
        <v/>
      </c>
    </row>
    <row r="53" spans="1:20" ht="22.8" x14ac:dyDescent="0.3">
      <c r="A53" s="224">
        <v>2</v>
      </c>
      <c r="C53" s="14">
        <f t="shared" si="2"/>
        <v>2</v>
      </c>
      <c r="D53" s="14" t="s">
        <v>327</v>
      </c>
      <c r="E53" s="58" t="s">
        <v>352</v>
      </c>
      <c r="F53" s="84" t="s">
        <v>355</v>
      </c>
      <c r="G53" s="172" t="s">
        <v>356</v>
      </c>
      <c r="H53" s="170" t="str">
        <f>'3. Audit and Accountability'!$J9</f>
        <v>Comment is required</v>
      </c>
      <c r="I53" s="14">
        <f>'3. Audit and Accountability'!$I9</f>
        <v>0</v>
      </c>
      <c r="J53" s="14" t="str">
        <f t="shared" si="11"/>
        <v>Blank</v>
      </c>
      <c r="K53" s="155" t="s">
        <v>1131</v>
      </c>
      <c r="L53" s="14" t="str">
        <f t="shared" si="1"/>
        <v>Blank</v>
      </c>
      <c r="N53" s="14" t="str">
        <f t="shared" si="3"/>
        <v/>
      </c>
      <c r="O53" s="14" t="str">
        <f t="shared" si="4"/>
        <v/>
      </c>
      <c r="P53" s="14" t="str">
        <f t="shared" si="5"/>
        <v>Comment is required</v>
      </c>
      <c r="Q53" s="14" t="str">
        <f t="shared" si="6"/>
        <v>Blank</v>
      </c>
      <c r="R53" s="14" t="str">
        <f t="shared" si="7"/>
        <v>No Override</v>
      </c>
      <c r="S53" s="14">
        <f t="shared" si="8"/>
        <v>2</v>
      </c>
      <c r="T53" s="14" t="str">
        <f t="shared" si="9"/>
        <v/>
      </c>
    </row>
    <row r="54" spans="1:20" x14ac:dyDescent="0.3">
      <c r="A54" s="224">
        <v>3</v>
      </c>
      <c r="C54" s="14">
        <f t="shared" si="2"/>
        <v>3</v>
      </c>
      <c r="D54" s="14" t="s">
        <v>327</v>
      </c>
      <c r="E54" s="58" t="s">
        <v>357</v>
      </c>
      <c r="F54" s="84" t="s">
        <v>360</v>
      </c>
      <c r="G54" s="172" t="s">
        <v>361</v>
      </c>
      <c r="H54" s="170" t="str">
        <f>'3. Audit and Accountability'!$J10</f>
        <v>Comment is required</v>
      </c>
      <c r="I54" s="14">
        <f>'3. Audit and Accountability'!$I10</f>
        <v>0</v>
      </c>
      <c r="J54" s="14" t="str">
        <f t="shared" si="11"/>
        <v>Blank</v>
      </c>
      <c r="K54" s="155" t="s">
        <v>1131</v>
      </c>
      <c r="L54" s="14" t="str">
        <f t="shared" si="1"/>
        <v>Blank</v>
      </c>
      <c r="N54" s="14" t="str">
        <f t="shared" si="3"/>
        <v/>
      </c>
      <c r="O54" s="14" t="str">
        <f t="shared" si="4"/>
        <v/>
      </c>
      <c r="P54" s="14" t="str">
        <f t="shared" si="5"/>
        <v>Comment is required</v>
      </c>
      <c r="Q54" s="14" t="str">
        <f t="shared" si="6"/>
        <v>Blank</v>
      </c>
      <c r="R54" s="14" t="str">
        <f t="shared" si="7"/>
        <v>No Override</v>
      </c>
      <c r="S54" s="14">
        <f t="shared" si="8"/>
        <v>3</v>
      </c>
      <c r="T54" s="14" t="str">
        <f t="shared" si="9"/>
        <v/>
      </c>
    </row>
    <row r="55" spans="1:20" x14ac:dyDescent="0.3">
      <c r="A55" s="224">
        <v>4</v>
      </c>
      <c r="C55" s="14">
        <f t="shared" si="2"/>
        <v>4</v>
      </c>
      <c r="D55" s="14" t="s">
        <v>327</v>
      </c>
      <c r="E55" s="58" t="s">
        <v>362</v>
      </c>
      <c r="F55" s="84" t="s">
        <v>360</v>
      </c>
      <c r="G55" s="173" t="s">
        <v>363</v>
      </c>
      <c r="H55" s="170" t="str">
        <f>'3. Audit and Accountability'!$J11</f>
        <v>Comment is required</v>
      </c>
      <c r="I55" s="14">
        <f>'3. Audit and Accountability'!$I11</f>
        <v>0</v>
      </c>
      <c r="J55" s="14" t="str">
        <f>IF($I55="Yes","Inadequate",IF($I55="No","Adequate",IF($I55="Partial","Inadequate",IF($I55="N/A","Inadequate",IF(OR($I55="",$I55=0),"Blank","Error")))))</f>
        <v>Blank</v>
      </c>
      <c r="K55" s="155" t="s">
        <v>1131</v>
      </c>
      <c r="L55" s="14" t="str">
        <f t="shared" si="1"/>
        <v>Blank</v>
      </c>
      <c r="N55" s="14" t="str">
        <f t="shared" si="3"/>
        <v/>
      </c>
      <c r="O55" s="14" t="str">
        <f t="shared" si="4"/>
        <v/>
      </c>
      <c r="P55" s="14" t="str">
        <f t="shared" si="5"/>
        <v>Comment is required</v>
      </c>
      <c r="Q55" s="14" t="str">
        <f t="shared" si="6"/>
        <v>Blank</v>
      </c>
      <c r="R55" s="14" t="str">
        <f t="shared" si="7"/>
        <v>No Override</v>
      </c>
      <c r="S55" s="14">
        <f t="shared" si="8"/>
        <v>4</v>
      </c>
      <c r="T55" s="14" t="str">
        <f t="shared" si="9"/>
        <v/>
      </c>
    </row>
    <row r="56" spans="1:20" x14ac:dyDescent="0.3">
      <c r="A56" s="224">
        <v>2</v>
      </c>
      <c r="C56" s="14">
        <f t="shared" si="2"/>
        <v>2</v>
      </c>
      <c r="D56" s="14" t="s">
        <v>327</v>
      </c>
      <c r="E56" s="58" t="s">
        <v>364</v>
      </c>
      <c r="F56" s="84" t="s">
        <v>366</v>
      </c>
      <c r="G56" s="172" t="s">
        <v>367</v>
      </c>
      <c r="H56" s="170" t="str">
        <f>'3. Audit and Accountability'!$J12</f>
        <v>Comment is required</v>
      </c>
      <c r="I56" s="14">
        <f>'3. Audit and Accountability'!$I12</f>
        <v>0</v>
      </c>
      <c r="J56" s="14" t="str">
        <f t="shared" ref="J56:J63" si="12">IF($I56="Yes","Adequate",IF($I56="No","Inadequate",IF($I56="Partial","Inadequate",IF($I56="N/A","Inadequate",IF(OR($I56="",$I56=0),"Blank","Error")))))</f>
        <v>Blank</v>
      </c>
      <c r="K56" s="155" t="s">
        <v>1131</v>
      </c>
      <c r="L56" s="14" t="str">
        <f t="shared" si="1"/>
        <v>Blank</v>
      </c>
      <c r="N56" s="14" t="str">
        <f t="shared" si="3"/>
        <v/>
      </c>
      <c r="O56" s="14" t="str">
        <f t="shared" si="4"/>
        <v/>
      </c>
      <c r="P56" s="14" t="str">
        <f t="shared" si="5"/>
        <v>Comment is required</v>
      </c>
      <c r="Q56" s="14" t="str">
        <f t="shared" si="6"/>
        <v>Blank</v>
      </c>
      <c r="R56" s="14" t="str">
        <f t="shared" si="7"/>
        <v>No Override</v>
      </c>
      <c r="S56" s="14">
        <f t="shared" si="8"/>
        <v>2</v>
      </c>
      <c r="T56" s="14" t="str">
        <f t="shared" si="9"/>
        <v/>
      </c>
    </row>
    <row r="57" spans="1:20" x14ac:dyDescent="0.3">
      <c r="A57" s="224">
        <v>2</v>
      </c>
      <c r="C57" s="14">
        <f t="shared" si="2"/>
        <v>2</v>
      </c>
      <c r="D57" s="14" t="s">
        <v>327</v>
      </c>
      <c r="E57" s="58" t="s">
        <v>368</v>
      </c>
      <c r="F57" s="84" t="s">
        <v>370</v>
      </c>
      <c r="G57" s="174" t="s">
        <v>371</v>
      </c>
      <c r="H57" s="170" t="str">
        <f>'3. Audit and Accountability'!$J13</f>
        <v>Comment is required</v>
      </c>
      <c r="I57" s="14">
        <f>'3. Audit and Accountability'!$I13</f>
        <v>0</v>
      </c>
      <c r="J57" s="14" t="str">
        <f t="shared" si="12"/>
        <v>Blank</v>
      </c>
      <c r="K57" s="155" t="s">
        <v>1131</v>
      </c>
      <c r="L57" s="14" t="str">
        <f t="shared" si="1"/>
        <v>Blank</v>
      </c>
      <c r="N57" s="14" t="str">
        <f t="shared" si="3"/>
        <v/>
      </c>
      <c r="O57" s="14" t="str">
        <f t="shared" si="4"/>
        <v/>
      </c>
      <c r="P57" s="14" t="str">
        <f t="shared" si="5"/>
        <v>Comment is required</v>
      </c>
      <c r="Q57" s="14" t="str">
        <f t="shared" si="6"/>
        <v>Blank</v>
      </c>
      <c r="R57" s="14" t="str">
        <f t="shared" si="7"/>
        <v>No Override</v>
      </c>
      <c r="S57" s="14">
        <f t="shared" si="8"/>
        <v>2</v>
      </c>
      <c r="T57" s="14" t="str">
        <f t="shared" si="9"/>
        <v/>
      </c>
    </row>
    <row r="58" spans="1:20" x14ac:dyDescent="0.3">
      <c r="A58" s="224">
        <v>3</v>
      </c>
      <c r="C58" s="14">
        <f t="shared" si="2"/>
        <v>3</v>
      </c>
      <c r="D58" s="14" t="s">
        <v>327</v>
      </c>
      <c r="E58" s="58" t="s">
        <v>372</v>
      </c>
      <c r="F58" s="84" t="s">
        <v>374</v>
      </c>
      <c r="G58" s="172" t="s">
        <v>375</v>
      </c>
      <c r="H58" s="170" t="str">
        <f>'3. Audit and Accountability'!$J14</f>
        <v>Comment is required</v>
      </c>
      <c r="I58" s="14">
        <f>'3. Audit and Accountability'!$I14</f>
        <v>0</v>
      </c>
      <c r="J58" s="14" t="str">
        <f t="shared" si="12"/>
        <v>Blank</v>
      </c>
      <c r="K58" s="155" t="s">
        <v>1131</v>
      </c>
      <c r="L58" s="14" t="str">
        <f t="shared" si="1"/>
        <v>Blank</v>
      </c>
      <c r="N58" s="14" t="str">
        <f t="shared" si="3"/>
        <v/>
      </c>
      <c r="O58" s="14" t="str">
        <f t="shared" si="4"/>
        <v/>
      </c>
      <c r="P58" s="14" t="str">
        <f t="shared" si="5"/>
        <v>Comment is required</v>
      </c>
      <c r="Q58" s="14" t="str">
        <f t="shared" si="6"/>
        <v>Blank</v>
      </c>
      <c r="R58" s="14" t="str">
        <f t="shared" si="7"/>
        <v>No Override</v>
      </c>
      <c r="S58" s="14">
        <f t="shared" si="8"/>
        <v>3</v>
      </c>
      <c r="T58" s="14" t="str">
        <f t="shared" si="9"/>
        <v/>
      </c>
    </row>
    <row r="59" spans="1:20" x14ac:dyDescent="0.3">
      <c r="A59" s="224">
        <v>3</v>
      </c>
      <c r="C59" s="14">
        <f t="shared" si="2"/>
        <v>3</v>
      </c>
      <c r="D59" s="14" t="s">
        <v>327</v>
      </c>
      <c r="E59" s="58" t="s">
        <v>376</v>
      </c>
      <c r="F59" s="84" t="s">
        <v>378</v>
      </c>
      <c r="G59" s="172" t="s">
        <v>379</v>
      </c>
      <c r="H59" s="170" t="str">
        <f>'3. Audit and Accountability'!$J15</f>
        <v>Comment is required</v>
      </c>
      <c r="I59" s="14">
        <f>'3. Audit and Accountability'!$I15</f>
        <v>0</v>
      </c>
      <c r="J59" s="14" t="str">
        <f t="shared" si="12"/>
        <v>Blank</v>
      </c>
      <c r="K59" s="155" t="s">
        <v>1131</v>
      </c>
      <c r="L59" s="14" t="str">
        <f t="shared" si="1"/>
        <v>Blank</v>
      </c>
      <c r="N59" s="14" t="str">
        <f t="shared" si="3"/>
        <v/>
      </c>
      <c r="O59" s="14" t="str">
        <f t="shared" si="4"/>
        <v/>
      </c>
      <c r="P59" s="14" t="str">
        <f t="shared" si="5"/>
        <v>Comment is required</v>
      </c>
      <c r="Q59" s="14" t="str">
        <f t="shared" si="6"/>
        <v>Blank</v>
      </c>
      <c r="R59" s="14" t="str">
        <f t="shared" si="7"/>
        <v>No Override</v>
      </c>
      <c r="S59" s="14">
        <f t="shared" si="8"/>
        <v>3</v>
      </c>
      <c r="T59" s="14" t="str">
        <f t="shared" si="9"/>
        <v/>
      </c>
    </row>
    <row r="60" spans="1:20" ht="24" x14ac:dyDescent="0.3">
      <c r="A60" s="224">
        <v>4</v>
      </c>
      <c r="C60" s="14">
        <f t="shared" si="2"/>
        <v>4</v>
      </c>
      <c r="D60" s="14" t="s">
        <v>1134</v>
      </c>
      <c r="E60" s="58" t="s">
        <v>381</v>
      </c>
      <c r="F60" s="82" t="s">
        <v>384</v>
      </c>
      <c r="G60" s="175" t="s">
        <v>385</v>
      </c>
      <c r="H60" s="175" t="str">
        <f>'4. Security Assessment'!$J3</f>
        <v>Comment is required</v>
      </c>
      <c r="I60" s="14">
        <f>'4. Security Assessment'!$I3</f>
        <v>0</v>
      </c>
      <c r="J60" s="14" t="str">
        <f t="shared" si="12"/>
        <v>Blank</v>
      </c>
      <c r="K60" s="155" t="s">
        <v>1131</v>
      </c>
      <c r="L60" s="14" t="str">
        <f t="shared" si="1"/>
        <v>Blank</v>
      </c>
      <c r="N60" s="14" t="str">
        <f t="shared" si="3"/>
        <v/>
      </c>
      <c r="O60" s="14" t="str">
        <f t="shared" si="4"/>
        <v/>
      </c>
      <c r="P60" s="14" t="str">
        <f t="shared" si="5"/>
        <v>Comment is required</v>
      </c>
      <c r="Q60" s="14" t="str">
        <f t="shared" si="6"/>
        <v>Blank</v>
      </c>
      <c r="R60" s="14" t="str">
        <f t="shared" si="7"/>
        <v>No Override</v>
      </c>
      <c r="S60" s="14">
        <f t="shared" si="8"/>
        <v>4</v>
      </c>
      <c r="T60" s="14" t="str">
        <f t="shared" si="9"/>
        <v/>
      </c>
    </row>
    <row r="61" spans="1:20" ht="34.200000000000003" x14ac:dyDescent="0.3">
      <c r="A61" s="224">
        <v>3</v>
      </c>
      <c r="C61" s="14">
        <f t="shared" si="2"/>
        <v>3</v>
      </c>
      <c r="D61" s="14" t="s">
        <v>1134</v>
      </c>
      <c r="E61" s="58" t="s">
        <v>386</v>
      </c>
      <c r="F61" s="82" t="s">
        <v>389</v>
      </c>
      <c r="G61" s="176" t="s">
        <v>390</v>
      </c>
      <c r="H61" s="175" t="str">
        <f>'4. Security Assessment'!$J4</f>
        <v>Comment is required</v>
      </c>
      <c r="I61" s="14">
        <f>'4. Security Assessment'!$I4</f>
        <v>0</v>
      </c>
      <c r="J61" s="14" t="str">
        <f t="shared" si="12"/>
        <v>Blank</v>
      </c>
      <c r="K61" s="155" t="s">
        <v>1131</v>
      </c>
      <c r="L61" s="14" t="str">
        <f t="shared" si="1"/>
        <v>Blank</v>
      </c>
      <c r="N61" s="14" t="str">
        <f t="shared" si="3"/>
        <v/>
      </c>
      <c r="O61" s="14" t="str">
        <f t="shared" si="4"/>
        <v/>
      </c>
      <c r="P61" s="14" t="str">
        <f t="shared" si="5"/>
        <v>Comment is required</v>
      </c>
      <c r="Q61" s="14" t="str">
        <f t="shared" si="6"/>
        <v>Blank</v>
      </c>
      <c r="R61" s="14" t="str">
        <f t="shared" si="7"/>
        <v>No Override</v>
      </c>
      <c r="S61" s="14">
        <f t="shared" si="8"/>
        <v>3</v>
      </c>
      <c r="T61" s="14" t="str">
        <f t="shared" si="9"/>
        <v/>
      </c>
    </row>
    <row r="62" spans="1:20" ht="34.200000000000003" x14ac:dyDescent="0.3">
      <c r="A62" s="224">
        <v>3</v>
      </c>
      <c r="C62" s="14">
        <f t="shared" si="2"/>
        <v>3</v>
      </c>
      <c r="D62" s="14" t="s">
        <v>1134</v>
      </c>
      <c r="E62" s="58" t="s">
        <v>391</v>
      </c>
      <c r="F62" s="82" t="s">
        <v>389</v>
      </c>
      <c r="G62" s="176" t="s">
        <v>392</v>
      </c>
      <c r="H62" s="175" t="str">
        <f>'4. Security Assessment'!$J5</f>
        <v>Comment is required</v>
      </c>
      <c r="I62" s="14">
        <f>'4. Security Assessment'!$I5</f>
        <v>0</v>
      </c>
      <c r="J62" s="14" t="str">
        <f t="shared" si="12"/>
        <v>Blank</v>
      </c>
      <c r="K62" s="155" t="s">
        <v>1131</v>
      </c>
      <c r="L62" s="14" t="str">
        <f t="shared" si="1"/>
        <v>Blank</v>
      </c>
      <c r="N62" s="14" t="str">
        <f t="shared" si="3"/>
        <v/>
      </c>
      <c r="O62" s="14" t="str">
        <f t="shared" si="4"/>
        <v/>
      </c>
      <c r="P62" s="14" t="str">
        <f t="shared" si="5"/>
        <v>Comment is required</v>
      </c>
      <c r="Q62" s="14" t="str">
        <f t="shared" si="6"/>
        <v>Blank</v>
      </c>
      <c r="R62" s="14" t="str">
        <f t="shared" si="7"/>
        <v>No Override</v>
      </c>
      <c r="S62" s="14">
        <f t="shared" si="8"/>
        <v>3</v>
      </c>
      <c r="T62" s="14" t="str">
        <f t="shared" si="9"/>
        <v/>
      </c>
    </row>
    <row r="63" spans="1:20" ht="22.8" x14ac:dyDescent="0.3">
      <c r="A63" s="224">
        <v>3</v>
      </c>
      <c r="C63" s="14">
        <f t="shared" si="2"/>
        <v>3</v>
      </c>
      <c r="D63" s="14" t="s">
        <v>1134</v>
      </c>
      <c r="E63" s="58" t="s">
        <v>393</v>
      </c>
      <c r="F63" s="82" t="s">
        <v>389</v>
      </c>
      <c r="G63" s="176" t="s">
        <v>394</v>
      </c>
      <c r="H63" s="175" t="str">
        <f>'4. Security Assessment'!$J6</f>
        <v>Comment is required</v>
      </c>
      <c r="I63" s="14">
        <f>'4. Security Assessment'!$I6</f>
        <v>0</v>
      </c>
      <c r="J63" s="14" t="str">
        <f t="shared" si="12"/>
        <v>Blank</v>
      </c>
      <c r="K63" s="155" t="s">
        <v>1131</v>
      </c>
      <c r="L63" s="14" t="str">
        <f t="shared" si="1"/>
        <v>Blank</v>
      </c>
      <c r="N63" s="14" t="str">
        <f t="shared" si="3"/>
        <v/>
      </c>
      <c r="O63" s="14" t="str">
        <f t="shared" si="4"/>
        <v/>
      </c>
      <c r="P63" s="14" t="str">
        <f t="shared" si="5"/>
        <v>Comment is required</v>
      </c>
      <c r="Q63" s="14" t="str">
        <f t="shared" si="6"/>
        <v>Blank</v>
      </c>
      <c r="R63" s="14" t="str">
        <f t="shared" si="7"/>
        <v>No Override</v>
      </c>
      <c r="S63" s="14">
        <f t="shared" si="8"/>
        <v>3</v>
      </c>
      <c r="T63" s="14" t="str">
        <f t="shared" si="9"/>
        <v/>
      </c>
    </row>
    <row r="64" spans="1:20" x14ac:dyDescent="0.3">
      <c r="A64" s="224">
        <v>4</v>
      </c>
      <c r="C64" s="14">
        <f t="shared" si="2"/>
        <v>4</v>
      </c>
      <c r="D64" s="14" t="s">
        <v>1134</v>
      </c>
      <c r="E64" s="58" t="s">
        <v>395</v>
      </c>
      <c r="F64" s="82" t="s">
        <v>398</v>
      </c>
      <c r="G64" s="170" t="s">
        <v>399</v>
      </c>
      <c r="H64" s="175" t="str">
        <f>'4. Security Assessment'!$J7</f>
        <v>Comment is required</v>
      </c>
      <c r="I64" s="14">
        <f>'4. Security Assessment'!$I7</f>
        <v>0</v>
      </c>
      <c r="J64" s="48" t="str">
        <f>IF(AND($I64="Yes",$I65="Yes",$I66="Yes"),"Adequate",IF(AND($I64="Yes",OR(NOT($I65="Yes"),NOT($I66="Yes"))),"Inadequate",IF($I64="No","N/A",IF($I64="Partial","Inadequate",IF($I64="N/A","N/A",IF(OR($I64="",$I64=0),"Blank","Error"))))))</f>
        <v>Blank</v>
      </c>
      <c r="K64" s="155" t="s">
        <v>1131</v>
      </c>
      <c r="L64" s="14" t="str">
        <f t="shared" si="1"/>
        <v>Blank</v>
      </c>
      <c r="N64" s="14" t="str">
        <f t="shared" si="3"/>
        <v/>
      </c>
      <c r="O64" s="14" t="str">
        <f t="shared" si="4"/>
        <v/>
      </c>
      <c r="P64" s="14" t="str">
        <f t="shared" si="5"/>
        <v>Comment is required</v>
      </c>
      <c r="Q64" s="14" t="str">
        <f t="shared" si="6"/>
        <v>Blank</v>
      </c>
      <c r="R64" s="14" t="str">
        <f t="shared" si="7"/>
        <v>No Override</v>
      </c>
      <c r="S64" s="14">
        <f t="shared" si="8"/>
        <v>4</v>
      </c>
      <c r="T64" s="14" t="str">
        <f t="shared" si="9"/>
        <v/>
      </c>
    </row>
    <row r="65" spans="1:20" x14ac:dyDescent="0.3">
      <c r="A65" s="224">
        <v>1</v>
      </c>
      <c r="C65" s="14">
        <f t="shared" si="2"/>
        <v>1</v>
      </c>
      <c r="D65" s="14" t="s">
        <v>1134</v>
      </c>
      <c r="E65" s="58" t="s">
        <v>400</v>
      </c>
      <c r="F65" s="82" t="s">
        <v>398</v>
      </c>
      <c r="G65" s="170" t="s">
        <v>401</v>
      </c>
      <c r="H65" s="175" t="str">
        <f>'4. Security Assessment'!$J8</f>
        <v>Comment is required</v>
      </c>
      <c r="I65" s="14">
        <f>'4. Security Assessment'!$I8</f>
        <v>0</v>
      </c>
      <c r="J65" s="60" t="str">
        <f>IF(OR($I64="N/A",$I64="No"),"N/A",IF($I65="Yes","Adequate",IF($I65="No","Inadequate",IF($I65="Partial","Inadequate",IF(AND($I65="N/A",NOT($I64="No"),NOT($I64="N/A")),"Inadequate",IF(OR($I65="",$I65=0),"Blank","Error"))))))</f>
        <v>Blank</v>
      </c>
      <c r="K65" s="155" t="s">
        <v>1131</v>
      </c>
      <c r="L65" s="14" t="str">
        <f t="shared" si="1"/>
        <v>Blank</v>
      </c>
      <c r="N65" s="14" t="str">
        <f t="shared" si="3"/>
        <v/>
      </c>
      <c r="O65" s="14" t="str">
        <f t="shared" si="4"/>
        <v/>
      </c>
      <c r="P65" s="14" t="str">
        <f t="shared" si="5"/>
        <v>Comment is required</v>
      </c>
      <c r="Q65" s="14" t="str">
        <f t="shared" si="6"/>
        <v>Blank</v>
      </c>
      <c r="R65" s="14" t="str">
        <f t="shared" si="7"/>
        <v>No Override</v>
      </c>
      <c r="S65" s="14">
        <f t="shared" si="8"/>
        <v>1</v>
      </c>
      <c r="T65" s="14" t="str">
        <f t="shared" si="9"/>
        <v/>
      </c>
    </row>
    <row r="66" spans="1:20" ht="22.8" x14ac:dyDescent="0.3">
      <c r="A66" s="224">
        <v>1</v>
      </c>
      <c r="C66" s="14">
        <f t="shared" si="2"/>
        <v>1</v>
      </c>
      <c r="D66" s="14" t="s">
        <v>1134</v>
      </c>
      <c r="E66" s="58" t="s">
        <v>402</v>
      </c>
      <c r="F66" s="82" t="s">
        <v>398</v>
      </c>
      <c r="G66" s="170" t="s">
        <v>403</v>
      </c>
      <c r="H66" s="175" t="str">
        <f>'4. Security Assessment'!$J9</f>
        <v>Comment is required</v>
      </c>
      <c r="I66" s="14">
        <f>'4. Security Assessment'!$I9</f>
        <v>0</v>
      </c>
      <c r="J66" s="60" t="str">
        <f>IF(OR($I64="N/A",$I64="No"),"N/A",IF($I66="Yes","Adequate",IF($I66="No","Inadequate",IF($I66="Partial","Inadequate",IF(AND($I66="N/A",NOT($I64="No"),NOT($I64="N/A")),"Inadequate",IF(OR($I66="",$I66=0),"Blank","Error"))))))</f>
        <v>Blank</v>
      </c>
      <c r="K66" s="155" t="s">
        <v>1131</v>
      </c>
      <c r="L66" s="14" t="str">
        <f t="shared" si="1"/>
        <v>Blank</v>
      </c>
      <c r="N66" s="14" t="str">
        <f t="shared" si="3"/>
        <v/>
      </c>
      <c r="O66" s="14" t="str">
        <f t="shared" si="4"/>
        <v/>
      </c>
      <c r="P66" s="14" t="str">
        <f t="shared" si="5"/>
        <v>Comment is required</v>
      </c>
      <c r="Q66" s="14" t="str">
        <f t="shared" si="6"/>
        <v>Blank</v>
      </c>
      <c r="R66" s="14" t="str">
        <f t="shared" si="7"/>
        <v>No Override</v>
      </c>
      <c r="S66" s="14">
        <f t="shared" si="8"/>
        <v>1</v>
      </c>
      <c r="T66" s="14" t="str">
        <f t="shared" si="9"/>
        <v/>
      </c>
    </row>
    <row r="67" spans="1:20" x14ac:dyDescent="0.3">
      <c r="A67" s="224">
        <v>2</v>
      </c>
      <c r="C67" s="14">
        <f t="shared" si="2"/>
        <v>2</v>
      </c>
      <c r="D67" s="14" t="s">
        <v>1134</v>
      </c>
      <c r="E67" s="58" t="s">
        <v>404</v>
      </c>
      <c r="F67" s="82" t="s">
        <v>406</v>
      </c>
      <c r="G67" s="176" t="s">
        <v>407</v>
      </c>
      <c r="H67" s="175" t="str">
        <f>'4. Security Assessment'!$J10</f>
        <v>Comment is required</v>
      </c>
      <c r="I67" s="14">
        <f>'4. Security Assessment'!$I10</f>
        <v>0</v>
      </c>
      <c r="J67" s="14" t="str">
        <f>IF($I67="Yes","Adequate",IF($I67="No","Inadequate",IF($I67="Partial","Inadequate",IF($I67="N/A","Inadequate",IF(OR($I67="",$I67=0),"Blank","Error")))))</f>
        <v>Blank</v>
      </c>
      <c r="K67" s="155" t="s">
        <v>1131</v>
      </c>
      <c r="L67" s="14" t="str">
        <f t="shared" si="1"/>
        <v>Blank</v>
      </c>
      <c r="N67" s="14" t="str">
        <f t="shared" si="3"/>
        <v/>
      </c>
      <c r="O67" s="14" t="str">
        <f t="shared" si="4"/>
        <v/>
      </c>
      <c r="P67" s="14" t="str">
        <f t="shared" si="5"/>
        <v>Comment is required</v>
      </c>
      <c r="Q67" s="14" t="str">
        <f t="shared" si="6"/>
        <v>Blank</v>
      </c>
      <c r="R67" s="14" t="str">
        <f t="shared" si="7"/>
        <v>No Override</v>
      </c>
      <c r="S67" s="14">
        <f t="shared" si="8"/>
        <v>2</v>
      </c>
      <c r="T67" s="14" t="str">
        <f t="shared" si="9"/>
        <v/>
      </c>
    </row>
    <row r="68" spans="1:20" ht="22.8" x14ac:dyDescent="0.3">
      <c r="A68" s="224">
        <v>3</v>
      </c>
      <c r="C68" s="14">
        <f t="shared" si="2"/>
        <v>3</v>
      </c>
      <c r="D68" s="14" t="s">
        <v>1134</v>
      </c>
      <c r="E68" s="58" t="s">
        <v>408</v>
      </c>
      <c r="F68" s="82" t="s">
        <v>411</v>
      </c>
      <c r="G68" s="176" t="s">
        <v>412</v>
      </c>
      <c r="H68" s="175" t="str">
        <f>'4. Security Assessment'!$J11</f>
        <v>Comment is required</v>
      </c>
      <c r="I68" s="14">
        <f>'4. Security Assessment'!$I11</f>
        <v>0</v>
      </c>
      <c r="J68" s="48" t="str">
        <f>IF(AND($I68="Yes",$I69="Yes"),"Adequate",IF(AND($I68="Yes",NOT($I69="Yes")),"Inadequate",IF($I68="No","Inadequate",IF($I68="Partial","Inadequate",IF($I68="N/A","Inadequate",IF(OR($I68="",$I68=0),"Blank","Error"))))))</f>
        <v>Blank</v>
      </c>
      <c r="K68" s="155" t="s">
        <v>1131</v>
      </c>
      <c r="L68" s="14" t="str">
        <f t="shared" si="1"/>
        <v>Blank</v>
      </c>
      <c r="N68" s="14" t="str">
        <f t="shared" si="3"/>
        <v/>
      </c>
      <c r="O68" s="14" t="str">
        <f t="shared" si="4"/>
        <v/>
      </c>
      <c r="P68" s="14" t="str">
        <f t="shared" si="5"/>
        <v>Comment is required</v>
      </c>
      <c r="Q68" s="14" t="str">
        <f t="shared" si="6"/>
        <v>Blank</v>
      </c>
      <c r="R68" s="14" t="str">
        <f t="shared" si="7"/>
        <v>No Override</v>
      </c>
      <c r="S68" s="14">
        <f t="shared" si="8"/>
        <v>3</v>
      </c>
      <c r="T68" s="14" t="str">
        <f t="shared" si="9"/>
        <v/>
      </c>
    </row>
    <row r="69" spans="1:20" ht="22.8" x14ac:dyDescent="0.3">
      <c r="A69" s="224">
        <v>3</v>
      </c>
      <c r="C69" s="14">
        <f t="shared" si="2"/>
        <v>3</v>
      </c>
      <c r="D69" s="14" t="s">
        <v>1134</v>
      </c>
      <c r="E69" s="58" t="s">
        <v>413</v>
      </c>
      <c r="F69" s="82" t="s">
        <v>411</v>
      </c>
      <c r="G69" s="176" t="s">
        <v>414</v>
      </c>
      <c r="H69" s="175" t="str">
        <f>'4. Security Assessment'!$J12</f>
        <v>Comment is required</v>
      </c>
      <c r="I69" s="14">
        <f>'4. Security Assessment'!$I12</f>
        <v>0</v>
      </c>
      <c r="J69" s="60" t="str">
        <f>IF($I69="Yes","Adequate",IF($I69="No","Inadequate",IF($I69="Partial","Inadequate",IF(AND($I69="N/A",$I68="No"),"N/A",IF(AND($I69="N/A",NOT($I68="No")),"Inadequate",IF(OR($I69="",$I69=0),"Blank","Error"))))))</f>
        <v>Blank</v>
      </c>
      <c r="K69" s="155" t="s">
        <v>1131</v>
      </c>
      <c r="L69" s="14" t="str">
        <f t="shared" si="1"/>
        <v>Blank</v>
      </c>
      <c r="N69" s="14" t="str">
        <f t="shared" si="3"/>
        <v/>
      </c>
      <c r="O69" s="14" t="str">
        <f t="shared" si="4"/>
        <v/>
      </c>
      <c r="P69" s="14" t="str">
        <f t="shared" si="5"/>
        <v>Comment is required</v>
      </c>
      <c r="Q69" s="14" t="str">
        <f t="shared" si="6"/>
        <v>Blank</v>
      </c>
      <c r="R69" s="14" t="str">
        <f t="shared" si="7"/>
        <v>No Override</v>
      </c>
      <c r="S69" s="14">
        <f t="shared" si="8"/>
        <v>3</v>
      </c>
      <c r="T69" s="14" t="str">
        <f t="shared" si="9"/>
        <v/>
      </c>
    </row>
    <row r="70" spans="1:20" x14ac:dyDescent="0.3">
      <c r="A70" s="224">
        <v>1</v>
      </c>
      <c r="C70" s="14">
        <f t="shared" si="2"/>
        <v>1</v>
      </c>
      <c r="D70" s="14" t="s">
        <v>1134</v>
      </c>
      <c r="E70" s="58" t="s">
        <v>415</v>
      </c>
      <c r="F70" s="82" t="s">
        <v>418</v>
      </c>
      <c r="G70" s="170" t="s">
        <v>419</v>
      </c>
      <c r="H70" s="175" t="str">
        <f>'4. Security Assessment'!$J13</f>
        <v>Comment is required</v>
      </c>
      <c r="I70" s="14">
        <f>'4. Security Assessment'!$I13</f>
        <v>0</v>
      </c>
      <c r="J70" s="14" t="str">
        <f>IF($I70="Yes","Adequate",IF($I70="No","Inadequate",IF($I70="Partial","Inadequate",IF($I70="N/A","Inadequate",IF(OR($I70="",$I70=0),"Blank","Error")))))</f>
        <v>Blank</v>
      </c>
      <c r="K70" s="155" t="s">
        <v>1131</v>
      </c>
      <c r="L70" s="14" t="str">
        <f t="shared" si="1"/>
        <v>Blank</v>
      </c>
      <c r="N70" s="14" t="str">
        <f t="shared" si="3"/>
        <v/>
      </c>
      <c r="O70" s="14" t="str">
        <f t="shared" si="4"/>
        <v/>
      </c>
      <c r="P70" s="14" t="str">
        <f t="shared" si="5"/>
        <v>Comment is required</v>
      </c>
      <c r="Q70" s="14" t="str">
        <f t="shared" si="6"/>
        <v>Blank</v>
      </c>
      <c r="R70" s="14" t="str">
        <f t="shared" si="7"/>
        <v>No Override</v>
      </c>
      <c r="S70" s="14">
        <f t="shared" si="8"/>
        <v>1</v>
      </c>
      <c r="T70" s="14" t="str">
        <f t="shared" si="9"/>
        <v/>
      </c>
    </row>
    <row r="71" spans="1:20" x14ac:dyDescent="0.3">
      <c r="A71" s="224">
        <v>1</v>
      </c>
      <c r="C71" s="14">
        <f t="shared" si="2"/>
        <v>1</v>
      </c>
      <c r="D71" s="14" t="s">
        <v>1134</v>
      </c>
      <c r="E71" s="58" t="s">
        <v>420</v>
      </c>
      <c r="F71" s="82" t="s">
        <v>418</v>
      </c>
      <c r="G71" s="170" t="s">
        <v>421</v>
      </c>
      <c r="H71" s="175" t="str">
        <f>'4. Security Assessment'!$J14</f>
        <v>Comment is required</v>
      </c>
      <c r="I71" s="14">
        <f>'4. Security Assessment'!$I14</f>
        <v>0</v>
      </c>
      <c r="J71" s="14" t="str">
        <f>IF($I71="Yes","Adequate",IF($I71="No","Inadequate",IF($I71="Partial","Inadequate",IF($I71="N/A","Inadequate",IF(OR($I71="",$I71=0),"Blank","Error")))))</f>
        <v>Blank</v>
      </c>
      <c r="K71" s="155" t="s">
        <v>1131</v>
      </c>
      <c r="L71" s="14" t="str">
        <f t="shared" si="1"/>
        <v>Blank</v>
      </c>
      <c r="N71" s="14" t="str">
        <f t="shared" si="3"/>
        <v/>
      </c>
      <c r="O71" s="14" t="str">
        <f t="shared" si="4"/>
        <v/>
      </c>
      <c r="P71" s="14" t="str">
        <f t="shared" si="5"/>
        <v>Comment is required</v>
      </c>
      <c r="Q71" s="14" t="str">
        <f t="shared" si="6"/>
        <v>Blank</v>
      </c>
      <c r="R71" s="14" t="str">
        <f t="shared" si="7"/>
        <v>No Override</v>
      </c>
      <c r="S71" s="14">
        <f t="shared" si="8"/>
        <v>1</v>
      </c>
      <c r="T71" s="14" t="str">
        <f t="shared" si="9"/>
        <v/>
      </c>
    </row>
    <row r="72" spans="1:20" x14ac:dyDescent="0.3">
      <c r="A72" s="224">
        <v>1</v>
      </c>
      <c r="C72" s="14">
        <f t="shared" si="2"/>
        <v>1</v>
      </c>
      <c r="D72" s="14" t="s">
        <v>1134</v>
      </c>
      <c r="E72" s="58" t="s">
        <v>422</v>
      </c>
      <c r="F72" s="82" t="s">
        <v>418</v>
      </c>
      <c r="G72" s="170" t="s">
        <v>423</v>
      </c>
      <c r="H72" s="175" t="str">
        <f>'4. Security Assessment'!$J15</f>
        <v>Comment is required</v>
      </c>
      <c r="I72" s="14">
        <f>'4. Security Assessment'!$I15</f>
        <v>0</v>
      </c>
      <c r="J72" s="14" t="str">
        <f>IF($I72="Yes","Adequate",IF($I72="No","Inadequate",IF($I72="Partial","Inadequate",IF($I72="N/A","Inadequate",IF(OR($I72="",$I72=0),"Blank","Error")))))</f>
        <v>Blank</v>
      </c>
      <c r="K72" s="155" t="s">
        <v>1131</v>
      </c>
      <c r="L72" s="14" t="str">
        <f t="shared" si="1"/>
        <v>Blank</v>
      </c>
      <c r="N72" s="14" t="str">
        <f t="shared" si="3"/>
        <v/>
      </c>
      <c r="O72" s="14" t="str">
        <f t="shared" si="4"/>
        <v/>
      </c>
      <c r="P72" s="14" t="str">
        <f t="shared" si="5"/>
        <v>Comment is required</v>
      </c>
      <c r="Q72" s="14" t="str">
        <f t="shared" si="6"/>
        <v>Blank</v>
      </c>
      <c r="R72" s="14" t="str">
        <f t="shared" si="7"/>
        <v>No Override</v>
      </c>
      <c r="S72" s="14">
        <f t="shared" si="8"/>
        <v>1</v>
      </c>
      <c r="T72" s="14" t="str">
        <f t="shared" si="9"/>
        <v/>
      </c>
    </row>
    <row r="73" spans="1:20" x14ac:dyDescent="0.3">
      <c r="A73" s="224">
        <v>1</v>
      </c>
      <c r="C73" s="14">
        <f t="shared" si="2"/>
        <v>1</v>
      </c>
      <c r="D73" s="14" t="s">
        <v>1134</v>
      </c>
      <c r="E73" s="58" t="s">
        <v>424</v>
      </c>
      <c r="F73" s="82" t="s">
        <v>418</v>
      </c>
      <c r="G73" s="170" t="s">
        <v>425</v>
      </c>
      <c r="H73" s="175" t="str">
        <f>'4. Security Assessment'!$J16</f>
        <v>Comment is required</v>
      </c>
      <c r="I73" s="14">
        <f>'4. Security Assessment'!$I16</f>
        <v>0</v>
      </c>
      <c r="J73" s="14" t="str">
        <f>IF($I73="Yes","Adequate",IF($I73="No","Inadequate",IF($I73="Partial","Inadequate",IF($I73="N/A","Inadequate",IF(OR($I73="",$I73=0),"Blank","Error")))))</f>
        <v>Blank</v>
      </c>
      <c r="K73" s="155" t="s">
        <v>1131</v>
      </c>
      <c r="L73" s="14" t="str">
        <f t="shared" si="1"/>
        <v>Blank</v>
      </c>
      <c r="N73" s="14" t="str">
        <f t="shared" si="3"/>
        <v/>
      </c>
      <c r="O73" s="14" t="str">
        <f t="shared" si="4"/>
        <v/>
      </c>
      <c r="P73" s="14" t="str">
        <f t="shared" si="5"/>
        <v>Comment is required</v>
      </c>
      <c r="Q73" s="14" t="str">
        <f t="shared" si="6"/>
        <v>Blank</v>
      </c>
      <c r="R73" s="14" t="str">
        <f t="shared" si="7"/>
        <v>No Override</v>
      </c>
      <c r="S73" s="14">
        <f t="shared" si="8"/>
        <v>1</v>
      </c>
      <c r="T73" s="14" t="str">
        <f t="shared" si="9"/>
        <v/>
      </c>
    </row>
    <row r="74" spans="1:20" x14ac:dyDescent="0.3">
      <c r="A74" s="224">
        <v>1</v>
      </c>
      <c r="C74" s="14">
        <f t="shared" si="2"/>
        <v>1</v>
      </c>
      <c r="D74" s="14" t="s">
        <v>1134</v>
      </c>
      <c r="E74" s="58" t="s">
        <v>426</v>
      </c>
      <c r="F74" s="82" t="s">
        <v>428</v>
      </c>
      <c r="G74" s="170" t="s">
        <v>429</v>
      </c>
      <c r="H74" s="175" t="str">
        <f>'4. Security Assessment'!$J17</f>
        <v>Comment is required</v>
      </c>
      <c r="I74" s="14">
        <f>'4. Security Assessment'!$I17</f>
        <v>0</v>
      </c>
      <c r="J74" s="14" t="str">
        <f>IF($I74="Yes","Adequate",IF($I74="No","Inadequate",IF($I74="Partial","Inadequate",IF($I74="N/A","Inadequate",IF(OR($I74="",$I74=0),"Blank","Error")))))</f>
        <v>Blank</v>
      </c>
      <c r="K74" s="155" t="s">
        <v>1131</v>
      </c>
      <c r="L74" s="14" t="str">
        <f t="shared" si="1"/>
        <v>Blank</v>
      </c>
      <c r="N74" s="14" t="str">
        <f t="shared" si="3"/>
        <v/>
      </c>
      <c r="O74" s="14" t="str">
        <f t="shared" si="4"/>
        <v/>
      </c>
      <c r="P74" s="14" t="str">
        <f t="shared" si="5"/>
        <v>Comment is required</v>
      </c>
      <c r="Q74" s="14" t="str">
        <f t="shared" si="6"/>
        <v>Blank</v>
      </c>
      <c r="R74" s="14" t="str">
        <f t="shared" si="7"/>
        <v>No Override</v>
      </c>
      <c r="S74" s="14">
        <f t="shared" si="8"/>
        <v>1</v>
      </c>
      <c r="T74" s="14" t="str">
        <f t="shared" si="9"/>
        <v/>
      </c>
    </row>
    <row r="75" spans="1:20" ht="22.8" x14ac:dyDescent="0.3">
      <c r="A75" s="224">
        <v>4</v>
      </c>
      <c r="C75" s="14">
        <f t="shared" si="2"/>
        <v>4</v>
      </c>
      <c r="D75" s="14" t="s">
        <v>1134</v>
      </c>
      <c r="E75" s="58" t="s">
        <v>430</v>
      </c>
      <c r="F75" s="82" t="s">
        <v>432</v>
      </c>
      <c r="G75" s="170" t="s">
        <v>433</v>
      </c>
      <c r="H75" s="175" t="str">
        <f>'4. Security Assessment'!$J18</f>
        <v>Comment is required</v>
      </c>
      <c r="I75" s="14">
        <f>'4. Security Assessment'!$I18</f>
        <v>0</v>
      </c>
      <c r="J75" s="48" t="str">
        <f>IF(AND($I75="Yes",$I76="Yes"),"Adequate",IF(AND($I75="Yes",NOT($I76="Yes")),"Inadequate",IF($I75="No","N/A",IF($I75="Partial","Inadequate",IF($I75="N/A","N/A",IF(OR($I75="",$I75=0),"Blank","Error"))))))</f>
        <v>Blank</v>
      </c>
      <c r="K75" s="155" t="s">
        <v>1131</v>
      </c>
      <c r="L75" s="14" t="str">
        <f t="shared" si="1"/>
        <v>Blank</v>
      </c>
      <c r="N75" s="14" t="str">
        <f t="shared" si="3"/>
        <v/>
      </c>
      <c r="O75" s="14" t="str">
        <f t="shared" si="4"/>
        <v/>
      </c>
      <c r="P75" s="14" t="str">
        <f t="shared" si="5"/>
        <v>Comment is required</v>
      </c>
      <c r="Q75" s="14" t="str">
        <f t="shared" si="6"/>
        <v>Blank</v>
      </c>
      <c r="R75" s="14" t="str">
        <f t="shared" si="7"/>
        <v>No Override</v>
      </c>
      <c r="S75" s="14">
        <f t="shared" si="8"/>
        <v>4</v>
      </c>
      <c r="T75" s="14" t="str">
        <f t="shared" si="9"/>
        <v/>
      </c>
    </row>
    <row r="76" spans="1:20" ht="22.8" x14ac:dyDescent="0.3">
      <c r="A76" s="224">
        <v>1</v>
      </c>
      <c r="C76" s="14">
        <f t="shared" si="2"/>
        <v>1</v>
      </c>
      <c r="D76" s="14" t="s">
        <v>1134</v>
      </c>
      <c r="E76" s="58" t="s">
        <v>434</v>
      </c>
      <c r="F76" s="84" t="s">
        <v>432</v>
      </c>
      <c r="G76" s="170" t="s">
        <v>435</v>
      </c>
      <c r="H76" s="175" t="str">
        <f>'4. Security Assessment'!$J19</f>
        <v>Comment is required</v>
      </c>
      <c r="I76" s="14">
        <f>'4. Security Assessment'!$I19</f>
        <v>0</v>
      </c>
      <c r="J76" s="60" t="str">
        <f>IF(OR($I75="N/A",$I75="No"),"N/A",IF($I76="Yes","Adequate",IF($I76="No","Inadequate",IF($I76="Partial","Inadequate",IF(AND($I76="N/A",NOT($I75="No"),NOT($I75="N/A")),"Inadequate",IF(OR($I76="",$I76=0),"Blank","Error"))))))</f>
        <v>Blank</v>
      </c>
      <c r="K76" s="155" t="s">
        <v>1131</v>
      </c>
      <c r="L76" s="14" t="str">
        <f t="shared" ref="L76:L144" si="13">IF($K76="No Override",$J76,$K76)</f>
        <v>Blank</v>
      </c>
      <c r="N76" s="14" t="str">
        <f t="shared" si="3"/>
        <v/>
      </c>
      <c r="O76" s="14" t="str">
        <f t="shared" si="4"/>
        <v/>
      </c>
      <c r="P76" s="14" t="str">
        <f t="shared" si="5"/>
        <v>Comment is required</v>
      </c>
      <c r="Q76" s="14" t="str">
        <f t="shared" si="6"/>
        <v>Blank</v>
      </c>
      <c r="R76" s="14" t="str">
        <f t="shared" si="7"/>
        <v>No Override</v>
      </c>
      <c r="S76" s="14">
        <f t="shared" si="8"/>
        <v>1</v>
      </c>
      <c r="T76" s="14" t="str">
        <f t="shared" si="9"/>
        <v/>
      </c>
    </row>
    <row r="77" spans="1:20" ht="22.8" x14ac:dyDescent="0.3">
      <c r="A77" s="224">
        <v>4</v>
      </c>
      <c r="C77" s="14">
        <f t="shared" ref="C77:C145" si="14">IF($B77="",$A77,$B77)</f>
        <v>4</v>
      </c>
      <c r="D77" s="14" t="s">
        <v>436</v>
      </c>
      <c r="E77" s="58" t="s">
        <v>437</v>
      </c>
      <c r="F77" s="82" t="s">
        <v>439</v>
      </c>
      <c r="G77" s="170" t="s">
        <v>440</v>
      </c>
      <c r="H77" s="170" t="str">
        <f>'5. Configuration'!$J3</f>
        <v>Comment is required</v>
      </c>
      <c r="I77" s="14">
        <f>'5. Configuration'!$I3</f>
        <v>0</v>
      </c>
      <c r="J77" s="14" t="str">
        <f t="shared" ref="J77:J116" si="15">IF($I77="Yes","Adequate",IF($I77="No","Inadequate",IF($I77="Partial","Inadequate",IF($I77="N/A","Inadequate",IF(OR($I77="",$I77=0),"Blank","Error")))))</f>
        <v>Blank</v>
      </c>
      <c r="K77" s="155" t="s">
        <v>1131</v>
      </c>
      <c r="L77" s="14" t="str">
        <f t="shared" si="13"/>
        <v>Blank</v>
      </c>
      <c r="N77" s="14" t="str">
        <f t="shared" ref="N77:N145" si="16">IF($J77=$L77,"","***")</f>
        <v/>
      </c>
      <c r="O77" s="14" t="str">
        <f t="shared" ref="O77:O145" si="17">IF(OR($I77="",$I77=0),"",$I77)</f>
        <v/>
      </c>
      <c r="P77" s="14" t="str">
        <f t="shared" ref="P77:P145" si="18">IF(OR($H77="",$H77=0),"",$H77)</f>
        <v>Comment is required</v>
      </c>
      <c r="Q77" s="14" t="str">
        <f t="shared" ref="Q77:Q145" si="19">$L77</f>
        <v>Blank</v>
      </c>
      <c r="R77" s="14" t="str">
        <f t="shared" ref="R77:R145" si="20">$K77</f>
        <v>No Override</v>
      </c>
      <c r="S77" s="14">
        <f t="shared" ref="S77:S145" si="21">$C77</f>
        <v>4</v>
      </c>
      <c r="T77" s="14" t="str">
        <f t="shared" ref="T77:T145" si="22">IF($L77=$Q77,"","***")</f>
        <v/>
      </c>
    </row>
    <row r="78" spans="1:20" ht="22.8" x14ac:dyDescent="0.3">
      <c r="A78" s="224">
        <v>1</v>
      </c>
      <c r="C78" s="14">
        <f t="shared" si="14"/>
        <v>1</v>
      </c>
      <c r="D78" s="14" t="s">
        <v>436</v>
      </c>
      <c r="E78" s="58" t="s">
        <v>441</v>
      </c>
      <c r="F78" s="82" t="s">
        <v>443</v>
      </c>
      <c r="G78" s="176" t="s">
        <v>444</v>
      </c>
      <c r="H78" s="170" t="str">
        <f>'5. Configuration'!$J4</f>
        <v>Comment is required</v>
      </c>
      <c r="I78" s="14">
        <f>'5. Configuration'!$I4</f>
        <v>0</v>
      </c>
      <c r="J78" s="14" t="str">
        <f t="shared" si="15"/>
        <v>Blank</v>
      </c>
      <c r="K78" s="155" t="s">
        <v>1131</v>
      </c>
      <c r="L78" s="14" t="str">
        <f t="shared" si="13"/>
        <v>Blank</v>
      </c>
      <c r="N78" s="14" t="str">
        <f t="shared" si="16"/>
        <v/>
      </c>
      <c r="O78" s="14" t="str">
        <f t="shared" si="17"/>
        <v/>
      </c>
      <c r="P78" s="14" t="str">
        <f t="shared" si="18"/>
        <v>Comment is required</v>
      </c>
      <c r="Q78" s="14" t="str">
        <f t="shared" si="19"/>
        <v>Blank</v>
      </c>
      <c r="R78" s="14" t="str">
        <f t="shared" si="20"/>
        <v>No Override</v>
      </c>
      <c r="S78" s="14">
        <f t="shared" si="21"/>
        <v>1</v>
      </c>
      <c r="T78" s="14" t="str">
        <f t="shared" si="22"/>
        <v/>
      </c>
    </row>
    <row r="79" spans="1:20" x14ac:dyDescent="0.3">
      <c r="A79" s="224">
        <v>1</v>
      </c>
      <c r="C79" s="14">
        <f t="shared" si="14"/>
        <v>1</v>
      </c>
      <c r="D79" s="14" t="s">
        <v>436</v>
      </c>
      <c r="E79" s="58" t="s">
        <v>445</v>
      </c>
      <c r="F79" s="82" t="s">
        <v>447</v>
      </c>
      <c r="G79" s="176" t="s">
        <v>448</v>
      </c>
      <c r="H79" s="170" t="str">
        <f>'5. Configuration'!$J5</f>
        <v>Comment is required</v>
      </c>
      <c r="I79" s="14">
        <f>'5. Configuration'!$I5</f>
        <v>0</v>
      </c>
      <c r="J79" s="14" t="str">
        <f t="shared" si="15"/>
        <v>Blank</v>
      </c>
      <c r="K79" s="155" t="s">
        <v>1131</v>
      </c>
      <c r="L79" s="14" t="str">
        <f t="shared" si="13"/>
        <v>Blank</v>
      </c>
      <c r="N79" s="14" t="str">
        <f t="shared" si="16"/>
        <v/>
      </c>
      <c r="O79" s="14" t="str">
        <f t="shared" si="17"/>
        <v/>
      </c>
      <c r="P79" s="14" t="str">
        <f t="shared" si="18"/>
        <v>Comment is required</v>
      </c>
      <c r="Q79" s="14" t="str">
        <f t="shared" si="19"/>
        <v>Blank</v>
      </c>
      <c r="R79" s="14" t="str">
        <f t="shared" si="20"/>
        <v>No Override</v>
      </c>
      <c r="S79" s="14">
        <f t="shared" si="21"/>
        <v>1</v>
      </c>
      <c r="T79" s="14" t="str">
        <f t="shared" si="22"/>
        <v/>
      </c>
    </row>
    <row r="80" spans="1:20" ht="22.8" x14ac:dyDescent="0.3">
      <c r="A80" s="224">
        <v>1</v>
      </c>
      <c r="C80" s="14">
        <f t="shared" si="14"/>
        <v>1</v>
      </c>
      <c r="D80" s="14" t="s">
        <v>436</v>
      </c>
      <c r="E80" s="58" t="s">
        <v>449</v>
      </c>
      <c r="F80" s="82" t="s">
        <v>447</v>
      </c>
      <c r="G80" s="176" t="s">
        <v>450</v>
      </c>
      <c r="H80" s="170" t="str">
        <f>'5. Configuration'!$J6</f>
        <v>Comment is required</v>
      </c>
      <c r="I80" s="14">
        <f>'5. Configuration'!$I6</f>
        <v>0</v>
      </c>
      <c r="J80" s="14" t="str">
        <f t="shared" si="15"/>
        <v>Blank</v>
      </c>
      <c r="K80" s="155" t="s">
        <v>1131</v>
      </c>
      <c r="L80" s="14" t="str">
        <f t="shared" si="13"/>
        <v>Blank</v>
      </c>
      <c r="N80" s="14" t="str">
        <f t="shared" si="16"/>
        <v/>
      </c>
      <c r="O80" s="14" t="str">
        <f t="shared" si="17"/>
        <v/>
      </c>
      <c r="P80" s="14" t="str">
        <f t="shared" si="18"/>
        <v>Comment is required</v>
      </c>
      <c r="Q80" s="14" t="str">
        <f t="shared" si="19"/>
        <v>Blank</v>
      </c>
      <c r="R80" s="14" t="str">
        <f t="shared" si="20"/>
        <v>No Override</v>
      </c>
      <c r="S80" s="14">
        <f t="shared" si="21"/>
        <v>1</v>
      </c>
      <c r="T80" s="14" t="str">
        <f t="shared" si="22"/>
        <v/>
      </c>
    </row>
    <row r="81" spans="1:20" x14ac:dyDescent="0.3">
      <c r="A81" s="224">
        <v>1</v>
      </c>
      <c r="C81" s="14">
        <f t="shared" si="14"/>
        <v>1</v>
      </c>
      <c r="D81" s="14" t="s">
        <v>436</v>
      </c>
      <c r="E81" s="58" t="s">
        <v>451</v>
      </c>
      <c r="F81" s="82" t="s">
        <v>447</v>
      </c>
      <c r="G81" s="176" t="s">
        <v>452</v>
      </c>
      <c r="H81" s="170" t="str">
        <f>'5. Configuration'!$J7</f>
        <v>Comment is required</v>
      </c>
      <c r="I81" s="14">
        <f>'5. Configuration'!$I7</f>
        <v>0</v>
      </c>
      <c r="J81" s="14" t="str">
        <f t="shared" si="15"/>
        <v>Blank</v>
      </c>
      <c r="K81" s="155" t="s">
        <v>1131</v>
      </c>
      <c r="L81" s="14" t="str">
        <f t="shared" si="13"/>
        <v>Blank</v>
      </c>
      <c r="N81" s="14" t="str">
        <f t="shared" si="16"/>
        <v/>
      </c>
      <c r="O81" s="14" t="str">
        <f t="shared" si="17"/>
        <v/>
      </c>
      <c r="P81" s="14" t="str">
        <f t="shared" si="18"/>
        <v>Comment is required</v>
      </c>
      <c r="Q81" s="14" t="str">
        <f t="shared" si="19"/>
        <v>Blank</v>
      </c>
      <c r="R81" s="14" t="str">
        <f t="shared" si="20"/>
        <v>No Override</v>
      </c>
      <c r="S81" s="14">
        <f t="shared" si="21"/>
        <v>1</v>
      </c>
      <c r="T81" s="14" t="str">
        <f t="shared" si="22"/>
        <v/>
      </c>
    </row>
    <row r="82" spans="1:20" x14ac:dyDescent="0.3">
      <c r="A82" s="224">
        <v>1</v>
      </c>
      <c r="C82" s="14">
        <f t="shared" si="14"/>
        <v>1</v>
      </c>
      <c r="D82" s="14" t="s">
        <v>436</v>
      </c>
      <c r="E82" s="58" t="s">
        <v>453</v>
      </c>
      <c r="F82" s="82" t="s">
        <v>447</v>
      </c>
      <c r="G82" s="176" t="s">
        <v>454</v>
      </c>
      <c r="H82" s="170" t="str">
        <f>'5. Configuration'!$J8</f>
        <v>Comment is required</v>
      </c>
      <c r="I82" s="14">
        <f>'5. Configuration'!$I8</f>
        <v>0</v>
      </c>
      <c r="J82" s="14" t="str">
        <f t="shared" si="15"/>
        <v>Blank</v>
      </c>
      <c r="K82" s="155" t="s">
        <v>1131</v>
      </c>
      <c r="L82" s="14" t="str">
        <f t="shared" si="13"/>
        <v>Blank</v>
      </c>
      <c r="N82" s="14" t="str">
        <f t="shared" si="16"/>
        <v/>
      </c>
      <c r="O82" s="14" t="str">
        <f t="shared" si="17"/>
        <v/>
      </c>
      <c r="P82" s="14" t="str">
        <f t="shared" si="18"/>
        <v>Comment is required</v>
      </c>
      <c r="Q82" s="14" t="str">
        <f t="shared" si="19"/>
        <v>Blank</v>
      </c>
      <c r="R82" s="14" t="str">
        <f t="shared" si="20"/>
        <v>No Override</v>
      </c>
      <c r="S82" s="14">
        <f t="shared" si="21"/>
        <v>1</v>
      </c>
      <c r="T82" s="14" t="str">
        <f t="shared" si="22"/>
        <v/>
      </c>
    </row>
    <row r="83" spans="1:20" x14ac:dyDescent="0.3">
      <c r="A83" s="224">
        <v>1</v>
      </c>
      <c r="C83" s="14">
        <f t="shared" si="14"/>
        <v>1</v>
      </c>
      <c r="D83" s="14" t="s">
        <v>436</v>
      </c>
      <c r="E83" s="58" t="s">
        <v>455</v>
      </c>
      <c r="F83" s="82" t="s">
        <v>447</v>
      </c>
      <c r="G83" s="176" t="s">
        <v>456</v>
      </c>
      <c r="H83" s="170" t="str">
        <f>'5. Configuration'!$J9</f>
        <v>Comment is required</v>
      </c>
      <c r="I83" s="14">
        <f>'5. Configuration'!$I9</f>
        <v>0</v>
      </c>
      <c r="J83" s="14" t="str">
        <f t="shared" si="15"/>
        <v>Blank</v>
      </c>
      <c r="K83" s="155" t="s">
        <v>1131</v>
      </c>
      <c r="L83" s="14" t="str">
        <f t="shared" si="13"/>
        <v>Blank</v>
      </c>
      <c r="N83" s="14" t="str">
        <f t="shared" si="16"/>
        <v/>
      </c>
      <c r="O83" s="14" t="str">
        <f t="shared" si="17"/>
        <v/>
      </c>
      <c r="P83" s="14" t="str">
        <f t="shared" si="18"/>
        <v>Comment is required</v>
      </c>
      <c r="Q83" s="14" t="str">
        <f t="shared" si="19"/>
        <v>Blank</v>
      </c>
      <c r="R83" s="14" t="str">
        <f t="shared" si="20"/>
        <v>No Override</v>
      </c>
      <c r="S83" s="14">
        <f t="shared" si="21"/>
        <v>1</v>
      </c>
      <c r="T83" s="14" t="str">
        <f t="shared" si="22"/>
        <v/>
      </c>
    </row>
    <row r="84" spans="1:20" x14ac:dyDescent="0.3">
      <c r="A84" s="224">
        <v>1</v>
      </c>
      <c r="C84" s="14">
        <f t="shared" si="14"/>
        <v>1</v>
      </c>
      <c r="D84" s="14" t="s">
        <v>436</v>
      </c>
      <c r="E84" s="58" t="s">
        <v>457</v>
      </c>
      <c r="F84" s="82" t="s">
        <v>447</v>
      </c>
      <c r="G84" s="176" t="s">
        <v>458</v>
      </c>
      <c r="H84" s="170" t="str">
        <f>'5. Configuration'!$J10</f>
        <v>Comment is required</v>
      </c>
      <c r="I84" s="14">
        <f>'5. Configuration'!$I10</f>
        <v>0</v>
      </c>
      <c r="J84" s="14" t="str">
        <f t="shared" si="15"/>
        <v>Blank</v>
      </c>
      <c r="K84" s="155" t="s">
        <v>1131</v>
      </c>
      <c r="L84" s="14" t="str">
        <f t="shared" si="13"/>
        <v>Blank</v>
      </c>
      <c r="N84" s="14" t="str">
        <f t="shared" si="16"/>
        <v/>
      </c>
      <c r="O84" s="14" t="str">
        <f t="shared" si="17"/>
        <v/>
      </c>
      <c r="P84" s="14" t="str">
        <f t="shared" si="18"/>
        <v>Comment is required</v>
      </c>
      <c r="Q84" s="14" t="str">
        <f t="shared" si="19"/>
        <v>Blank</v>
      </c>
      <c r="R84" s="14" t="str">
        <f t="shared" si="20"/>
        <v>No Override</v>
      </c>
      <c r="S84" s="14">
        <f t="shared" si="21"/>
        <v>1</v>
      </c>
      <c r="T84" s="14" t="str">
        <f t="shared" si="22"/>
        <v/>
      </c>
    </row>
    <row r="85" spans="1:20" ht="22.8" x14ac:dyDescent="0.3">
      <c r="A85" s="225">
        <v>3</v>
      </c>
      <c r="C85" s="14">
        <f t="shared" si="14"/>
        <v>3</v>
      </c>
      <c r="D85" s="14" t="s">
        <v>436</v>
      </c>
      <c r="E85" s="58" t="s">
        <v>459</v>
      </c>
      <c r="F85" s="82" t="s">
        <v>461</v>
      </c>
      <c r="G85" s="176" t="s">
        <v>462</v>
      </c>
      <c r="H85" s="170" t="str">
        <f>'5. Configuration'!$J11</f>
        <v>Comment is required</v>
      </c>
      <c r="I85" s="14">
        <f>'5. Configuration'!$I11</f>
        <v>0</v>
      </c>
      <c r="J85" s="14" t="str">
        <f t="shared" si="15"/>
        <v>Blank</v>
      </c>
      <c r="K85" s="155" t="s">
        <v>1131</v>
      </c>
      <c r="L85" s="14" t="str">
        <f t="shared" si="13"/>
        <v>Blank</v>
      </c>
      <c r="N85" s="14" t="str">
        <f t="shared" si="16"/>
        <v/>
      </c>
      <c r="O85" s="14" t="str">
        <f t="shared" si="17"/>
        <v/>
      </c>
      <c r="P85" s="14" t="str">
        <f t="shared" si="18"/>
        <v>Comment is required</v>
      </c>
      <c r="Q85" s="14" t="str">
        <f t="shared" si="19"/>
        <v>Blank</v>
      </c>
      <c r="R85" s="14" t="str">
        <f t="shared" si="20"/>
        <v>No Override</v>
      </c>
      <c r="S85" s="14">
        <f t="shared" si="21"/>
        <v>3</v>
      </c>
      <c r="T85" s="14" t="str">
        <f t="shared" si="22"/>
        <v/>
      </c>
    </row>
    <row r="86" spans="1:20" ht="22.8" x14ac:dyDescent="0.3">
      <c r="A86" s="224">
        <v>1</v>
      </c>
      <c r="C86" s="14">
        <f t="shared" si="14"/>
        <v>1</v>
      </c>
      <c r="D86" s="14" t="s">
        <v>436</v>
      </c>
      <c r="E86" s="58" t="s">
        <v>463</v>
      </c>
      <c r="F86" s="82" t="s">
        <v>465</v>
      </c>
      <c r="G86" s="176" t="s">
        <v>466</v>
      </c>
      <c r="H86" s="170" t="str">
        <f>'5. Configuration'!$J12</f>
        <v>Comment is required</v>
      </c>
      <c r="I86" s="14">
        <f>'5. Configuration'!$I12</f>
        <v>0</v>
      </c>
      <c r="J86" s="14" t="str">
        <f t="shared" si="15"/>
        <v>Blank</v>
      </c>
      <c r="K86" s="155" t="s">
        <v>1131</v>
      </c>
      <c r="L86" s="14" t="str">
        <f t="shared" si="13"/>
        <v>Blank</v>
      </c>
      <c r="N86" s="14" t="str">
        <f t="shared" si="16"/>
        <v/>
      </c>
      <c r="O86" s="14" t="str">
        <f t="shared" si="17"/>
        <v/>
      </c>
      <c r="P86" s="14" t="str">
        <f t="shared" si="18"/>
        <v>Comment is required</v>
      </c>
      <c r="Q86" s="14" t="str">
        <f t="shared" si="19"/>
        <v>Blank</v>
      </c>
      <c r="R86" s="14" t="str">
        <f t="shared" si="20"/>
        <v>No Override</v>
      </c>
      <c r="S86" s="14">
        <f t="shared" si="21"/>
        <v>1</v>
      </c>
      <c r="T86" s="14" t="str">
        <f t="shared" si="22"/>
        <v/>
      </c>
    </row>
    <row r="87" spans="1:20" ht="22.8" x14ac:dyDescent="0.3">
      <c r="A87" s="224">
        <v>1</v>
      </c>
      <c r="C87" s="14">
        <f t="shared" si="14"/>
        <v>1</v>
      </c>
      <c r="D87" s="14" t="s">
        <v>436</v>
      </c>
      <c r="E87" s="58" t="s">
        <v>467</v>
      </c>
      <c r="F87" s="82" t="s">
        <v>469</v>
      </c>
      <c r="G87" s="176" t="s">
        <v>470</v>
      </c>
      <c r="H87" s="170" t="str">
        <f>'5. Configuration'!$J13</f>
        <v>Comment is required</v>
      </c>
      <c r="I87" s="14">
        <f>'5. Configuration'!$I13</f>
        <v>0</v>
      </c>
      <c r="J87" s="14" t="str">
        <f t="shared" si="15"/>
        <v>Blank</v>
      </c>
      <c r="K87" s="155" t="s">
        <v>1131</v>
      </c>
      <c r="L87" s="14" t="str">
        <f t="shared" si="13"/>
        <v>Blank</v>
      </c>
      <c r="N87" s="14" t="str">
        <f t="shared" si="16"/>
        <v/>
      </c>
      <c r="O87" s="14" t="str">
        <f t="shared" si="17"/>
        <v/>
      </c>
      <c r="P87" s="14" t="str">
        <f t="shared" si="18"/>
        <v>Comment is required</v>
      </c>
      <c r="Q87" s="14" t="str">
        <f t="shared" si="19"/>
        <v>Blank</v>
      </c>
      <c r="R87" s="14" t="str">
        <f t="shared" si="20"/>
        <v>No Override</v>
      </c>
      <c r="S87" s="14">
        <f t="shared" si="21"/>
        <v>1</v>
      </c>
      <c r="T87" s="14" t="str">
        <f t="shared" si="22"/>
        <v/>
      </c>
    </row>
    <row r="88" spans="1:20" x14ac:dyDescent="0.3">
      <c r="A88" s="224">
        <v>1</v>
      </c>
      <c r="C88" s="14">
        <f t="shared" si="14"/>
        <v>1</v>
      </c>
      <c r="D88" s="14" t="s">
        <v>436</v>
      </c>
      <c r="E88" s="58" t="s">
        <v>471</v>
      </c>
      <c r="F88" s="82" t="s">
        <v>469</v>
      </c>
      <c r="G88" s="176" t="s">
        <v>472</v>
      </c>
      <c r="H88" s="170" t="str">
        <f>'5. Configuration'!$J14</f>
        <v>Comment is required</v>
      </c>
      <c r="I88" s="14">
        <f>'5. Configuration'!$I14</f>
        <v>0</v>
      </c>
      <c r="J88" s="14" t="str">
        <f t="shared" si="15"/>
        <v>Blank</v>
      </c>
      <c r="K88" s="155" t="s">
        <v>1131</v>
      </c>
      <c r="L88" s="14" t="str">
        <f t="shared" si="13"/>
        <v>Blank</v>
      </c>
      <c r="N88" s="14" t="str">
        <f t="shared" si="16"/>
        <v/>
      </c>
      <c r="O88" s="14" t="str">
        <f t="shared" si="17"/>
        <v/>
      </c>
      <c r="P88" s="14" t="str">
        <f t="shared" si="18"/>
        <v>Comment is required</v>
      </c>
      <c r="Q88" s="14" t="str">
        <f t="shared" si="19"/>
        <v>Blank</v>
      </c>
      <c r="R88" s="14" t="str">
        <f t="shared" si="20"/>
        <v>No Override</v>
      </c>
      <c r="S88" s="14">
        <f t="shared" si="21"/>
        <v>1</v>
      </c>
      <c r="T88" s="14" t="str">
        <f t="shared" si="22"/>
        <v/>
      </c>
    </row>
    <row r="89" spans="1:20" x14ac:dyDescent="0.3">
      <c r="A89" s="224">
        <v>1</v>
      </c>
      <c r="C89" s="14">
        <f t="shared" si="14"/>
        <v>1</v>
      </c>
      <c r="D89" s="14" t="s">
        <v>436</v>
      </c>
      <c r="E89" s="58" t="s">
        <v>473</v>
      </c>
      <c r="F89" s="82" t="s">
        <v>469</v>
      </c>
      <c r="G89" s="177" t="s">
        <v>474</v>
      </c>
      <c r="H89" s="170" t="str">
        <f>'5. Configuration'!$J15</f>
        <v>Comment is required</v>
      </c>
      <c r="I89" s="14">
        <f>'5. Configuration'!$I15</f>
        <v>0</v>
      </c>
      <c r="J89" s="14" t="str">
        <f t="shared" si="15"/>
        <v>Blank</v>
      </c>
      <c r="K89" s="155" t="s">
        <v>1131</v>
      </c>
      <c r="L89" s="14" t="str">
        <f t="shared" si="13"/>
        <v>Blank</v>
      </c>
      <c r="N89" s="14" t="str">
        <f t="shared" si="16"/>
        <v/>
      </c>
      <c r="O89" s="14" t="str">
        <f t="shared" si="17"/>
        <v/>
      </c>
      <c r="P89" s="14" t="str">
        <f t="shared" si="18"/>
        <v>Comment is required</v>
      </c>
      <c r="Q89" s="14" t="str">
        <f t="shared" si="19"/>
        <v>Blank</v>
      </c>
      <c r="R89" s="14" t="str">
        <f t="shared" si="20"/>
        <v>No Override</v>
      </c>
      <c r="S89" s="14">
        <f t="shared" si="21"/>
        <v>1</v>
      </c>
      <c r="T89" s="14" t="str">
        <f t="shared" si="22"/>
        <v/>
      </c>
    </row>
    <row r="90" spans="1:20" ht="22.8" x14ac:dyDescent="0.3">
      <c r="A90" s="224">
        <v>1</v>
      </c>
      <c r="C90" s="14">
        <f t="shared" si="14"/>
        <v>1</v>
      </c>
      <c r="D90" s="14" t="s">
        <v>436</v>
      </c>
      <c r="E90" s="58" t="s">
        <v>475</v>
      </c>
      <c r="F90" s="82" t="s">
        <v>477</v>
      </c>
      <c r="G90" s="177" t="s">
        <v>478</v>
      </c>
      <c r="H90" s="170" t="str">
        <f>'5. Configuration'!$J16</f>
        <v>Comment is required</v>
      </c>
      <c r="I90" s="14">
        <f>'5. Configuration'!$I16</f>
        <v>0</v>
      </c>
      <c r="J90" s="14" t="str">
        <f t="shared" si="15"/>
        <v>Blank</v>
      </c>
      <c r="K90" s="155" t="s">
        <v>1131</v>
      </c>
      <c r="L90" s="14" t="str">
        <f t="shared" si="13"/>
        <v>Blank</v>
      </c>
      <c r="N90" s="14" t="str">
        <f t="shared" si="16"/>
        <v/>
      </c>
      <c r="O90" s="14" t="str">
        <f t="shared" si="17"/>
        <v/>
      </c>
      <c r="P90" s="14" t="str">
        <f t="shared" si="18"/>
        <v>Comment is required</v>
      </c>
      <c r="Q90" s="14" t="str">
        <f t="shared" si="19"/>
        <v>Blank</v>
      </c>
      <c r="R90" s="14" t="str">
        <f t="shared" si="20"/>
        <v>No Override</v>
      </c>
      <c r="S90" s="14">
        <f t="shared" si="21"/>
        <v>1</v>
      </c>
      <c r="T90" s="14" t="str">
        <f t="shared" si="22"/>
        <v/>
      </c>
    </row>
    <row r="91" spans="1:20" x14ac:dyDescent="0.3">
      <c r="A91" s="224">
        <v>1</v>
      </c>
      <c r="C91" s="14">
        <f t="shared" si="14"/>
        <v>1</v>
      </c>
      <c r="D91" s="14" t="s">
        <v>436</v>
      </c>
      <c r="E91" s="58" t="s">
        <v>479</v>
      </c>
      <c r="F91" s="82" t="s">
        <v>482</v>
      </c>
      <c r="G91" s="176" t="s">
        <v>483</v>
      </c>
      <c r="H91" s="170" t="str">
        <f>'5. Configuration'!$J17</f>
        <v>Comment is required</v>
      </c>
      <c r="I91" s="14">
        <f>'5. Configuration'!$I17</f>
        <v>0</v>
      </c>
      <c r="J91" s="14" t="str">
        <f t="shared" si="15"/>
        <v>Blank</v>
      </c>
      <c r="K91" s="155" t="s">
        <v>1131</v>
      </c>
      <c r="L91" s="14" t="str">
        <f t="shared" si="13"/>
        <v>Blank</v>
      </c>
      <c r="N91" s="14" t="str">
        <f t="shared" si="16"/>
        <v/>
      </c>
      <c r="O91" s="14" t="str">
        <f t="shared" si="17"/>
        <v/>
      </c>
      <c r="P91" s="14" t="str">
        <f t="shared" si="18"/>
        <v>Comment is required</v>
      </c>
      <c r="Q91" s="14" t="str">
        <f t="shared" si="19"/>
        <v>Blank</v>
      </c>
      <c r="R91" s="14" t="str">
        <f t="shared" si="20"/>
        <v>No Override</v>
      </c>
      <c r="S91" s="14">
        <f t="shared" si="21"/>
        <v>1</v>
      </c>
      <c r="T91" s="14" t="str">
        <f t="shared" si="22"/>
        <v/>
      </c>
    </row>
    <row r="92" spans="1:20" x14ac:dyDescent="0.3">
      <c r="A92" s="224">
        <v>1</v>
      </c>
      <c r="C92" s="14">
        <f t="shared" si="14"/>
        <v>1</v>
      </c>
      <c r="D92" s="14" t="s">
        <v>436</v>
      </c>
      <c r="E92" s="58" t="s">
        <v>484</v>
      </c>
      <c r="F92" s="82" t="s">
        <v>482</v>
      </c>
      <c r="G92" s="176" t="s">
        <v>485</v>
      </c>
      <c r="H92" s="170" t="str">
        <f>'5. Configuration'!$J18</f>
        <v>Comment is required</v>
      </c>
      <c r="I92" s="14">
        <f>'5. Configuration'!$I18</f>
        <v>0</v>
      </c>
      <c r="J92" s="14" t="str">
        <f t="shared" si="15"/>
        <v>Blank</v>
      </c>
      <c r="K92" s="155" t="s">
        <v>1131</v>
      </c>
      <c r="L92" s="14" t="str">
        <f t="shared" si="13"/>
        <v>Blank</v>
      </c>
      <c r="N92" s="14" t="str">
        <f t="shared" si="16"/>
        <v/>
      </c>
      <c r="O92" s="14" t="str">
        <f t="shared" si="17"/>
        <v/>
      </c>
      <c r="P92" s="14" t="str">
        <f t="shared" si="18"/>
        <v>Comment is required</v>
      </c>
      <c r="Q92" s="14" t="str">
        <f t="shared" si="19"/>
        <v>Blank</v>
      </c>
      <c r="R92" s="14" t="str">
        <f t="shared" si="20"/>
        <v>No Override</v>
      </c>
      <c r="S92" s="14">
        <f t="shared" si="21"/>
        <v>1</v>
      </c>
      <c r="T92" s="14" t="str">
        <f t="shared" si="22"/>
        <v/>
      </c>
    </row>
    <row r="93" spans="1:20" ht="22.8" x14ac:dyDescent="0.3">
      <c r="A93" s="224">
        <v>1</v>
      </c>
      <c r="C93" s="14">
        <f t="shared" si="14"/>
        <v>1</v>
      </c>
      <c r="D93" s="14" t="s">
        <v>436</v>
      </c>
      <c r="E93" s="58" t="s">
        <v>486</v>
      </c>
      <c r="F93" s="82" t="s">
        <v>488</v>
      </c>
      <c r="G93" s="177" t="s">
        <v>489</v>
      </c>
      <c r="H93" s="170" t="str">
        <f>'5. Configuration'!$J19</f>
        <v>Comment is required</v>
      </c>
      <c r="I93" s="14">
        <f>'5. Configuration'!$I19</f>
        <v>0</v>
      </c>
      <c r="J93" s="14" t="str">
        <f t="shared" si="15"/>
        <v>Blank</v>
      </c>
      <c r="K93" s="155" t="s">
        <v>1131</v>
      </c>
      <c r="L93" s="14" t="str">
        <f t="shared" si="13"/>
        <v>Blank</v>
      </c>
      <c r="N93" s="14" t="str">
        <f t="shared" si="16"/>
        <v/>
      </c>
      <c r="O93" s="14" t="str">
        <f t="shared" si="17"/>
        <v/>
      </c>
      <c r="P93" s="14" t="str">
        <f t="shared" si="18"/>
        <v>Comment is required</v>
      </c>
      <c r="Q93" s="14" t="str">
        <f t="shared" si="19"/>
        <v>Blank</v>
      </c>
      <c r="R93" s="14" t="str">
        <f t="shared" si="20"/>
        <v>No Override</v>
      </c>
      <c r="S93" s="14">
        <f t="shared" si="21"/>
        <v>1</v>
      </c>
      <c r="T93" s="14" t="str">
        <f t="shared" si="22"/>
        <v/>
      </c>
    </row>
    <row r="94" spans="1:20" ht="22.8" x14ac:dyDescent="0.3">
      <c r="A94" s="224">
        <v>1</v>
      </c>
      <c r="C94" s="14">
        <f t="shared" si="14"/>
        <v>1</v>
      </c>
      <c r="D94" s="14" t="s">
        <v>436</v>
      </c>
      <c r="E94" s="58" t="s">
        <v>490</v>
      </c>
      <c r="F94" s="82" t="s">
        <v>488</v>
      </c>
      <c r="G94" s="177" t="s">
        <v>491</v>
      </c>
      <c r="H94" s="170" t="str">
        <f>'5. Configuration'!$J20</f>
        <v>Comment is required</v>
      </c>
      <c r="I94" s="14">
        <f>'5. Configuration'!$I20</f>
        <v>0</v>
      </c>
      <c r="J94" s="14" t="str">
        <f t="shared" si="15"/>
        <v>Blank</v>
      </c>
      <c r="K94" s="155" t="s">
        <v>1131</v>
      </c>
      <c r="L94" s="14" t="str">
        <f t="shared" si="13"/>
        <v>Blank</v>
      </c>
      <c r="N94" s="14" t="str">
        <f t="shared" si="16"/>
        <v/>
      </c>
      <c r="O94" s="14" t="str">
        <f t="shared" si="17"/>
        <v/>
      </c>
      <c r="P94" s="14" t="str">
        <f t="shared" si="18"/>
        <v>Comment is required</v>
      </c>
      <c r="Q94" s="14" t="str">
        <f t="shared" si="19"/>
        <v>Blank</v>
      </c>
      <c r="R94" s="14" t="str">
        <f t="shared" si="20"/>
        <v>No Override</v>
      </c>
      <c r="S94" s="14">
        <f t="shared" si="21"/>
        <v>1</v>
      </c>
      <c r="T94" s="14" t="str">
        <f t="shared" si="22"/>
        <v/>
      </c>
    </row>
    <row r="95" spans="1:20" x14ac:dyDescent="0.3">
      <c r="A95" s="224">
        <v>1</v>
      </c>
      <c r="C95" s="14">
        <f t="shared" si="14"/>
        <v>1</v>
      </c>
      <c r="D95" s="14" t="s">
        <v>436</v>
      </c>
      <c r="E95" s="58" t="s">
        <v>492</v>
      </c>
      <c r="F95" s="82" t="s">
        <v>488</v>
      </c>
      <c r="G95" s="177" t="s">
        <v>493</v>
      </c>
      <c r="H95" s="170" t="str">
        <f>'5. Configuration'!$J21</f>
        <v>Comment is required</v>
      </c>
      <c r="I95" s="14">
        <f>'5. Configuration'!$I21</f>
        <v>0</v>
      </c>
      <c r="J95" s="14" t="str">
        <f t="shared" si="15"/>
        <v>Blank</v>
      </c>
      <c r="K95" s="155" t="s">
        <v>1131</v>
      </c>
      <c r="L95" s="14" t="str">
        <f t="shared" si="13"/>
        <v>Blank</v>
      </c>
      <c r="N95" s="14" t="str">
        <f t="shared" si="16"/>
        <v/>
      </c>
      <c r="O95" s="14" t="str">
        <f t="shared" si="17"/>
        <v/>
      </c>
      <c r="P95" s="14" t="str">
        <f t="shared" si="18"/>
        <v>Comment is required</v>
      </c>
      <c r="Q95" s="14" t="str">
        <f t="shared" si="19"/>
        <v>Blank</v>
      </c>
      <c r="R95" s="14" t="str">
        <f t="shared" si="20"/>
        <v>No Override</v>
      </c>
      <c r="S95" s="14">
        <f t="shared" si="21"/>
        <v>1</v>
      </c>
      <c r="T95" s="14" t="str">
        <f t="shared" si="22"/>
        <v/>
      </c>
    </row>
    <row r="96" spans="1:20" x14ac:dyDescent="0.3">
      <c r="A96" s="224">
        <v>1</v>
      </c>
      <c r="C96" s="14">
        <f t="shared" si="14"/>
        <v>1</v>
      </c>
      <c r="D96" s="14" t="s">
        <v>436</v>
      </c>
      <c r="E96" s="58" t="s">
        <v>494</v>
      </c>
      <c r="F96" s="82" t="s">
        <v>488</v>
      </c>
      <c r="G96" s="177" t="s">
        <v>495</v>
      </c>
      <c r="H96" s="170" t="str">
        <f>'5. Configuration'!$J22</f>
        <v>Comment is required</v>
      </c>
      <c r="I96" s="14">
        <f>'5. Configuration'!$I22</f>
        <v>0</v>
      </c>
      <c r="J96" s="14" t="str">
        <f t="shared" si="15"/>
        <v>Blank</v>
      </c>
      <c r="K96" s="155" t="s">
        <v>1131</v>
      </c>
      <c r="L96" s="14" t="str">
        <f t="shared" si="13"/>
        <v>Blank</v>
      </c>
      <c r="N96" s="14" t="str">
        <f t="shared" si="16"/>
        <v/>
      </c>
      <c r="O96" s="14" t="str">
        <f t="shared" si="17"/>
        <v/>
      </c>
      <c r="P96" s="14" t="str">
        <f t="shared" si="18"/>
        <v>Comment is required</v>
      </c>
      <c r="Q96" s="14" t="str">
        <f t="shared" si="19"/>
        <v>Blank</v>
      </c>
      <c r="R96" s="14" t="str">
        <f t="shared" si="20"/>
        <v>No Override</v>
      </c>
      <c r="S96" s="14">
        <f t="shared" si="21"/>
        <v>1</v>
      </c>
      <c r="T96" s="14" t="str">
        <f t="shared" si="22"/>
        <v/>
      </c>
    </row>
    <row r="97" spans="1:20" x14ac:dyDescent="0.3">
      <c r="A97" s="224">
        <v>1</v>
      </c>
      <c r="C97" s="14">
        <f t="shared" si="14"/>
        <v>1</v>
      </c>
      <c r="D97" s="14" t="s">
        <v>436</v>
      </c>
      <c r="E97" s="58" t="s">
        <v>496</v>
      </c>
      <c r="F97" s="82" t="s">
        <v>498</v>
      </c>
      <c r="G97" s="170" t="s">
        <v>499</v>
      </c>
      <c r="H97" s="170" t="str">
        <f>'5. Configuration'!$J23</f>
        <v>Comment is required</v>
      </c>
      <c r="I97" s="14">
        <f>'5. Configuration'!$I23</f>
        <v>0</v>
      </c>
      <c r="J97" s="14" t="str">
        <f t="shared" si="15"/>
        <v>Blank</v>
      </c>
      <c r="K97" s="155" t="s">
        <v>1131</v>
      </c>
      <c r="L97" s="14" t="str">
        <f t="shared" si="13"/>
        <v>Blank</v>
      </c>
      <c r="N97" s="14" t="str">
        <f t="shared" si="16"/>
        <v/>
      </c>
      <c r="O97" s="14" t="str">
        <f t="shared" si="17"/>
        <v/>
      </c>
      <c r="P97" s="14" t="str">
        <f t="shared" si="18"/>
        <v>Comment is required</v>
      </c>
      <c r="Q97" s="14" t="str">
        <f t="shared" si="19"/>
        <v>Blank</v>
      </c>
      <c r="R97" s="14" t="str">
        <f t="shared" si="20"/>
        <v>No Override</v>
      </c>
      <c r="S97" s="14">
        <f t="shared" si="21"/>
        <v>1</v>
      </c>
      <c r="T97" s="14" t="str">
        <f t="shared" si="22"/>
        <v/>
      </c>
    </row>
    <row r="98" spans="1:20" x14ac:dyDescent="0.3">
      <c r="A98" s="224">
        <v>1</v>
      </c>
      <c r="C98" s="14">
        <f t="shared" si="14"/>
        <v>1</v>
      </c>
      <c r="D98" s="14" t="s">
        <v>436</v>
      </c>
      <c r="E98" s="58" t="s">
        <v>500</v>
      </c>
      <c r="F98" s="82" t="s">
        <v>502</v>
      </c>
      <c r="G98" s="170" t="s">
        <v>503</v>
      </c>
      <c r="H98" s="170" t="str">
        <f>'5. Configuration'!$J24</f>
        <v>Comment is required</v>
      </c>
      <c r="I98" s="14">
        <f>'5. Configuration'!$I24</f>
        <v>0</v>
      </c>
      <c r="J98" s="14" t="str">
        <f t="shared" si="15"/>
        <v>Blank</v>
      </c>
      <c r="K98" s="155" t="s">
        <v>1131</v>
      </c>
      <c r="L98" s="14" t="str">
        <f t="shared" si="13"/>
        <v>Blank</v>
      </c>
      <c r="N98" s="14" t="str">
        <f t="shared" si="16"/>
        <v/>
      </c>
      <c r="O98" s="14" t="str">
        <f t="shared" si="17"/>
        <v/>
      </c>
      <c r="P98" s="14" t="str">
        <f t="shared" si="18"/>
        <v>Comment is required</v>
      </c>
      <c r="Q98" s="14" t="str">
        <f t="shared" si="19"/>
        <v>Blank</v>
      </c>
      <c r="R98" s="14" t="str">
        <f t="shared" si="20"/>
        <v>No Override</v>
      </c>
      <c r="S98" s="14">
        <f t="shared" si="21"/>
        <v>1</v>
      </c>
      <c r="T98" s="14" t="str">
        <f t="shared" si="22"/>
        <v/>
      </c>
    </row>
    <row r="99" spans="1:20" x14ac:dyDescent="0.3">
      <c r="A99" s="224">
        <v>1</v>
      </c>
      <c r="C99" s="14">
        <f t="shared" si="14"/>
        <v>1</v>
      </c>
      <c r="D99" s="14" t="s">
        <v>436</v>
      </c>
      <c r="E99" s="58" t="s">
        <v>1294</v>
      </c>
      <c r="F99" s="58" t="s">
        <v>1295</v>
      </c>
      <c r="G99" s="177" t="s">
        <v>1296</v>
      </c>
      <c r="H99" s="170" t="str">
        <f>'5. Configuration'!$J25</f>
        <v>Comment is required</v>
      </c>
      <c r="I99" s="14">
        <f>'5. Configuration'!$I25</f>
        <v>0</v>
      </c>
      <c r="J99" s="14" t="str">
        <f t="shared" si="15"/>
        <v>Blank</v>
      </c>
      <c r="K99" s="155" t="s">
        <v>1131</v>
      </c>
      <c r="L99" s="14" t="str">
        <f t="shared" si="13"/>
        <v>Blank</v>
      </c>
      <c r="N99" s="14" t="str">
        <f t="shared" si="16"/>
        <v/>
      </c>
      <c r="O99" s="14" t="str">
        <f t="shared" si="17"/>
        <v/>
      </c>
      <c r="P99" s="14" t="str">
        <f t="shared" si="18"/>
        <v>Comment is required</v>
      </c>
      <c r="Q99" s="14" t="str">
        <f t="shared" si="19"/>
        <v>Blank</v>
      </c>
      <c r="R99" s="14" t="str">
        <f t="shared" si="20"/>
        <v>No Override</v>
      </c>
      <c r="S99" s="14">
        <f t="shared" si="21"/>
        <v>1</v>
      </c>
      <c r="T99" s="14" t="str">
        <f t="shared" si="22"/>
        <v/>
      </c>
    </row>
    <row r="100" spans="1:20" x14ac:dyDescent="0.3">
      <c r="A100" s="224">
        <v>3</v>
      </c>
      <c r="C100" s="14">
        <f t="shared" si="14"/>
        <v>3</v>
      </c>
      <c r="D100" s="14" t="s">
        <v>436</v>
      </c>
      <c r="E100" s="58" t="s">
        <v>1297</v>
      </c>
      <c r="F100" s="58" t="s">
        <v>1298</v>
      </c>
      <c r="G100" s="177" t="s">
        <v>1299</v>
      </c>
      <c r="H100" s="170" t="str">
        <f>'5. Configuration'!$J26</f>
        <v>Comment is required</v>
      </c>
      <c r="I100" s="14">
        <f>'5. Configuration'!$I26</f>
        <v>0</v>
      </c>
      <c r="J100" s="14" t="str">
        <f t="shared" si="15"/>
        <v>Blank</v>
      </c>
      <c r="K100" s="155" t="s">
        <v>1131</v>
      </c>
      <c r="L100" s="14" t="str">
        <f t="shared" si="13"/>
        <v>Blank</v>
      </c>
      <c r="N100" s="14" t="str">
        <f t="shared" si="16"/>
        <v/>
      </c>
      <c r="O100" s="14" t="str">
        <f t="shared" si="17"/>
        <v/>
      </c>
      <c r="P100" s="14" t="str">
        <f t="shared" si="18"/>
        <v>Comment is required</v>
      </c>
      <c r="Q100" s="14" t="str">
        <f t="shared" si="19"/>
        <v>Blank</v>
      </c>
      <c r="R100" s="14" t="str">
        <f t="shared" si="20"/>
        <v>No Override</v>
      </c>
      <c r="S100" s="14">
        <f t="shared" si="21"/>
        <v>3</v>
      </c>
      <c r="T100" s="14" t="str">
        <f t="shared" si="22"/>
        <v/>
      </c>
    </row>
    <row r="101" spans="1:20" ht="22.8" x14ac:dyDescent="0.3">
      <c r="A101" s="224">
        <v>4</v>
      </c>
      <c r="C101" s="14">
        <f t="shared" si="14"/>
        <v>4</v>
      </c>
      <c r="D101" s="14" t="s">
        <v>436</v>
      </c>
      <c r="E101" s="58" t="s">
        <v>1300</v>
      </c>
      <c r="F101" s="58" t="s">
        <v>1301</v>
      </c>
      <c r="G101" s="177" t="s">
        <v>1302</v>
      </c>
      <c r="H101" s="170" t="str">
        <f>'5. Configuration'!$J27</f>
        <v>Comment is required</v>
      </c>
      <c r="I101" s="14">
        <f>'5. Configuration'!$I27</f>
        <v>0</v>
      </c>
      <c r="J101" s="14" t="str">
        <f t="shared" si="15"/>
        <v>Blank</v>
      </c>
      <c r="K101" s="155" t="s">
        <v>1131</v>
      </c>
      <c r="L101" s="14" t="str">
        <f t="shared" si="13"/>
        <v>Blank</v>
      </c>
      <c r="N101" s="14" t="str">
        <f t="shared" si="16"/>
        <v/>
      </c>
      <c r="O101" s="14" t="str">
        <f t="shared" si="17"/>
        <v/>
      </c>
      <c r="P101" s="14" t="str">
        <f t="shared" si="18"/>
        <v>Comment is required</v>
      </c>
      <c r="Q101" s="14" t="str">
        <f t="shared" si="19"/>
        <v>Blank</v>
      </c>
      <c r="R101" s="14" t="str">
        <f t="shared" si="20"/>
        <v>No Override</v>
      </c>
      <c r="S101" s="14">
        <f t="shared" si="21"/>
        <v>4</v>
      </c>
      <c r="T101" s="14" t="str">
        <f t="shared" si="22"/>
        <v/>
      </c>
    </row>
    <row r="102" spans="1:20" ht="22.8" x14ac:dyDescent="0.3">
      <c r="A102" s="224">
        <v>2</v>
      </c>
      <c r="C102" s="14">
        <f t="shared" si="14"/>
        <v>2</v>
      </c>
      <c r="D102" s="14" t="s">
        <v>436</v>
      </c>
      <c r="E102" s="58" t="s">
        <v>1361</v>
      </c>
      <c r="F102" s="171" t="s">
        <v>1360</v>
      </c>
      <c r="G102" s="177" t="s">
        <v>1366</v>
      </c>
      <c r="H102" s="170" t="str">
        <f>'5. Configuration'!$J28</f>
        <v>Comment is required</v>
      </c>
      <c r="I102" s="14">
        <f>'5. Configuration'!$I28</f>
        <v>0</v>
      </c>
      <c r="J102" s="14" t="str">
        <f t="shared" si="15"/>
        <v>Blank</v>
      </c>
      <c r="K102" s="155" t="s">
        <v>1131</v>
      </c>
      <c r="L102" s="14" t="str">
        <f>IF($K102="No Override",$J102,$K102)</f>
        <v>Blank</v>
      </c>
      <c r="N102" s="14" t="str">
        <f t="shared" si="16"/>
        <v/>
      </c>
      <c r="O102" s="14" t="str">
        <f t="shared" si="17"/>
        <v/>
      </c>
      <c r="P102" s="14" t="str">
        <f t="shared" si="18"/>
        <v>Comment is required</v>
      </c>
      <c r="Q102" s="14" t="str">
        <f t="shared" si="19"/>
        <v>Blank</v>
      </c>
      <c r="R102" s="14" t="str">
        <f t="shared" si="20"/>
        <v>No Override</v>
      </c>
      <c r="S102" s="14">
        <f t="shared" si="21"/>
        <v>2</v>
      </c>
      <c r="T102" s="14" t="str">
        <f t="shared" si="22"/>
        <v/>
      </c>
    </row>
    <row r="103" spans="1:20" x14ac:dyDescent="0.3">
      <c r="A103" s="224">
        <v>2</v>
      </c>
      <c r="C103" s="14">
        <f t="shared" si="14"/>
        <v>2</v>
      </c>
      <c r="D103" s="14" t="s">
        <v>436</v>
      </c>
      <c r="E103" s="58" t="s">
        <v>1362</v>
      </c>
      <c r="F103" s="171" t="s">
        <v>1360</v>
      </c>
      <c r="G103" s="177" t="s">
        <v>1367</v>
      </c>
      <c r="H103" s="170" t="str">
        <f>'5. Configuration'!$J29</f>
        <v>Comment is required</v>
      </c>
      <c r="I103" s="14">
        <f>'5. Configuration'!$I29</f>
        <v>0</v>
      </c>
      <c r="J103" s="14" t="str">
        <f t="shared" si="15"/>
        <v>Blank</v>
      </c>
      <c r="K103" s="155" t="s">
        <v>1131</v>
      </c>
      <c r="L103" s="14" t="str">
        <f t="shared" ref="L103" si="23">IF($K103="No Override",$J103,$K103)</f>
        <v>Blank</v>
      </c>
      <c r="N103" s="14" t="str">
        <f t="shared" si="16"/>
        <v/>
      </c>
      <c r="O103" s="14" t="str">
        <f t="shared" si="17"/>
        <v/>
      </c>
      <c r="P103" s="14" t="str">
        <f t="shared" si="18"/>
        <v>Comment is required</v>
      </c>
      <c r="Q103" s="14" t="str">
        <f t="shared" si="19"/>
        <v>Blank</v>
      </c>
      <c r="R103" s="14" t="str">
        <f t="shared" si="20"/>
        <v>No Override</v>
      </c>
      <c r="S103" s="14">
        <f t="shared" si="21"/>
        <v>2</v>
      </c>
      <c r="T103" s="14" t="str">
        <f t="shared" si="22"/>
        <v/>
      </c>
    </row>
    <row r="104" spans="1:20" x14ac:dyDescent="0.3">
      <c r="A104" s="224">
        <v>4</v>
      </c>
      <c r="C104" s="14">
        <f t="shared" si="14"/>
        <v>4</v>
      </c>
      <c r="D104" s="14" t="s">
        <v>504</v>
      </c>
      <c r="E104" s="58" t="s">
        <v>505</v>
      </c>
      <c r="F104" s="85" t="s">
        <v>508</v>
      </c>
      <c r="G104" s="173" t="s">
        <v>509</v>
      </c>
      <c r="H104" s="175" t="str">
        <f>'6. Contingency Planning'!$J3</f>
        <v>Comment is required</v>
      </c>
      <c r="I104" s="14">
        <f>'6. Contingency Planning'!$I3</f>
        <v>0</v>
      </c>
      <c r="J104" s="14" t="str">
        <f t="shared" si="15"/>
        <v>Blank</v>
      </c>
      <c r="K104" s="155" t="s">
        <v>1131</v>
      </c>
      <c r="L104" s="14" t="str">
        <f t="shared" si="13"/>
        <v>Blank</v>
      </c>
      <c r="N104" s="14" t="str">
        <f t="shared" si="16"/>
        <v/>
      </c>
      <c r="O104" s="14" t="str">
        <f t="shared" si="17"/>
        <v/>
      </c>
      <c r="P104" s="14" t="str">
        <f t="shared" si="18"/>
        <v>Comment is required</v>
      </c>
      <c r="Q104" s="14" t="str">
        <f t="shared" si="19"/>
        <v>Blank</v>
      </c>
      <c r="R104" s="14" t="str">
        <f t="shared" si="20"/>
        <v>No Override</v>
      </c>
      <c r="S104" s="14">
        <f t="shared" si="21"/>
        <v>4</v>
      </c>
      <c r="T104" s="14" t="str">
        <f t="shared" si="22"/>
        <v/>
      </c>
    </row>
    <row r="105" spans="1:20" x14ac:dyDescent="0.3">
      <c r="A105" s="224">
        <v>4</v>
      </c>
      <c r="C105" s="14">
        <f t="shared" si="14"/>
        <v>4</v>
      </c>
      <c r="D105" s="14" t="s">
        <v>504</v>
      </c>
      <c r="E105" s="58" t="s">
        <v>510</v>
      </c>
      <c r="F105" s="85" t="s">
        <v>513</v>
      </c>
      <c r="G105" s="173" t="s">
        <v>514</v>
      </c>
      <c r="H105" s="175" t="str">
        <f>'6. Contingency Planning'!$J4</f>
        <v>Comment is required</v>
      </c>
      <c r="I105" s="14">
        <f>'6. Contingency Planning'!$I4</f>
        <v>0</v>
      </c>
      <c r="J105" s="14" t="str">
        <f t="shared" si="15"/>
        <v>Blank</v>
      </c>
      <c r="K105" s="155" t="s">
        <v>1131</v>
      </c>
      <c r="L105" s="14" t="str">
        <f t="shared" si="13"/>
        <v>Blank</v>
      </c>
      <c r="N105" s="14" t="str">
        <f t="shared" si="16"/>
        <v/>
      </c>
      <c r="O105" s="14" t="str">
        <f t="shared" si="17"/>
        <v/>
      </c>
      <c r="P105" s="14" t="str">
        <f t="shared" si="18"/>
        <v>Comment is required</v>
      </c>
      <c r="Q105" s="14" t="str">
        <f t="shared" si="19"/>
        <v>Blank</v>
      </c>
      <c r="R105" s="14" t="str">
        <f t="shared" si="20"/>
        <v>No Override</v>
      </c>
      <c r="S105" s="14">
        <f t="shared" si="21"/>
        <v>4</v>
      </c>
      <c r="T105" s="14" t="str">
        <f t="shared" si="22"/>
        <v/>
      </c>
    </row>
    <row r="106" spans="1:20" ht="115.2" x14ac:dyDescent="0.3">
      <c r="A106" s="224">
        <v>4</v>
      </c>
      <c r="C106" s="14">
        <f t="shared" si="14"/>
        <v>4</v>
      </c>
      <c r="D106" s="14" t="s">
        <v>504</v>
      </c>
      <c r="E106" s="58" t="s">
        <v>515</v>
      </c>
      <c r="F106" s="85" t="s">
        <v>513</v>
      </c>
      <c r="G106" s="173" t="s">
        <v>516</v>
      </c>
      <c r="H106" s="175" t="str">
        <f>'6. Contingency Planning'!$J5</f>
        <v>Comment is required</v>
      </c>
      <c r="I106" s="14">
        <f>'6. Contingency Planning'!$I5</f>
        <v>0</v>
      </c>
      <c r="J106" s="14" t="str">
        <f t="shared" si="15"/>
        <v>Blank</v>
      </c>
      <c r="K106" s="155" t="s">
        <v>1131</v>
      </c>
      <c r="L106" s="14" t="str">
        <f t="shared" si="13"/>
        <v>Blank</v>
      </c>
      <c r="N106" s="14" t="str">
        <f t="shared" si="16"/>
        <v/>
      </c>
      <c r="O106" s="14" t="str">
        <f t="shared" si="17"/>
        <v/>
      </c>
      <c r="P106" s="14" t="str">
        <f t="shared" si="18"/>
        <v>Comment is required</v>
      </c>
      <c r="Q106" s="14" t="str">
        <f t="shared" si="19"/>
        <v>Blank</v>
      </c>
      <c r="R106" s="14" t="str">
        <f t="shared" si="20"/>
        <v>No Override</v>
      </c>
      <c r="S106" s="14">
        <f t="shared" si="21"/>
        <v>4</v>
      </c>
      <c r="T106" s="14" t="str">
        <f t="shared" si="22"/>
        <v/>
      </c>
    </row>
    <row r="107" spans="1:20" ht="24" x14ac:dyDescent="0.3">
      <c r="A107" s="224">
        <v>4</v>
      </c>
      <c r="C107" s="14">
        <f t="shared" si="14"/>
        <v>4</v>
      </c>
      <c r="D107" s="14" t="s">
        <v>504</v>
      </c>
      <c r="E107" s="58" t="s">
        <v>517</v>
      </c>
      <c r="F107" s="85" t="s">
        <v>520</v>
      </c>
      <c r="G107" s="173" t="s">
        <v>521</v>
      </c>
      <c r="H107" s="175" t="str">
        <f>'6. Contingency Planning'!$J6</f>
        <v>Comment is required</v>
      </c>
      <c r="I107" s="14">
        <f>'6. Contingency Planning'!$I6</f>
        <v>0</v>
      </c>
      <c r="J107" s="14" t="str">
        <f t="shared" si="15"/>
        <v>Blank</v>
      </c>
      <c r="K107" s="155" t="s">
        <v>1131</v>
      </c>
      <c r="L107" s="14" t="str">
        <f t="shared" si="13"/>
        <v>Blank</v>
      </c>
      <c r="N107" s="14" t="str">
        <f t="shared" si="16"/>
        <v/>
      </c>
      <c r="O107" s="14" t="str">
        <f t="shared" si="17"/>
        <v/>
      </c>
      <c r="P107" s="14" t="str">
        <f t="shared" si="18"/>
        <v>Comment is required</v>
      </c>
      <c r="Q107" s="14" t="str">
        <f t="shared" si="19"/>
        <v>Blank</v>
      </c>
      <c r="R107" s="14" t="str">
        <f t="shared" si="20"/>
        <v>No Override</v>
      </c>
      <c r="S107" s="14">
        <f t="shared" si="21"/>
        <v>4</v>
      </c>
      <c r="T107" s="14" t="str">
        <f t="shared" si="22"/>
        <v/>
      </c>
    </row>
    <row r="108" spans="1:20" ht="24" x14ac:dyDescent="0.3">
      <c r="A108" s="224">
        <v>4</v>
      </c>
      <c r="C108" s="14">
        <f t="shared" si="14"/>
        <v>4</v>
      </c>
      <c r="D108" s="14" t="s">
        <v>504</v>
      </c>
      <c r="E108" s="58" t="s">
        <v>522</v>
      </c>
      <c r="F108" s="85" t="s">
        <v>524</v>
      </c>
      <c r="G108" s="173" t="s">
        <v>525</v>
      </c>
      <c r="H108" s="175" t="str">
        <f>'6. Contingency Planning'!$J7</f>
        <v>Comment is required</v>
      </c>
      <c r="I108" s="14">
        <f>'6. Contingency Planning'!$I7</f>
        <v>0</v>
      </c>
      <c r="J108" s="14" t="str">
        <f t="shared" si="15"/>
        <v>Blank</v>
      </c>
      <c r="K108" s="155" t="s">
        <v>1131</v>
      </c>
      <c r="L108" s="14" t="str">
        <f t="shared" si="13"/>
        <v>Blank</v>
      </c>
      <c r="N108" s="14" t="str">
        <f t="shared" si="16"/>
        <v/>
      </c>
      <c r="O108" s="14" t="str">
        <f t="shared" si="17"/>
        <v/>
      </c>
      <c r="P108" s="14" t="str">
        <f t="shared" si="18"/>
        <v>Comment is required</v>
      </c>
      <c r="Q108" s="14" t="str">
        <f t="shared" si="19"/>
        <v>Blank</v>
      </c>
      <c r="R108" s="14" t="str">
        <f t="shared" si="20"/>
        <v>No Override</v>
      </c>
      <c r="S108" s="14">
        <f t="shared" si="21"/>
        <v>4</v>
      </c>
      <c r="T108" s="14" t="str">
        <f t="shared" si="22"/>
        <v/>
      </c>
    </row>
    <row r="109" spans="1:20" ht="24" x14ac:dyDescent="0.3">
      <c r="A109" s="224">
        <v>4</v>
      </c>
      <c r="C109" s="14">
        <f t="shared" si="14"/>
        <v>4</v>
      </c>
      <c r="D109" s="14" t="s">
        <v>504</v>
      </c>
      <c r="E109" s="58" t="s">
        <v>526</v>
      </c>
      <c r="F109" s="85" t="s">
        <v>529</v>
      </c>
      <c r="G109" s="173" t="s">
        <v>530</v>
      </c>
      <c r="H109" s="175" t="str">
        <f>'6. Contingency Planning'!$J8</f>
        <v>Comment is required</v>
      </c>
      <c r="I109" s="14">
        <f>'6. Contingency Planning'!$I8</f>
        <v>0</v>
      </c>
      <c r="J109" s="14" t="str">
        <f t="shared" si="15"/>
        <v>Blank</v>
      </c>
      <c r="K109" s="155" t="s">
        <v>1131</v>
      </c>
      <c r="L109" s="14" t="str">
        <f t="shared" si="13"/>
        <v>Blank</v>
      </c>
      <c r="N109" s="14" t="str">
        <f t="shared" si="16"/>
        <v/>
      </c>
      <c r="O109" s="14" t="str">
        <f t="shared" si="17"/>
        <v/>
      </c>
      <c r="P109" s="14" t="str">
        <f t="shared" si="18"/>
        <v>Comment is required</v>
      </c>
      <c r="Q109" s="14" t="str">
        <f t="shared" si="19"/>
        <v>Blank</v>
      </c>
      <c r="R109" s="14" t="str">
        <f t="shared" si="20"/>
        <v>No Override</v>
      </c>
      <c r="S109" s="14">
        <f t="shared" si="21"/>
        <v>4</v>
      </c>
      <c r="T109" s="14" t="str">
        <f t="shared" si="22"/>
        <v/>
      </c>
    </row>
    <row r="110" spans="1:20" x14ac:dyDescent="0.3">
      <c r="A110" s="224">
        <v>4</v>
      </c>
      <c r="C110" s="14">
        <f t="shared" si="14"/>
        <v>4</v>
      </c>
      <c r="D110" s="14" t="s">
        <v>504</v>
      </c>
      <c r="E110" s="58" t="s">
        <v>531</v>
      </c>
      <c r="F110" s="85" t="s">
        <v>529</v>
      </c>
      <c r="G110" s="173" t="s">
        <v>532</v>
      </c>
      <c r="H110" s="175" t="str">
        <f>'6. Contingency Planning'!$J9</f>
        <v>Comment is required</v>
      </c>
      <c r="I110" s="14">
        <f>'6. Contingency Planning'!$I9</f>
        <v>0</v>
      </c>
      <c r="J110" s="14" t="str">
        <f t="shared" si="15"/>
        <v>Blank</v>
      </c>
      <c r="K110" s="155" t="s">
        <v>1131</v>
      </c>
      <c r="L110" s="14" t="str">
        <f t="shared" si="13"/>
        <v>Blank</v>
      </c>
      <c r="N110" s="14" t="str">
        <f t="shared" si="16"/>
        <v/>
      </c>
      <c r="O110" s="14" t="str">
        <f t="shared" si="17"/>
        <v/>
      </c>
      <c r="P110" s="14" t="str">
        <f t="shared" si="18"/>
        <v>Comment is required</v>
      </c>
      <c r="Q110" s="14" t="str">
        <f t="shared" si="19"/>
        <v>Blank</v>
      </c>
      <c r="R110" s="14" t="str">
        <f t="shared" si="20"/>
        <v>No Override</v>
      </c>
      <c r="S110" s="14">
        <f t="shared" si="21"/>
        <v>4</v>
      </c>
      <c r="T110" s="14" t="str">
        <f t="shared" si="22"/>
        <v/>
      </c>
    </row>
    <row r="111" spans="1:20" ht="24" x14ac:dyDescent="0.3">
      <c r="A111" s="224">
        <v>4</v>
      </c>
      <c r="C111" s="14">
        <f t="shared" si="14"/>
        <v>4</v>
      </c>
      <c r="D111" s="14" t="s">
        <v>504</v>
      </c>
      <c r="E111" s="58" t="s">
        <v>533</v>
      </c>
      <c r="F111" s="85" t="s">
        <v>535</v>
      </c>
      <c r="G111" s="173" t="s">
        <v>536</v>
      </c>
      <c r="H111" s="175" t="str">
        <f>'6. Contingency Planning'!$J10</f>
        <v>Comment is required</v>
      </c>
      <c r="I111" s="14">
        <f>'6. Contingency Planning'!$I10</f>
        <v>0</v>
      </c>
      <c r="J111" s="14" t="str">
        <f t="shared" si="15"/>
        <v>Blank</v>
      </c>
      <c r="K111" s="155" t="s">
        <v>1131</v>
      </c>
      <c r="L111" s="14" t="str">
        <f t="shared" si="13"/>
        <v>Blank</v>
      </c>
      <c r="N111" s="14" t="str">
        <f t="shared" si="16"/>
        <v/>
      </c>
      <c r="O111" s="14" t="str">
        <f t="shared" si="17"/>
        <v/>
      </c>
      <c r="P111" s="14" t="str">
        <f t="shared" si="18"/>
        <v>Comment is required</v>
      </c>
      <c r="Q111" s="14" t="str">
        <f t="shared" si="19"/>
        <v>Blank</v>
      </c>
      <c r="R111" s="14" t="str">
        <f t="shared" si="20"/>
        <v>No Override</v>
      </c>
      <c r="S111" s="14">
        <f t="shared" si="21"/>
        <v>4</v>
      </c>
      <c r="T111" s="14" t="str">
        <f t="shared" si="22"/>
        <v/>
      </c>
    </row>
    <row r="112" spans="1:20" x14ac:dyDescent="0.3">
      <c r="A112" s="224">
        <v>4</v>
      </c>
      <c r="C112" s="14">
        <f t="shared" si="14"/>
        <v>4</v>
      </c>
      <c r="D112" s="14" t="s">
        <v>504</v>
      </c>
      <c r="E112" s="58" t="s">
        <v>537</v>
      </c>
      <c r="F112" s="85" t="s">
        <v>535</v>
      </c>
      <c r="G112" s="173" t="s">
        <v>538</v>
      </c>
      <c r="H112" s="175" t="str">
        <f>'6. Contingency Planning'!$J11</f>
        <v>Comment is required</v>
      </c>
      <c r="I112" s="14">
        <f>'6. Contingency Planning'!$I11</f>
        <v>0</v>
      </c>
      <c r="J112" s="14" t="str">
        <f t="shared" si="15"/>
        <v>Blank</v>
      </c>
      <c r="K112" s="155" t="s">
        <v>1131</v>
      </c>
      <c r="L112" s="14" t="str">
        <f t="shared" si="13"/>
        <v>Blank</v>
      </c>
      <c r="N112" s="14" t="str">
        <f t="shared" si="16"/>
        <v/>
      </c>
      <c r="O112" s="14" t="str">
        <f t="shared" si="17"/>
        <v/>
      </c>
      <c r="P112" s="14" t="str">
        <f t="shared" si="18"/>
        <v>Comment is required</v>
      </c>
      <c r="Q112" s="14" t="str">
        <f t="shared" si="19"/>
        <v>Blank</v>
      </c>
      <c r="R112" s="14" t="str">
        <f t="shared" si="20"/>
        <v>No Override</v>
      </c>
      <c r="S112" s="14">
        <f t="shared" si="21"/>
        <v>4</v>
      </c>
      <c r="T112" s="14" t="str">
        <f t="shared" si="22"/>
        <v/>
      </c>
    </row>
    <row r="113" spans="1:20" ht="24" x14ac:dyDescent="0.3">
      <c r="A113" s="224">
        <v>4</v>
      </c>
      <c r="C113" s="14">
        <f t="shared" si="14"/>
        <v>4</v>
      </c>
      <c r="D113" s="14" t="s">
        <v>504</v>
      </c>
      <c r="E113" s="58" t="s">
        <v>539</v>
      </c>
      <c r="F113" s="85" t="s">
        <v>542</v>
      </c>
      <c r="G113" s="173" t="s">
        <v>543</v>
      </c>
      <c r="H113" s="175" t="str">
        <f>'6. Contingency Planning'!$J12</f>
        <v>Comment is required</v>
      </c>
      <c r="I113" s="14">
        <f>'6. Contingency Planning'!$I12</f>
        <v>0</v>
      </c>
      <c r="J113" s="14" t="str">
        <f t="shared" si="15"/>
        <v>Blank</v>
      </c>
      <c r="K113" s="155" t="s">
        <v>1131</v>
      </c>
      <c r="L113" s="14" t="str">
        <f t="shared" si="13"/>
        <v>Blank</v>
      </c>
      <c r="N113" s="14" t="str">
        <f t="shared" si="16"/>
        <v/>
      </c>
      <c r="O113" s="14" t="str">
        <f t="shared" si="17"/>
        <v/>
      </c>
      <c r="P113" s="14" t="str">
        <f t="shared" si="18"/>
        <v>Comment is required</v>
      </c>
      <c r="Q113" s="14" t="str">
        <f t="shared" si="19"/>
        <v>Blank</v>
      </c>
      <c r="R113" s="14" t="str">
        <f t="shared" si="20"/>
        <v>No Override</v>
      </c>
      <c r="S113" s="14">
        <f t="shared" si="21"/>
        <v>4</v>
      </c>
      <c r="T113" s="14" t="str">
        <f t="shared" si="22"/>
        <v/>
      </c>
    </row>
    <row r="114" spans="1:20" x14ac:dyDescent="0.3">
      <c r="A114" s="224">
        <v>2</v>
      </c>
      <c r="C114" s="14">
        <f t="shared" si="14"/>
        <v>2</v>
      </c>
      <c r="D114" s="14" t="s">
        <v>504</v>
      </c>
      <c r="E114" s="58" t="s">
        <v>544</v>
      </c>
      <c r="F114" s="85" t="s">
        <v>547</v>
      </c>
      <c r="G114" s="173" t="s">
        <v>548</v>
      </c>
      <c r="H114" s="175" t="str">
        <f>'6. Contingency Planning'!$J13</f>
        <v>Comment is required</v>
      </c>
      <c r="I114" s="14">
        <f>'6. Contingency Planning'!$I13</f>
        <v>0</v>
      </c>
      <c r="J114" s="14" t="str">
        <f t="shared" si="15"/>
        <v>Blank</v>
      </c>
      <c r="K114" s="155" t="s">
        <v>1131</v>
      </c>
      <c r="L114" s="14" t="str">
        <f t="shared" si="13"/>
        <v>Blank</v>
      </c>
      <c r="N114" s="14" t="str">
        <f t="shared" si="16"/>
        <v/>
      </c>
      <c r="O114" s="14" t="str">
        <f t="shared" si="17"/>
        <v/>
      </c>
      <c r="P114" s="14" t="str">
        <f t="shared" si="18"/>
        <v>Comment is required</v>
      </c>
      <c r="Q114" s="14" t="str">
        <f t="shared" si="19"/>
        <v>Blank</v>
      </c>
      <c r="R114" s="14" t="str">
        <f t="shared" si="20"/>
        <v>No Override</v>
      </c>
      <c r="S114" s="14">
        <f t="shared" si="21"/>
        <v>2</v>
      </c>
      <c r="T114" s="14" t="str">
        <f t="shared" si="22"/>
        <v/>
      </c>
    </row>
    <row r="115" spans="1:20" x14ac:dyDescent="0.3">
      <c r="A115" s="224">
        <v>2</v>
      </c>
      <c r="C115" s="14">
        <f t="shared" si="14"/>
        <v>2</v>
      </c>
      <c r="D115" s="14" t="s">
        <v>504</v>
      </c>
      <c r="E115" s="58" t="s">
        <v>549</v>
      </c>
      <c r="F115" s="85" t="s">
        <v>547</v>
      </c>
      <c r="G115" s="173" t="s">
        <v>550</v>
      </c>
      <c r="H115" s="175" t="str">
        <f>'6. Contingency Planning'!$J14</f>
        <v>Comment is required</v>
      </c>
      <c r="I115" s="14">
        <f>'6. Contingency Planning'!$I14</f>
        <v>0</v>
      </c>
      <c r="J115" s="14" t="str">
        <f t="shared" si="15"/>
        <v>Blank</v>
      </c>
      <c r="K115" s="155" t="s">
        <v>1131</v>
      </c>
      <c r="L115" s="14" t="str">
        <f t="shared" si="13"/>
        <v>Blank</v>
      </c>
      <c r="N115" s="14" t="str">
        <f t="shared" si="16"/>
        <v/>
      </c>
      <c r="O115" s="14" t="str">
        <f t="shared" si="17"/>
        <v/>
      </c>
      <c r="P115" s="14" t="str">
        <f t="shared" si="18"/>
        <v>Comment is required</v>
      </c>
      <c r="Q115" s="14" t="str">
        <f t="shared" si="19"/>
        <v>Blank</v>
      </c>
      <c r="R115" s="14" t="str">
        <f t="shared" si="20"/>
        <v>No Override</v>
      </c>
      <c r="S115" s="14">
        <f t="shared" si="21"/>
        <v>2</v>
      </c>
      <c r="T115" s="14" t="str">
        <f t="shared" si="22"/>
        <v/>
      </c>
    </row>
    <row r="116" spans="1:20" ht="24" x14ac:dyDescent="0.3">
      <c r="A116" s="224">
        <v>2</v>
      </c>
      <c r="C116" s="14">
        <f t="shared" si="14"/>
        <v>2</v>
      </c>
      <c r="D116" s="14" t="s">
        <v>504</v>
      </c>
      <c r="E116" s="58" t="s">
        <v>551</v>
      </c>
      <c r="F116" s="85" t="s">
        <v>554</v>
      </c>
      <c r="G116" s="173" t="s">
        <v>555</v>
      </c>
      <c r="H116" s="175" t="str">
        <f>'6. Contingency Planning'!$J15</f>
        <v>Comment is required</v>
      </c>
      <c r="I116" s="14">
        <f>'6. Contingency Planning'!$I15</f>
        <v>0</v>
      </c>
      <c r="J116" s="14" t="str">
        <f t="shared" si="15"/>
        <v>Blank</v>
      </c>
      <c r="K116" s="155" t="s">
        <v>1131</v>
      </c>
      <c r="L116" s="14" t="str">
        <f t="shared" si="13"/>
        <v>Blank</v>
      </c>
      <c r="N116" s="14" t="str">
        <f t="shared" si="16"/>
        <v/>
      </c>
      <c r="O116" s="14" t="str">
        <f t="shared" si="17"/>
        <v/>
      </c>
      <c r="P116" s="14" t="str">
        <f t="shared" si="18"/>
        <v>Comment is required</v>
      </c>
      <c r="Q116" s="14" t="str">
        <f t="shared" si="19"/>
        <v>Blank</v>
      </c>
      <c r="R116" s="14" t="str">
        <f t="shared" si="20"/>
        <v>No Override</v>
      </c>
      <c r="S116" s="14">
        <f t="shared" si="21"/>
        <v>2</v>
      </c>
      <c r="T116" s="14" t="str">
        <f t="shared" si="22"/>
        <v/>
      </c>
    </row>
    <row r="117" spans="1:20" ht="22.8" x14ac:dyDescent="0.3">
      <c r="A117" s="224">
        <v>4</v>
      </c>
      <c r="C117" s="14">
        <f t="shared" si="14"/>
        <v>4</v>
      </c>
      <c r="D117" s="14" t="s">
        <v>1135</v>
      </c>
      <c r="E117" s="58" t="s">
        <v>557</v>
      </c>
      <c r="F117" s="82" t="s">
        <v>559</v>
      </c>
      <c r="G117" s="176" t="s">
        <v>560</v>
      </c>
      <c r="H117" s="176" t="str">
        <f>'7. Authentication&amp;Authorization'!$J3</f>
        <v>Comment is required</v>
      </c>
      <c r="I117" s="14">
        <f>'7. Authentication&amp;Authorization'!$I3</f>
        <v>0</v>
      </c>
      <c r="J117" s="49" t="str">
        <f>IF($I117="Yes","Adequate",IF($I117="No","Adequate",IF($I117="Partial","Inadequate",IF($I117="N/A","Inadequate",IF(OR($I117="",$I117=0),"Blank","Error")))))</f>
        <v>Blank</v>
      </c>
      <c r="K117" s="155" t="s">
        <v>1131</v>
      </c>
      <c r="L117" s="14" t="str">
        <f t="shared" si="13"/>
        <v>Blank</v>
      </c>
      <c r="N117" s="14" t="str">
        <f t="shared" si="16"/>
        <v/>
      </c>
      <c r="O117" s="14" t="str">
        <f t="shared" si="17"/>
        <v/>
      </c>
      <c r="P117" s="14" t="str">
        <f t="shared" si="18"/>
        <v>Comment is required</v>
      </c>
      <c r="Q117" s="14" t="str">
        <f t="shared" si="19"/>
        <v>Blank</v>
      </c>
      <c r="R117" s="14" t="str">
        <f t="shared" si="20"/>
        <v>No Override</v>
      </c>
      <c r="S117" s="14">
        <f t="shared" si="21"/>
        <v>4</v>
      </c>
      <c r="T117" s="14" t="str">
        <f t="shared" si="22"/>
        <v/>
      </c>
    </row>
    <row r="118" spans="1:20" x14ac:dyDescent="0.3">
      <c r="A118" s="224">
        <v>4</v>
      </c>
      <c r="C118" s="14">
        <f t="shared" si="14"/>
        <v>4</v>
      </c>
      <c r="D118" s="14" t="s">
        <v>1135</v>
      </c>
      <c r="E118" s="58" t="s">
        <v>561</v>
      </c>
      <c r="F118" s="82" t="s">
        <v>559</v>
      </c>
      <c r="G118" s="170" t="s">
        <v>562</v>
      </c>
      <c r="H118" s="176" t="str">
        <f>'7. Authentication&amp;Authorization'!$J4</f>
        <v>Comment is required</v>
      </c>
      <c r="I118" s="14">
        <f>'7. Authentication&amp;Authorization'!$I4</f>
        <v>0</v>
      </c>
      <c r="J118" s="61" t="str">
        <f t="shared" ref="J118:J144" si="24">IF($I118="Yes","Adequate",IF($I118="No","Inadequate",IF($I118="Partial","Inadequate",IF($I118="N/A","Inadequate",IF(OR($I118="",$I118=0),"Blank","Error")))))</f>
        <v>Blank</v>
      </c>
      <c r="K118" s="155" t="s">
        <v>1131</v>
      </c>
      <c r="L118" s="14" t="str">
        <f t="shared" si="13"/>
        <v>Blank</v>
      </c>
      <c r="N118" s="14" t="str">
        <f t="shared" si="16"/>
        <v/>
      </c>
      <c r="O118" s="14" t="str">
        <f t="shared" si="17"/>
        <v/>
      </c>
      <c r="P118" s="14" t="str">
        <f t="shared" si="18"/>
        <v>Comment is required</v>
      </c>
      <c r="Q118" s="14" t="str">
        <f t="shared" si="19"/>
        <v>Blank</v>
      </c>
      <c r="R118" s="14" t="str">
        <f t="shared" si="20"/>
        <v>No Override</v>
      </c>
      <c r="S118" s="14">
        <f t="shared" si="21"/>
        <v>4</v>
      </c>
      <c r="T118" s="14" t="str">
        <f t="shared" si="22"/>
        <v/>
      </c>
    </row>
    <row r="119" spans="1:20" ht="22.8" x14ac:dyDescent="0.3">
      <c r="A119" s="224">
        <v>4</v>
      </c>
      <c r="C119" s="14">
        <f t="shared" si="14"/>
        <v>4</v>
      </c>
      <c r="D119" s="14" t="s">
        <v>1135</v>
      </c>
      <c r="E119" s="58" t="s">
        <v>563</v>
      </c>
      <c r="F119" s="82" t="s">
        <v>566</v>
      </c>
      <c r="G119" s="176" t="s">
        <v>567</v>
      </c>
      <c r="H119" s="176" t="str">
        <f>'7. Authentication&amp;Authorization'!$J5</f>
        <v>Comment is required</v>
      </c>
      <c r="I119" s="14">
        <f>'7. Authentication&amp;Authorization'!$I5</f>
        <v>0</v>
      </c>
      <c r="J119" s="14" t="str">
        <f t="shared" si="24"/>
        <v>Blank</v>
      </c>
      <c r="K119" s="155" t="s">
        <v>1131</v>
      </c>
      <c r="L119" s="14" t="str">
        <f t="shared" si="13"/>
        <v>Blank</v>
      </c>
      <c r="N119" s="14" t="str">
        <f t="shared" si="16"/>
        <v/>
      </c>
      <c r="O119" s="14" t="str">
        <f t="shared" si="17"/>
        <v/>
      </c>
      <c r="P119" s="14" t="str">
        <f t="shared" si="18"/>
        <v>Comment is required</v>
      </c>
      <c r="Q119" s="14" t="str">
        <f t="shared" si="19"/>
        <v>Blank</v>
      </c>
      <c r="R119" s="14" t="str">
        <f t="shared" si="20"/>
        <v>No Override</v>
      </c>
      <c r="S119" s="14">
        <f t="shared" si="21"/>
        <v>4</v>
      </c>
      <c r="T119" s="14" t="str">
        <f t="shared" si="22"/>
        <v/>
      </c>
    </row>
    <row r="120" spans="1:20" ht="22.8" x14ac:dyDescent="0.3">
      <c r="A120" s="224">
        <v>2</v>
      </c>
      <c r="C120" s="14">
        <f t="shared" si="14"/>
        <v>2</v>
      </c>
      <c r="D120" s="14" t="s">
        <v>1135</v>
      </c>
      <c r="E120" s="58" t="s">
        <v>568</v>
      </c>
      <c r="F120" s="82" t="s">
        <v>571</v>
      </c>
      <c r="G120" s="176" t="s">
        <v>572</v>
      </c>
      <c r="H120" s="176" t="str">
        <f>'7. Authentication&amp;Authorization'!$J6</f>
        <v>Comment is required</v>
      </c>
      <c r="I120" s="14">
        <f>'7. Authentication&amp;Authorization'!$I6</f>
        <v>0</v>
      </c>
      <c r="J120" s="14" t="str">
        <f t="shared" si="24"/>
        <v>Blank</v>
      </c>
      <c r="K120" s="155" t="s">
        <v>1131</v>
      </c>
      <c r="L120" s="14" t="str">
        <f t="shared" si="13"/>
        <v>Blank</v>
      </c>
      <c r="N120" s="14" t="str">
        <f t="shared" si="16"/>
        <v/>
      </c>
      <c r="O120" s="14" t="str">
        <f t="shared" si="17"/>
        <v/>
      </c>
      <c r="P120" s="14" t="str">
        <f t="shared" si="18"/>
        <v>Comment is required</v>
      </c>
      <c r="Q120" s="14" t="str">
        <f t="shared" si="19"/>
        <v>Blank</v>
      </c>
      <c r="R120" s="14" t="str">
        <f t="shared" si="20"/>
        <v>No Override</v>
      </c>
      <c r="S120" s="14">
        <f t="shared" si="21"/>
        <v>2</v>
      </c>
      <c r="T120" s="14" t="str">
        <f t="shared" si="22"/>
        <v/>
      </c>
    </row>
    <row r="121" spans="1:20" ht="22.8" x14ac:dyDescent="0.3">
      <c r="A121" s="224">
        <v>2</v>
      </c>
      <c r="C121" s="14">
        <f t="shared" si="14"/>
        <v>2</v>
      </c>
      <c r="D121" s="14" t="s">
        <v>1135</v>
      </c>
      <c r="E121" s="58" t="s">
        <v>573</v>
      </c>
      <c r="F121" s="82" t="s">
        <v>575</v>
      </c>
      <c r="G121" s="176" t="s">
        <v>576</v>
      </c>
      <c r="H121" s="176" t="str">
        <f>'7. Authentication&amp;Authorization'!$J7</f>
        <v>Comment is required</v>
      </c>
      <c r="I121" s="14">
        <f>'7. Authentication&amp;Authorization'!$I7</f>
        <v>0</v>
      </c>
      <c r="J121" s="14" t="str">
        <f t="shared" si="24"/>
        <v>Blank</v>
      </c>
      <c r="K121" s="155" t="s">
        <v>1131</v>
      </c>
      <c r="L121" s="14" t="str">
        <f t="shared" si="13"/>
        <v>Blank</v>
      </c>
      <c r="N121" s="14" t="str">
        <f t="shared" si="16"/>
        <v/>
      </c>
      <c r="O121" s="14" t="str">
        <f t="shared" si="17"/>
        <v/>
      </c>
      <c r="P121" s="14" t="str">
        <f t="shared" si="18"/>
        <v>Comment is required</v>
      </c>
      <c r="Q121" s="14" t="str">
        <f t="shared" si="19"/>
        <v>Blank</v>
      </c>
      <c r="R121" s="14" t="str">
        <f t="shared" si="20"/>
        <v>No Override</v>
      </c>
      <c r="S121" s="14">
        <f t="shared" si="21"/>
        <v>2</v>
      </c>
      <c r="T121" s="14" t="str">
        <f t="shared" si="22"/>
        <v/>
      </c>
    </row>
    <row r="122" spans="1:20" x14ac:dyDescent="0.3">
      <c r="A122" s="224">
        <v>3</v>
      </c>
      <c r="C122" s="14">
        <f t="shared" si="14"/>
        <v>3</v>
      </c>
      <c r="D122" s="14" t="s">
        <v>1135</v>
      </c>
      <c r="E122" s="58" t="s">
        <v>577</v>
      </c>
      <c r="F122" s="82" t="s">
        <v>575</v>
      </c>
      <c r="G122" s="176" t="s">
        <v>578</v>
      </c>
      <c r="H122" s="176" t="str">
        <f>'7. Authentication&amp;Authorization'!$J8</f>
        <v>Comment is required</v>
      </c>
      <c r="I122" s="14">
        <f>'7. Authentication&amp;Authorization'!$I8</f>
        <v>0</v>
      </c>
      <c r="J122" s="14" t="str">
        <f t="shared" si="24"/>
        <v>Blank</v>
      </c>
      <c r="K122" s="155" t="s">
        <v>1131</v>
      </c>
      <c r="L122" s="14" t="str">
        <f t="shared" si="13"/>
        <v>Blank</v>
      </c>
      <c r="N122" s="14" t="str">
        <f t="shared" si="16"/>
        <v/>
      </c>
      <c r="O122" s="14" t="str">
        <f t="shared" si="17"/>
        <v/>
      </c>
      <c r="P122" s="14" t="str">
        <f t="shared" si="18"/>
        <v>Comment is required</v>
      </c>
      <c r="Q122" s="14" t="str">
        <f t="shared" si="19"/>
        <v>Blank</v>
      </c>
      <c r="R122" s="14" t="str">
        <f t="shared" si="20"/>
        <v>No Override</v>
      </c>
      <c r="S122" s="14">
        <f t="shared" si="21"/>
        <v>3</v>
      </c>
      <c r="T122" s="14" t="str">
        <f t="shared" si="22"/>
        <v/>
      </c>
    </row>
    <row r="123" spans="1:20" x14ac:dyDescent="0.3">
      <c r="A123" s="224">
        <v>2</v>
      </c>
      <c r="C123" s="14">
        <f t="shared" si="14"/>
        <v>2</v>
      </c>
      <c r="D123" s="14" t="s">
        <v>1135</v>
      </c>
      <c r="E123" s="58" t="s">
        <v>579</v>
      </c>
      <c r="F123" s="82" t="s">
        <v>575</v>
      </c>
      <c r="G123" s="176" t="s">
        <v>580</v>
      </c>
      <c r="H123" s="176" t="str">
        <f>'7. Authentication&amp;Authorization'!$J9</f>
        <v>Comment is required</v>
      </c>
      <c r="I123" s="14">
        <f>'7. Authentication&amp;Authorization'!$I9</f>
        <v>0</v>
      </c>
      <c r="J123" s="14" t="str">
        <f t="shared" si="24"/>
        <v>Blank</v>
      </c>
      <c r="K123" s="155" t="s">
        <v>1131</v>
      </c>
      <c r="L123" s="14" t="str">
        <f t="shared" si="13"/>
        <v>Blank</v>
      </c>
      <c r="N123" s="14" t="str">
        <f t="shared" si="16"/>
        <v/>
      </c>
      <c r="O123" s="14" t="str">
        <f t="shared" si="17"/>
        <v/>
      </c>
      <c r="P123" s="14" t="str">
        <f t="shared" si="18"/>
        <v>Comment is required</v>
      </c>
      <c r="Q123" s="14" t="str">
        <f t="shared" si="19"/>
        <v>Blank</v>
      </c>
      <c r="R123" s="14" t="str">
        <f t="shared" si="20"/>
        <v>No Override</v>
      </c>
      <c r="S123" s="14">
        <f t="shared" si="21"/>
        <v>2</v>
      </c>
      <c r="T123" s="14" t="str">
        <f t="shared" si="22"/>
        <v/>
      </c>
    </row>
    <row r="124" spans="1:20" x14ac:dyDescent="0.3">
      <c r="A124" s="224">
        <v>3</v>
      </c>
      <c r="C124" s="14">
        <f t="shared" si="14"/>
        <v>3</v>
      </c>
      <c r="D124" s="14" t="s">
        <v>1135</v>
      </c>
      <c r="E124" s="58" t="s">
        <v>581</v>
      </c>
      <c r="F124" s="82" t="s">
        <v>584</v>
      </c>
      <c r="G124" s="176" t="s">
        <v>585</v>
      </c>
      <c r="H124" s="176" t="str">
        <f>'7. Authentication&amp;Authorization'!$J10</f>
        <v>Comment is required</v>
      </c>
      <c r="I124" s="14">
        <f>'7. Authentication&amp;Authorization'!$I10</f>
        <v>0</v>
      </c>
      <c r="J124" s="14" t="str">
        <f t="shared" si="24"/>
        <v>Blank</v>
      </c>
      <c r="K124" s="155" t="s">
        <v>1131</v>
      </c>
      <c r="L124" s="14" t="str">
        <f t="shared" si="13"/>
        <v>Blank</v>
      </c>
      <c r="N124" s="14" t="str">
        <f t="shared" si="16"/>
        <v/>
      </c>
      <c r="O124" s="14" t="str">
        <f t="shared" si="17"/>
        <v/>
      </c>
      <c r="P124" s="14" t="str">
        <f t="shared" si="18"/>
        <v>Comment is required</v>
      </c>
      <c r="Q124" s="14" t="str">
        <f t="shared" si="19"/>
        <v>Blank</v>
      </c>
      <c r="R124" s="14" t="str">
        <f t="shared" si="20"/>
        <v>No Override</v>
      </c>
      <c r="S124" s="14">
        <f t="shared" si="21"/>
        <v>3</v>
      </c>
      <c r="T124" s="14" t="str">
        <f t="shared" si="22"/>
        <v/>
      </c>
    </row>
    <row r="125" spans="1:20" ht="114" x14ac:dyDescent="0.3">
      <c r="A125" s="224">
        <v>1</v>
      </c>
      <c r="C125" s="14">
        <f t="shared" si="14"/>
        <v>1</v>
      </c>
      <c r="D125" s="14" t="s">
        <v>1135</v>
      </c>
      <c r="E125" s="58" t="s">
        <v>586</v>
      </c>
      <c r="F125" s="82" t="s">
        <v>584</v>
      </c>
      <c r="G125" s="176" t="s">
        <v>1335</v>
      </c>
      <c r="H125" s="176" t="str">
        <f>'7. Authentication&amp;Authorization'!$J11</f>
        <v>Comment is required</v>
      </c>
      <c r="I125" s="14">
        <f>'7. Authentication&amp;Authorization'!$I11</f>
        <v>0</v>
      </c>
      <c r="J125" s="14" t="str">
        <f t="shared" si="24"/>
        <v>Blank</v>
      </c>
      <c r="K125" s="155" t="s">
        <v>1131</v>
      </c>
      <c r="L125" s="14" t="str">
        <f t="shared" si="13"/>
        <v>Blank</v>
      </c>
      <c r="N125" s="14" t="str">
        <f t="shared" si="16"/>
        <v/>
      </c>
      <c r="O125" s="14" t="str">
        <f t="shared" si="17"/>
        <v/>
      </c>
      <c r="P125" s="14" t="str">
        <f t="shared" si="18"/>
        <v>Comment is required</v>
      </c>
      <c r="Q125" s="14" t="str">
        <f t="shared" si="19"/>
        <v>Blank</v>
      </c>
      <c r="R125" s="14" t="str">
        <f t="shared" si="20"/>
        <v>No Override</v>
      </c>
      <c r="S125" s="14">
        <f t="shared" si="21"/>
        <v>1</v>
      </c>
      <c r="T125" s="14" t="str">
        <f t="shared" si="22"/>
        <v/>
      </c>
    </row>
    <row r="126" spans="1:20" x14ac:dyDescent="0.3">
      <c r="A126" s="224">
        <v>1</v>
      </c>
      <c r="C126" s="14">
        <f t="shared" si="14"/>
        <v>1</v>
      </c>
      <c r="D126" s="14" t="s">
        <v>1135</v>
      </c>
      <c r="E126" s="58" t="s">
        <v>587</v>
      </c>
      <c r="F126" s="82" t="s">
        <v>584</v>
      </c>
      <c r="G126" s="176" t="s">
        <v>588</v>
      </c>
      <c r="H126" s="176" t="str">
        <f>'7. Authentication&amp;Authorization'!$J12</f>
        <v>Comment is required</v>
      </c>
      <c r="I126" s="14">
        <f>'7. Authentication&amp;Authorization'!$I12</f>
        <v>0</v>
      </c>
      <c r="J126" s="14" t="str">
        <f t="shared" si="24"/>
        <v>Blank</v>
      </c>
      <c r="K126" s="155" t="s">
        <v>1131</v>
      </c>
      <c r="L126" s="14" t="str">
        <f t="shared" si="13"/>
        <v>Blank</v>
      </c>
      <c r="N126" s="14" t="str">
        <f t="shared" si="16"/>
        <v/>
      </c>
      <c r="O126" s="14" t="str">
        <f t="shared" si="17"/>
        <v/>
      </c>
      <c r="P126" s="14" t="str">
        <f t="shared" si="18"/>
        <v>Comment is required</v>
      </c>
      <c r="Q126" s="14" t="str">
        <f t="shared" si="19"/>
        <v>Blank</v>
      </c>
      <c r="R126" s="14" t="str">
        <f t="shared" si="20"/>
        <v>No Override</v>
      </c>
      <c r="S126" s="14">
        <f t="shared" si="21"/>
        <v>1</v>
      </c>
      <c r="T126" s="14" t="str">
        <f t="shared" si="22"/>
        <v/>
      </c>
    </row>
    <row r="127" spans="1:20" x14ac:dyDescent="0.3">
      <c r="A127" s="224">
        <v>1</v>
      </c>
      <c r="C127" s="14">
        <f t="shared" si="14"/>
        <v>1</v>
      </c>
      <c r="D127" s="14" t="s">
        <v>1135</v>
      </c>
      <c r="E127" s="58" t="s">
        <v>589</v>
      </c>
      <c r="F127" s="82" t="s">
        <v>584</v>
      </c>
      <c r="G127" s="176" t="s">
        <v>590</v>
      </c>
      <c r="H127" s="176" t="str">
        <f>'7. Authentication&amp;Authorization'!$J13</f>
        <v>Comment is required</v>
      </c>
      <c r="I127" s="14">
        <f>'7. Authentication&amp;Authorization'!$I13</f>
        <v>0</v>
      </c>
      <c r="J127" s="14" t="str">
        <f t="shared" si="24"/>
        <v>Blank</v>
      </c>
      <c r="K127" s="155" t="s">
        <v>1131</v>
      </c>
      <c r="L127" s="14" t="str">
        <f t="shared" si="13"/>
        <v>Blank</v>
      </c>
      <c r="N127" s="14" t="str">
        <f t="shared" si="16"/>
        <v/>
      </c>
      <c r="O127" s="14" t="str">
        <f t="shared" si="17"/>
        <v/>
      </c>
      <c r="P127" s="14" t="str">
        <f t="shared" si="18"/>
        <v>Comment is required</v>
      </c>
      <c r="Q127" s="14" t="str">
        <f t="shared" si="19"/>
        <v>Blank</v>
      </c>
      <c r="R127" s="14" t="str">
        <f t="shared" si="20"/>
        <v>No Override</v>
      </c>
      <c r="S127" s="14">
        <f t="shared" si="21"/>
        <v>1</v>
      </c>
      <c r="T127" s="14" t="str">
        <f t="shared" si="22"/>
        <v/>
      </c>
    </row>
    <row r="128" spans="1:20" x14ac:dyDescent="0.3">
      <c r="A128" s="224">
        <v>1</v>
      </c>
      <c r="C128" s="14">
        <f t="shared" si="14"/>
        <v>1</v>
      </c>
      <c r="D128" s="14" t="s">
        <v>1135</v>
      </c>
      <c r="E128" s="58" t="s">
        <v>591</v>
      </c>
      <c r="F128" s="82" t="s">
        <v>584</v>
      </c>
      <c r="G128" s="176" t="s">
        <v>592</v>
      </c>
      <c r="H128" s="176" t="str">
        <f>'7. Authentication&amp;Authorization'!$J14</f>
        <v>Comment is required</v>
      </c>
      <c r="I128" s="14">
        <f>'7. Authentication&amp;Authorization'!$I14</f>
        <v>0</v>
      </c>
      <c r="J128" s="14" t="str">
        <f t="shared" si="24"/>
        <v>Blank</v>
      </c>
      <c r="K128" s="155" t="s">
        <v>1131</v>
      </c>
      <c r="L128" s="14" t="str">
        <f t="shared" si="13"/>
        <v>Blank</v>
      </c>
      <c r="N128" s="14" t="str">
        <f t="shared" si="16"/>
        <v/>
      </c>
      <c r="O128" s="14" t="str">
        <f t="shared" si="17"/>
        <v/>
      </c>
      <c r="P128" s="14" t="str">
        <f t="shared" si="18"/>
        <v>Comment is required</v>
      </c>
      <c r="Q128" s="14" t="str">
        <f t="shared" si="19"/>
        <v>Blank</v>
      </c>
      <c r="R128" s="14" t="str">
        <f t="shared" si="20"/>
        <v>No Override</v>
      </c>
      <c r="S128" s="14">
        <f t="shared" si="21"/>
        <v>1</v>
      </c>
      <c r="T128" s="14" t="str">
        <f t="shared" si="22"/>
        <v/>
      </c>
    </row>
    <row r="129" spans="1:20" x14ac:dyDescent="0.3">
      <c r="A129" s="224">
        <v>3</v>
      </c>
      <c r="C129" s="14">
        <f t="shared" si="14"/>
        <v>3</v>
      </c>
      <c r="D129" s="14" t="s">
        <v>1135</v>
      </c>
      <c r="E129" s="58" t="s">
        <v>593</v>
      </c>
      <c r="F129" s="82" t="s">
        <v>584</v>
      </c>
      <c r="G129" s="176" t="s">
        <v>594</v>
      </c>
      <c r="H129" s="176" t="str">
        <f>'7. Authentication&amp;Authorization'!$J15</f>
        <v>Comment is required</v>
      </c>
      <c r="I129" s="14">
        <f>'7. Authentication&amp;Authorization'!$I15</f>
        <v>0</v>
      </c>
      <c r="J129" s="14" t="str">
        <f t="shared" si="24"/>
        <v>Blank</v>
      </c>
      <c r="K129" s="155" t="s">
        <v>1131</v>
      </c>
      <c r="L129" s="14" t="str">
        <f t="shared" si="13"/>
        <v>Blank</v>
      </c>
      <c r="N129" s="14" t="str">
        <f t="shared" si="16"/>
        <v/>
      </c>
      <c r="O129" s="14" t="str">
        <f t="shared" si="17"/>
        <v/>
      </c>
      <c r="P129" s="14" t="str">
        <f t="shared" si="18"/>
        <v>Comment is required</v>
      </c>
      <c r="Q129" s="14" t="str">
        <f t="shared" si="19"/>
        <v>Blank</v>
      </c>
      <c r="R129" s="14" t="str">
        <f t="shared" si="20"/>
        <v>No Override</v>
      </c>
      <c r="S129" s="14">
        <f t="shared" si="21"/>
        <v>3</v>
      </c>
      <c r="T129" s="14" t="str">
        <f t="shared" si="22"/>
        <v/>
      </c>
    </row>
    <row r="130" spans="1:20" x14ac:dyDescent="0.3">
      <c r="A130" s="224">
        <v>3</v>
      </c>
      <c r="C130" s="14">
        <f t="shared" si="14"/>
        <v>3</v>
      </c>
      <c r="D130" s="14" t="s">
        <v>1135</v>
      </c>
      <c r="E130" s="58" t="s">
        <v>595</v>
      </c>
      <c r="F130" s="82" t="s">
        <v>584</v>
      </c>
      <c r="G130" s="176" t="s">
        <v>596</v>
      </c>
      <c r="H130" s="176" t="str">
        <f>'7. Authentication&amp;Authorization'!$J16</f>
        <v>Comment is required</v>
      </c>
      <c r="I130" s="14">
        <f>'7. Authentication&amp;Authorization'!$I16</f>
        <v>0</v>
      </c>
      <c r="J130" s="14" t="str">
        <f t="shared" si="24"/>
        <v>Blank</v>
      </c>
      <c r="K130" s="155" t="s">
        <v>1131</v>
      </c>
      <c r="L130" s="14" t="str">
        <f t="shared" si="13"/>
        <v>Blank</v>
      </c>
      <c r="N130" s="14" t="str">
        <f t="shared" si="16"/>
        <v/>
      </c>
      <c r="O130" s="14" t="str">
        <f t="shared" si="17"/>
        <v/>
      </c>
      <c r="P130" s="14" t="str">
        <f t="shared" si="18"/>
        <v>Comment is required</v>
      </c>
      <c r="Q130" s="14" t="str">
        <f t="shared" si="19"/>
        <v>Blank</v>
      </c>
      <c r="R130" s="14" t="str">
        <f t="shared" si="20"/>
        <v>No Override</v>
      </c>
      <c r="S130" s="14">
        <f t="shared" si="21"/>
        <v>3</v>
      </c>
      <c r="T130" s="14" t="str">
        <f t="shared" si="22"/>
        <v/>
      </c>
    </row>
    <row r="131" spans="1:20" x14ac:dyDescent="0.3">
      <c r="A131" s="224">
        <v>1</v>
      </c>
      <c r="C131" s="14">
        <f t="shared" si="14"/>
        <v>1</v>
      </c>
      <c r="D131" s="14" t="s">
        <v>1135</v>
      </c>
      <c r="E131" s="58" t="s">
        <v>597</v>
      </c>
      <c r="F131" s="82" t="s">
        <v>584</v>
      </c>
      <c r="G131" s="176" t="s">
        <v>598</v>
      </c>
      <c r="H131" s="176" t="str">
        <f>'7. Authentication&amp;Authorization'!$J17</f>
        <v>Comment is required</v>
      </c>
      <c r="I131" s="14">
        <f>'7. Authentication&amp;Authorization'!$I17</f>
        <v>0</v>
      </c>
      <c r="J131" s="14" t="str">
        <f t="shared" si="24"/>
        <v>Blank</v>
      </c>
      <c r="K131" s="155" t="s">
        <v>1131</v>
      </c>
      <c r="L131" s="14" t="str">
        <f t="shared" si="13"/>
        <v>Blank</v>
      </c>
      <c r="N131" s="14" t="str">
        <f t="shared" si="16"/>
        <v/>
      </c>
      <c r="O131" s="14" t="str">
        <f t="shared" si="17"/>
        <v/>
      </c>
      <c r="P131" s="14" t="str">
        <f t="shared" si="18"/>
        <v>Comment is required</v>
      </c>
      <c r="Q131" s="14" t="str">
        <f t="shared" si="19"/>
        <v>Blank</v>
      </c>
      <c r="R131" s="14" t="str">
        <f t="shared" si="20"/>
        <v>No Override</v>
      </c>
      <c r="S131" s="14">
        <f t="shared" si="21"/>
        <v>1</v>
      </c>
      <c r="T131" s="14" t="str">
        <f t="shared" si="22"/>
        <v/>
      </c>
    </row>
    <row r="132" spans="1:20" x14ac:dyDescent="0.3">
      <c r="A132" s="224">
        <v>3</v>
      </c>
      <c r="C132" s="14">
        <f t="shared" si="14"/>
        <v>3</v>
      </c>
      <c r="D132" s="14" t="s">
        <v>1135</v>
      </c>
      <c r="E132" s="58" t="s">
        <v>599</v>
      </c>
      <c r="F132" s="82" t="s">
        <v>584</v>
      </c>
      <c r="G132" s="176" t="s">
        <v>600</v>
      </c>
      <c r="H132" s="176" t="str">
        <f>'7. Authentication&amp;Authorization'!$J18</f>
        <v>Comment is required</v>
      </c>
      <c r="I132" s="14">
        <f>'7. Authentication&amp;Authorization'!$I18</f>
        <v>0</v>
      </c>
      <c r="J132" s="14" t="str">
        <f t="shared" si="24"/>
        <v>Blank</v>
      </c>
      <c r="K132" s="155" t="s">
        <v>1131</v>
      </c>
      <c r="L132" s="14" t="str">
        <f t="shared" si="13"/>
        <v>Blank</v>
      </c>
      <c r="N132" s="14" t="str">
        <f t="shared" si="16"/>
        <v/>
      </c>
      <c r="O132" s="14" t="str">
        <f t="shared" si="17"/>
        <v/>
      </c>
      <c r="P132" s="14" t="str">
        <f t="shared" si="18"/>
        <v>Comment is required</v>
      </c>
      <c r="Q132" s="14" t="str">
        <f t="shared" si="19"/>
        <v>Blank</v>
      </c>
      <c r="R132" s="14" t="str">
        <f t="shared" si="20"/>
        <v>No Override</v>
      </c>
      <c r="S132" s="14">
        <f t="shared" si="21"/>
        <v>3</v>
      </c>
      <c r="T132" s="14" t="str">
        <f t="shared" si="22"/>
        <v/>
      </c>
    </row>
    <row r="133" spans="1:20" x14ac:dyDescent="0.3">
      <c r="A133" s="224">
        <v>4</v>
      </c>
      <c r="C133" s="14">
        <f t="shared" si="14"/>
        <v>4</v>
      </c>
      <c r="D133" s="14" t="s">
        <v>1135</v>
      </c>
      <c r="E133" s="58" t="s">
        <v>601</v>
      </c>
      <c r="F133" s="82" t="s">
        <v>603</v>
      </c>
      <c r="G133" s="176" t="s">
        <v>604</v>
      </c>
      <c r="H133" s="176" t="str">
        <f>'7. Authentication&amp;Authorization'!$J19</f>
        <v>Comment is required</v>
      </c>
      <c r="I133" s="14">
        <f>'7. Authentication&amp;Authorization'!$I19</f>
        <v>0</v>
      </c>
      <c r="J133" s="14" t="str">
        <f t="shared" si="24"/>
        <v>Blank</v>
      </c>
      <c r="K133" s="155" t="s">
        <v>1131</v>
      </c>
      <c r="L133" s="14" t="str">
        <f t="shared" si="13"/>
        <v>Blank</v>
      </c>
      <c r="N133" s="14" t="str">
        <f t="shared" si="16"/>
        <v/>
      </c>
      <c r="O133" s="14" t="str">
        <f t="shared" si="17"/>
        <v/>
      </c>
      <c r="P133" s="14" t="str">
        <f t="shared" si="18"/>
        <v>Comment is required</v>
      </c>
      <c r="Q133" s="14" t="str">
        <f t="shared" si="19"/>
        <v>Blank</v>
      </c>
      <c r="R133" s="14" t="str">
        <f t="shared" si="20"/>
        <v>No Override</v>
      </c>
      <c r="S133" s="14">
        <f t="shared" si="21"/>
        <v>4</v>
      </c>
      <c r="T133" s="14" t="str">
        <f t="shared" si="22"/>
        <v/>
      </c>
    </row>
    <row r="134" spans="1:20" ht="22.8" x14ac:dyDescent="0.3">
      <c r="A134" s="224">
        <v>4</v>
      </c>
      <c r="C134" s="14">
        <f t="shared" si="14"/>
        <v>4</v>
      </c>
      <c r="D134" s="14" t="s">
        <v>1135</v>
      </c>
      <c r="E134" s="58" t="s">
        <v>605</v>
      </c>
      <c r="F134" s="82" t="s">
        <v>607</v>
      </c>
      <c r="G134" s="176" t="s">
        <v>608</v>
      </c>
      <c r="H134" s="176" t="str">
        <f>'7. Authentication&amp;Authorization'!$J20</f>
        <v>Comment is required</v>
      </c>
      <c r="I134" s="14">
        <f>'7. Authentication&amp;Authorization'!$I20</f>
        <v>0</v>
      </c>
      <c r="J134" s="14" t="str">
        <f t="shared" si="24"/>
        <v>Blank</v>
      </c>
      <c r="K134" s="155" t="s">
        <v>1131</v>
      </c>
      <c r="L134" s="14" t="str">
        <f t="shared" si="13"/>
        <v>Blank</v>
      </c>
      <c r="N134" s="14" t="str">
        <f t="shared" si="16"/>
        <v/>
      </c>
      <c r="O134" s="14" t="str">
        <f t="shared" si="17"/>
        <v/>
      </c>
      <c r="P134" s="14" t="str">
        <f t="shared" si="18"/>
        <v>Comment is required</v>
      </c>
      <c r="Q134" s="14" t="str">
        <f t="shared" si="19"/>
        <v>Blank</v>
      </c>
      <c r="R134" s="14" t="str">
        <f t="shared" si="20"/>
        <v>No Override</v>
      </c>
      <c r="S134" s="14">
        <f t="shared" si="21"/>
        <v>4</v>
      </c>
      <c r="T134" s="14" t="str">
        <f t="shared" si="22"/>
        <v/>
      </c>
    </row>
    <row r="135" spans="1:20" ht="22.8" x14ac:dyDescent="0.3">
      <c r="A135" s="224">
        <v>4</v>
      </c>
      <c r="C135" s="14">
        <f t="shared" si="14"/>
        <v>4</v>
      </c>
      <c r="D135" s="14" t="s">
        <v>1135</v>
      </c>
      <c r="E135" s="58" t="s">
        <v>609</v>
      </c>
      <c r="F135" s="82" t="s">
        <v>611</v>
      </c>
      <c r="G135" s="176" t="s">
        <v>612</v>
      </c>
      <c r="H135" s="176" t="str">
        <f>'7. Authentication&amp;Authorization'!$J21</f>
        <v>Comment is required</v>
      </c>
      <c r="I135" s="14">
        <f>'7. Authentication&amp;Authorization'!$I21</f>
        <v>0</v>
      </c>
      <c r="J135" s="14" t="str">
        <f t="shared" si="24"/>
        <v>Blank</v>
      </c>
      <c r="K135" s="155" t="s">
        <v>1131</v>
      </c>
      <c r="L135" s="14" t="str">
        <f t="shared" si="13"/>
        <v>Blank</v>
      </c>
      <c r="N135" s="14" t="str">
        <f t="shared" si="16"/>
        <v/>
      </c>
      <c r="O135" s="14" t="str">
        <f t="shared" si="17"/>
        <v/>
      </c>
      <c r="P135" s="14" t="str">
        <f t="shared" si="18"/>
        <v>Comment is required</v>
      </c>
      <c r="Q135" s="14" t="str">
        <f t="shared" si="19"/>
        <v>Blank</v>
      </c>
      <c r="R135" s="14" t="str">
        <f t="shared" si="20"/>
        <v>No Override</v>
      </c>
      <c r="S135" s="14">
        <f t="shared" si="21"/>
        <v>4</v>
      </c>
      <c r="T135" s="14" t="str">
        <f t="shared" si="22"/>
        <v/>
      </c>
    </row>
    <row r="136" spans="1:20" x14ac:dyDescent="0.3">
      <c r="A136" s="224">
        <v>1</v>
      </c>
      <c r="C136" s="14">
        <f t="shared" si="14"/>
        <v>1</v>
      </c>
      <c r="D136" s="14" t="s">
        <v>1136</v>
      </c>
      <c r="E136" s="58" t="s">
        <v>614</v>
      </c>
      <c r="F136" s="82" t="s">
        <v>617</v>
      </c>
      <c r="G136" s="173" t="s">
        <v>618</v>
      </c>
      <c r="H136" s="175" t="str">
        <f>'8. Incident Response'!$J3</f>
        <v>Comment is required</v>
      </c>
      <c r="I136" s="14">
        <f>'8. Incident Response'!$I3</f>
        <v>0</v>
      </c>
      <c r="J136" s="14" t="str">
        <f t="shared" si="24"/>
        <v>Blank</v>
      </c>
      <c r="K136" s="155" t="s">
        <v>1131</v>
      </c>
      <c r="L136" s="14" t="str">
        <f t="shared" si="13"/>
        <v>Blank</v>
      </c>
      <c r="N136" s="14" t="str">
        <f t="shared" si="16"/>
        <v/>
      </c>
      <c r="O136" s="14" t="str">
        <f t="shared" si="17"/>
        <v/>
      </c>
      <c r="P136" s="14" t="str">
        <f t="shared" si="18"/>
        <v>Comment is required</v>
      </c>
      <c r="Q136" s="14" t="str">
        <f t="shared" si="19"/>
        <v>Blank</v>
      </c>
      <c r="R136" s="14" t="str">
        <f t="shared" si="20"/>
        <v>No Override</v>
      </c>
      <c r="S136" s="14">
        <f t="shared" si="21"/>
        <v>1</v>
      </c>
      <c r="T136" s="14" t="str">
        <f t="shared" si="22"/>
        <v/>
      </c>
    </row>
    <row r="137" spans="1:20" x14ac:dyDescent="0.3">
      <c r="A137" s="224">
        <v>2</v>
      </c>
      <c r="C137" s="14">
        <f t="shared" si="14"/>
        <v>2</v>
      </c>
      <c r="D137" s="14" t="s">
        <v>1136</v>
      </c>
      <c r="E137" s="58" t="s">
        <v>619</v>
      </c>
      <c r="F137" s="82" t="s">
        <v>621</v>
      </c>
      <c r="G137" s="176" t="s">
        <v>622</v>
      </c>
      <c r="H137" s="175" t="str">
        <f>'8. Incident Response'!$J4</f>
        <v>Comment is required</v>
      </c>
      <c r="I137" s="14">
        <f>'8. Incident Response'!$I4</f>
        <v>0</v>
      </c>
      <c r="J137" s="14" t="str">
        <f t="shared" si="24"/>
        <v>Blank</v>
      </c>
      <c r="K137" s="155" t="s">
        <v>1131</v>
      </c>
      <c r="L137" s="14" t="str">
        <f t="shared" si="13"/>
        <v>Blank</v>
      </c>
      <c r="N137" s="14" t="str">
        <f t="shared" si="16"/>
        <v/>
      </c>
      <c r="O137" s="14" t="str">
        <f t="shared" si="17"/>
        <v/>
      </c>
      <c r="P137" s="14" t="str">
        <f t="shared" si="18"/>
        <v>Comment is required</v>
      </c>
      <c r="Q137" s="14" t="str">
        <f t="shared" si="19"/>
        <v>Blank</v>
      </c>
      <c r="R137" s="14" t="str">
        <f t="shared" si="20"/>
        <v>No Override</v>
      </c>
      <c r="S137" s="14">
        <f t="shared" si="21"/>
        <v>2</v>
      </c>
      <c r="T137" s="14" t="str">
        <f t="shared" si="22"/>
        <v/>
      </c>
    </row>
    <row r="138" spans="1:20" x14ac:dyDescent="0.3">
      <c r="A138" s="224">
        <v>2</v>
      </c>
      <c r="C138" s="14">
        <f t="shared" si="14"/>
        <v>2</v>
      </c>
      <c r="D138" s="14" t="s">
        <v>1136</v>
      </c>
      <c r="E138" s="58" t="s">
        <v>623</v>
      </c>
      <c r="F138" s="82" t="s">
        <v>621</v>
      </c>
      <c r="G138" s="176" t="s">
        <v>624</v>
      </c>
      <c r="H138" s="175" t="str">
        <f>'8. Incident Response'!$J5</f>
        <v>Comment is required</v>
      </c>
      <c r="I138" s="14">
        <f>'8. Incident Response'!$I5</f>
        <v>0</v>
      </c>
      <c r="J138" s="14" t="str">
        <f t="shared" si="24"/>
        <v>Blank</v>
      </c>
      <c r="K138" s="155" t="s">
        <v>1131</v>
      </c>
      <c r="L138" s="14" t="str">
        <f t="shared" si="13"/>
        <v>Blank</v>
      </c>
      <c r="N138" s="14" t="str">
        <f t="shared" si="16"/>
        <v/>
      </c>
      <c r="O138" s="14" t="str">
        <f t="shared" si="17"/>
        <v/>
      </c>
      <c r="P138" s="14" t="str">
        <f t="shared" si="18"/>
        <v>Comment is required</v>
      </c>
      <c r="Q138" s="14" t="str">
        <f t="shared" si="19"/>
        <v>Blank</v>
      </c>
      <c r="R138" s="14" t="str">
        <f t="shared" si="20"/>
        <v>No Override</v>
      </c>
      <c r="S138" s="14">
        <f t="shared" si="21"/>
        <v>2</v>
      </c>
      <c r="T138" s="14" t="str">
        <f t="shared" si="22"/>
        <v/>
      </c>
    </row>
    <row r="139" spans="1:20" x14ac:dyDescent="0.3">
      <c r="A139" s="224">
        <v>2</v>
      </c>
      <c r="C139" s="14">
        <f t="shared" si="14"/>
        <v>2</v>
      </c>
      <c r="D139" s="14" t="s">
        <v>1136</v>
      </c>
      <c r="E139" s="58" t="s">
        <v>625</v>
      </c>
      <c r="F139" s="82" t="s">
        <v>627</v>
      </c>
      <c r="G139" s="176" t="s">
        <v>628</v>
      </c>
      <c r="H139" s="175" t="str">
        <f>'8. Incident Response'!$J6</f>
        <v>Comment is required</v>
      </c>
      <c r="I139" s="14">
        <f>'8. Incident Response'!$I6</f>
        <v>0</v>
      </c>
      <c r="J139" s="14" t="str">
        <f t="shared" si="24"/>
        <v>Blank</v>
      </c>
      <c r="K139" s="155" t="s">
        <v>1131</v>
      </c>
      <c r="L139" s="14" t="str">
        <f t="shared" si="13"/>
        <v>Blank</v>
      </c>
      <c r="N139" s="14" t="str">
        <f t="shared" si="16"/>
        <v/>
      </c>
      <c r="O139" s="14" t="str">
        <f t="shared" si="17"/>
        <v/>
      </c>
      <c r="P139" s="14" t="str">
        <f t="shared" si="18"/>
        <v>Comment is required</v>
      </c>
      <c r="Q139" s="14" t="str">
        <f t="shared" si="19"/>
        <v>Blank</v>
      </c>
      <c r="R139" s="14" t="str">
        <f t="shared" si="20"/>
        <v>No Override</v>
      </c>
      <c r="S139" s="14">
        <f t="shared" si="21"/>
        <v>2</v>
      </c>
      <c r="T139" s="14" t="str">
        <f t="shared" si="22"/>
        <v/>
      </c>
    </row>
    <row r="140" spans="1:20" x14ac:dyDescent="0.3">
      <c r="A140" s="224">
        <v>2</v>
      </c>
      <c r="C140" s="14">
        <f t="shared" si="14"/>
        <v>2</v>
      </c>
      <c r="D140" s="14" t="s">
        <v>1136</v>
      </c>
      <c r="E140" s="58" t="s">
        <v>629</v>
      </c>
      <c r="F140" s="82" t="s">
        <v>627</v>
      </c>
      <c r="G140" s="176" t="s">
        <v>630</v>
      </c>
      <c r="H140" s="175" t="str">
        <f>'8. Incident Response'!$J7</f>
        <v>Comment is required</v>
      </c>
      <c r="I140" s="14">
        <f>'8. Incident Response'!$I7</f>
        <v>0</v>
      </c>
      <c r="J140" s="14" t="str">
        <f t="shared" si="24"/>
        <v>Blank</v>
      </c>
      <c r="K140" s="155" t="s">
        <v>1131</v>
      </c>
      <c r="L140" s="14" t="str">
        <f t="shared" si="13"/>
        <v>Blank</v>
      </c>
      <c r="N140" s="14" t="str">
        <f t="shared" si="16"/>
        <v/>
      </c>
      <c r="O140" s="14" t="str">
        <f t="shared" si="17"/>
        <v/>
      </c>
      <c r="P140" s="14" t="str">
        <f t="shared" si="18"/>
        <v>Comment is required</v>
      </c>
      <c r="Q140" s="14" t="str">
        <f t="shared" si="19"/>
        <v>Blank</v>
      </c>
      <c r="R140" s="14" t="str">
        <f t="shared" si="20"/>
        <v>No Override</v>
      </c>
      <c r="S140" s="14">
        <f t="shared" si="21"/>
        <v>2</v>
      </c>
      <c r="T140" s="14" t="str">
        <f t="shared" si="22"/>
        <v/>
      </c>
    </row>
    <row r="141" spans="1:20" x14ac:dyDescent="0.3">
      <c r="A141" s="224">
        <v>1</v>
      </c>
      <c r="C141" s="14">
        <f t="shared" si="14"/>
        <v>1</v>
      </c>
      <c r="D141" s="14" t="s">
        <v>1136</v>
      </c>
      <c r="E141" s="58" t="s">
        <v>631</v>
      </c>
      <c r="F141" s="82" t="s">
        <v>634</v>
      </c>
      <c r="G141" s="176" t="s">
        <v>635</v>
      </c>
      <c r="H141" s="175" t="str">
        <f>'8. Incident Response'!$J8</f>
        <v>Comment is required</v>
      </c>
      <c r="I141" s="14">
        <f>'8. Incident Response'!$I8</f>
        <v>0</v>
      </c>
      <c r="J141" s="14" t="str">
        <f t="shared" si="24"/>
        <v>Blank</v>
      </c>
      <c r="K141" s="155" t="s">
        <v>1131</v>
      </c>
      <c r="L141" s="14" t="str">
        <f t="shared" si="13"/>
        <v>Blank</v>
      </c>
      <c r="N141" s="14" t="str">
        <f t="shared" si="16"/>
        <v/>
      </c>
      <c r="O141" s="14" t="str">
        <f t="shared" si="17"/>
        <v/>
      </c>
      <c r="P141" s="14" t="str">
        <f t="shared" si="18"/>
        <v>Comment is required</v>
      </c>
      <c r="Q141" s="14" t="str">
        <f t="shared" si="19"/>
        <v>Blank</v>
      </c>
      <c r="R141" s="14" t="str">
        <f t="shared" si="20"/>
        <v>No Override</v>
      </c>
      <c r="S141" s="14">
        <f t="shared" si="21"/>
        <v>1</v>
      </c>
      <c r="T141" s="14" t="str">
        <f t="shared" si="22"/>
        <v/>
      </c>
    </row>
    <row r="142" spans="1:20" x14ac:dyDescent="0.3">
      <c r="A142" s="224">
        <v>3</v>
      </c>
      <c r="C142" s="14">
        <f t="shared" si="14"/>
        <v>3</v>
      </c>
      <c r="D142" s="14" t="s">
        <v>1136</v>
      </c>
      <c r="E142" s="58" t="s">
        <v>636</v>
      </c>
      <c r="F142" s="82" t="s">
        <v>634</v>
      </c>
      <c r="G142" s="176" t="s">
        <v>637</v>
      </c>
      <c r="H142" s="175" t="str">
        <f>'8. Incident Response'!$J9</f>
        <v>Comment is required</v>
      </c>
      <c r="I142" s="14">
        <f>'8. Incident Response'!$I9</f>
        <v>0</v>
      </c>
      <c r="J142" s="14" t="str">
        <f t="shared" si="24"/>
        <v>Blank</v>
      </c>
      <c r="K142" s="155" t="s">
        <v>1131</v>
      </c>
      <c r="L142" s="14" t="str">
        <f t="shared" si="13"/>
        <v>Blank</v>
      </c>
      <c r="N142" s="14" t="str">
        <f t="shared" si="16"/>
        <v/>
      </c>
      <c r="O142" s="14" t="str">
        <f t="shared" si="17"/>
        <v/>
      </c>
      <c r="P142" s="14" t="str">
        <f t="shared" si="18"/>
        <v>Comment is required</v>
      </c>
      <c r="Q142" s="14" t="str">
        <f t="shared" si="19"/>
        <v>Blank</v>
      </c>
      <c r="R142" s="14" t="str">
        <f t="shared" si="20"/>
        <v>No Override</v>
      </c>
      <c r="S142" s="14">
        <f t="shared" si="21"/>
        <v>3</v>
      </c>
      <c r="T142" s="14" t="str">
        <f t="shared" si="22"/>
        <v/>
      </c>
    </row>
    <row r="143" spans="1:20" x14ac:dyDescent="0.3">
      <c r="A143" s="224">
        <v>1</v>
      </c>
      <c r="C143" s="14">
        <f t="shared" si="14"/>
        <v>1</v>
      </c>
      <c r="D143" s="14" t="s">
        <v>1136</v>
      </c>
      <c r="E143" s="58" t="s">
        <v>638</v>
      </c>
      <c r="F143" s="82" t="s">
        <v>641</v>
      </c>
      <c r="G143" s="176" t="s">
        <v>642</v>
      </c>
      <c r="H143" s="175" t="str">
        <f>'8. Incident Response'!$J10</f>
        <v>Comment is required</v>
      </c>
      <c r="I143" s="14">
        <f>'8. Incident Response'!$I10</f>
        <v>0</v>
      </c>
      <c r="J143" s="14" t="str">
        <f t="shared" si="24"/>
        <v>Blank</v>
      </c>
      <c r="K143" s="155" t="s">
        <v>1131</v>
      </c>
      <c r="L143" s="14" t="str">
        <f t="shared" si="13"/>
        <v>Blank</v>
      </c>
      <c r="N143" s="14" t="str">
        <f t="shared" si="16"/>
        <v/>
      </c>
      <c r="O143" s="14" t="str">
        <f t="shared" si="17"/>
        <v/>
      </c>
      <c r="P143" s="14" t="str">
        <f t="shared" si="18"/>
        <v>Comment is required</v>
      </c>
      <c r="Q143" s="14" t="str">
        <f t="shared" si="19"/>
        <v>Blank</v>
      </c>
      <c r="R143" s="14" t="str">
        <f t="shared" si="20"/>
        <v>No Override</v>
      </c>
      <c r="S143" s="14">
        <f t="shared" si="21"/>
        <v>1</v>
      </c>
      <c r="T143" s="14" t="str">
        <f t="shared" si="22"/>
        <v/>
      </c>
    </row>
    <row r="144" spans="1:20" x14ac:dyDescent="0.3">
      <c r="A144" s="224">
        <v>1</v>
      </c>
      <c r="C144" s="14">
        <f t="shared" si="14"/>
        <v>1</v>
      </c>
      <c r="D144" s="14" t="s">
        <v>1136</v>
      </c>
      <c r="E144" s="58" t="s">
        <v>643</v>
      </c>
      <c r="F144" s="82" t="s">
        <v>646</v>
      </c>
      <c r="G144" s="176" t="s">
        <v>647</v>
      </c>
      <c r="H144" s="175" t="str">
        <f>'8. Incident Response'!$J11</f>
        <v>Comment is required</v>
      </c>
      <c r="I144" s="14">
        <f>'8. Incident Response'!$I11</f>
        <v>0</v>
      </c>
      <c r="J144" s="14" t="str">
        <f t="shared" si="24"/>
        <v>Blank</v>
      </c>
      <c r="K144" s="155" t="s">
        <v>1131</v>
      </c>
      <c r="L144" s="14" t="str">
        <f t="shared" si="13"/>
        <v>Blank</v>
      </c>
      <c r="N144" s="14" t="str">
        <f t="shared" si="16"/>
        <v/>
      </c>
      <c r="O144" s="14" t="str">
        <f t="shared" si="17"/>
        <v/>
      </c>
      <c r="P144" s="14" t="str">
        <f t="shared" si="18"/>
        <v>Comment is required</v>
      </c>
      <c r="Q144" s="14" t="str">
        <f t="shared" si="19"/>
        <v>Blank</v>
      </c>
      <c r="R144" s="14" t="str">
        <f t="shared" si="20"/>
        <v>No Override</v>
      </c>
      <c r="S144" s="14">
        <f t="shared" si="21"/>
        <v>1</v>
      </c>
      <c r="T144" s="14" t="str">
        <f t="shared" si="22"/>
        <v/>
      </c>
    </row>
    <row r="145" spans="1:20" x14ac:dyDescent="0.3">
      <c r="A145" s="224">
        <v>3</v>
      </c>
      <c r="C145" s="14">
        <f t="shared" si="14"/>
        <v>3</v>
      </c>
      <c r="D145" s="14" t="s">
        <v>1136</v>
      </c>
      <c r="E145" s="58" t="s">
        <v>648</v>
      </c>
      <c r="F145" s="82" t="s">
        <v>651</v>
      </c>
      <c r="G145" s="176" t="s">
        <v>652</v>
      </c>
      <c r="H145" s="175" t="str">
        <f>'8. Incident Response'!$J12</f>
        <v>Comment is required</v>
      </c>
      <c r="I145" s="14">
        <f>'8. Incident Response'!$I12</f>
        <v>0</v>
      </c>
      <c r="J145" s="14" t="str">
        <f>IF($I145="Yes","Adequate",IF($I145="No","Adequate",IF($I145="Partial","Inadequate",IF($I145="N/A","Inadequate",IF(OR($I145="",$I145=0),"Blank","Error")))))</f>
        <v>Blank</v>
      </c>
      <c r="K145" s="155" t="s">
        <v>1131</v>
      </c>
      <c r="L145" s="14" t="str">
        <f t="shared" ref="L145:L208" si="25">IF($K145="No Override",$J145,$K145)</f>
        <v>Blank</v>
      </c>
      <c r="N145" s="14" t="str">
        <f t="shared" si="16"/>
        <v/>
      </c>
      <c r="O145" s="14" t="str">
        <f t="shared" si="17"/>
        <v/>
      </c>
      <c r="P145" s="14" t="str">
        <f t="shared" si="18"/>
        <v>Comment is required</v>
      </c>
      <c r="Q145" s="14" t="str">
        <f t="shared" si="19"/>
        <v>Blank</v>
      </c>
      <c r="R145" s="14" t="str">
        <f t="shared" si="20"/>
        <v>No Override</v>
      </c>
      <c r="S145" s="14">
        <f t="shared" si="21"/>
        <v>3</v>
      </c>
      <c r="T145" s="14" t="str">
        <f t="shared" si="22"/>
        <v/>
      </c>
    </row>
    <row r="146" spans="1:20" x14ac:dyDescent="0.3">
      <c r="A146" s="224">
        <v>1</v>
      </c>
      <c r="C146" s="14">
        <f t="shared" ref="C146:C209" si="26">IF($B146="",$A146,$B146)</f>
        <v>1</v>
      </c>
      <c r="D146" s="14" t="s">
        <v>1136</v>
      </c>
      <c r="E146" s="58" t="s">
        <v>653</v>
      </c>
      <c r="F146" s="82" t="s">
        <v>655</v>
      </c>
      <c r="G146" s="176" t="s">
        <v>656</v>
      </c>
      <c r="H146" s="175" t="str">
        <f>'8. Incident Response'!$J13</f>
        <v>Comment is required</v>
      </c>
      <c r="I146" s="14">
        <f>'8. Incident Response'!$I13</f>
        <v>0</v>
      </c>
      <c r="J146" s="14" t="str">
        <f>IF($I146="Yes","Adequate",IF($I146="No","Inadequate",IF($I146="Partial","Inadequate",IF($I146="N/A","Inadequate",IF(OR($I146="",$I146=0),"Blank","Error")))))</f>
        <v>Blank</v>
      </c>
      <c r="K146" s="155" t="s">
        <v>1131</v>
      </c>
      <c r="L146" s="14" t="str">
        <f t="shared" si="25"/>
        <v>Blank</v>
      </c>
      <c r="N146" s="14" t="str">
        <f t="shared" ref="N146:N209" si="27">IF($J146=$L146,"","***")</f>
        <v/>
      </c>
      <c r="O146" s="14" t="str">
        <f t="shared" ref="O146:O209" si="28">IF(OR($I146="",$I146=0),"",$I146)</f>
        <v/>
      </c>
      <c r="P146" s="14" t="str">
        <f t="shared" ref="P146:P209" si="29">IF(OR($H146="",$H146=0),"",$H146)</f>
        <v>Comment is required</v>
      </c>
      <c r="Q146" s="14" t="str">
        <f t="shared" ref="Q146:Q209" si="30">$L146</f>
        <v>Blank</v>
      </c>
      <c r="R146" s="14" t="str">
        <f t="shared" ref="R146:R209" si="31">$K146</f>
        <v>No Override</v>
      </c>
      <c r="S146" s="14">
        <f t="shared" ref="S146:S209" si="32">$C146</f>
        <v>1</v>
      </c>
      <c r="T146" s="14" t="str">
        <f t="shared" ref="T146:T209" si="33">IF($L146=$Q146,"","***")</f>
        <v/>
      </c>
    </row>
    <row r="147" spans="1:20" x14ac:dyDescent="0.3">
      <c r="A147" s="224">
        <v>3</v>
      </c>
      <c r="C147" s="14">
        <f t="shared" si="26"/>
        <v>3</v>
      </c>
      <c r="D147" s="14" t="s">
        <v>1136</v>
      </c>
      <c r="E147" s="58" t="s">
        <v>657</v>
      </c>
      <c r="F147" s="82" t="s">
        <v>659</v>
      </c>
      <c r="G147" s="176" t="s">
        <v>660</v>
      </c>
      <c r="H147" s="175" t="str">
        <f>'8. Incident Response'!$J14</f>
        <v>Comment is required</v>
      </c>
      <c r="I147" s="14">
        <f>'8. Incident Response'!$I14</f>
        <v>0</v>
      </c>
      <c r="J147" s="14" t="str">
        <f t="shared" ref="J147:J210" si="34">IF($I147="Yes","Adequate",IF($I147="No","Inadequate",IF($I147="Partial","Inadequate",IF($I147="N/A","Inadequate",IF(OR($I147="",$I147=0),"Blank","Error")))))</f>
        <v>Blank</v>
      </c>
      <c r="K147" s="155" t="s">
        <v>1131</v>
      </c>
      <c r="L147" s="14" t="str">
        <f t="shared" si="25"/>
        <v>Blank</v>
      </c>
      <c r="N147" s="14" t="str">
        <f t="shared" si="27"/>
        <v/>
      </c>
      <c r="O147" s="14" t="str">
        <f t="shared" si="28"/>
        <v/>
      </c>
      <c r="P147" s="14" t="str">
        <f t="shared" si="29"/>
        <v>Comment is required</v>
      </c>
      <c r="Q147" s="14" t="str">
        <f t="shared" si="30"/>
        <v>Blank</v>
      </c>
      <c r="R147" s="14" t="str">
        <f t="shared" si="31"/>
        <v>No Override</v>
      </c>
      <c r="S147" s="14">
        <f t="shared" si="32"/>
        <v>3</v>
      </c>
      <c r="T147" s="14" t="str">
        <f t="shared" si="33"/>
        <v/>
      </c>
    </row>
    <row r="148" spans="1:20" x14ac:dyDescent="0.3">
      <c r="A148" s="224">
        <v>4</v>
      </c>
      <c r="C148" s="14">
        <f t="shared" si="26"/>
        <v>4</v>
      </c>
      <c r="D148" s="14" t="s">
        <v>661</v>
      </c>
      <c r="E148" s="58" t="s">
        <v>662</v>
      </c>
      <c r="F148" s="82" t="s">
        <v>665</v>
      </c>
      <c r="G148" s="170" t="s">
        <v>666</v>
      </c>
      <c r="H148" s="170" t="str">
        <f>'9. Maintenance'!$J3</f>
        <v>Comment is required</v>
      </c>
      <c r="I148" s="14">
        <f>'9. Maintenance'!$I3</f>
        <v>0</v>
      </c>
      <c r="J148" s="14" t="str">
        <f t="shared" si="34"/>
        <v>Blank</v>
      </c>
      <c r="K148" s="155" t="s">
        <v>1131</v>
      </c>
      <c r="L148" s="14" t="str">
        <f t="shared" si="25"/>
        <v>Blank</v>
      </c>
      <c r="N148" s="14" t="str">
        <f t="shared" si="27"/>
        <v/>
      </c>
      <c r="O148" s="14" t="str">
        <f t="shared" si="28"/>
        <v/>
      </c>
      <c r="P148" s="14" t="str">
        <f t="shared" si="29"/>
        <v>Comment is required</v>
      </c>
      <c r="Q148" s="14" t="str">
        <f t="shared" si="30"/>
        <v>Blank</v>
      </c>
      <c r="R148" s="14" t="str">
        <f t="shared" si="31"/>
        <v>No Override</v>
      </c>
      <c r="S148" s="14">
        <f t="shared" si="32"/>
        <v>4</v>
      </c>
      <c r="T148" s="14" t="str">
        <f t="shared" si="33"/>
        <v/>
      </c>
    </row>
    <row r="149" spans="1:20" x14ac:dyDescent="0.3">
      <c r="A149" s="224">
        <v>4</v>
      </c>
      <c r="C149" s="14">
        <f t="shared" si="26"/>
        <v>4</v>
      </c>
      <c r="D149" s="14" t="s">
        <v>661</v>
      </c>
      <c r="E149" s="62" t="s">
        <v>667</v>
      </c>
      <c r="F149" s="86" t="s">
        <v>668</v>
      </c>
      <c r="G149" s="176" t="s">
        <v>669</v>
      </c>
      <c r="H149" s="170" t="str">
        <f>'9. Maintenance'!$J4</f>
        <v>Comment is required</v>
      </c>
      <c r="I149" s="14">
        <f>'9. Maintenance'!$I4</f>
        <v>0</v>
      </c>
      <c r="J149" s="14" t="str">
        <f t="shared" si="34"/>
        <v>Blank</v>
      </c>
      <c r="K149" s="155" t="s">
        <v>1131</v>
      </c>
      <c r="L149" s="14" t="str">
        <f t="shared" si="25"/>
        <v>Blank</v>
      </c>
      <c r="N149" s="14" t="str">
        <f t="shared" si="27"/>
        <v/>
      </c>
      <c r="O149" s="14" t="str">
        <f t="shared" si="28"/>
        <v/>
      </c>
      <c r="P149" s="14" t="str">
        <f t="shared" si="29"/>
        <v>Comment is required</v>
      </c>
      <c r="Q149" s="14" t="str">
        <f t="shared" si="30"/>
        <v>Blank</v>
      </c>
      <c r="R149" s="14" t="str">
        <f t="shared" si="31"/>
        <v>No Override</v>
      </c>
      <c r="S149" s="14">
        <f t="shared" si="32"/>
        <v>4</v>
      </c>
      <c r="T149" s="14" t="str">
        <f t="shared" si="33"/>
        <v/>
      </c>
    </row>
    <row r="150" spans="1:20" x14ac:dyDescent="0.3">
      <c r="A150" s="224">
        <v>4</v>
      </c>
      <c r="C150" s="14">
        <f t="shared" si="26"/>
        <v>4</v>
      </c>
      <c r="D150" s="14" t="s">
        <v>661</v>
      </c>
      <c r="E150" s="62" t="s">
        <v>670</v>
      </c>
      <c r="F150" s="86" t="s">
        <v>668</v>
      </c>
      <c r="G150" s="176" t="s">
        <v>671</v>
      </c>
      <c r="H150" s="170" t="str">
        <f>'9. Maintenance'!$J5</f>
        <v>Comment is required</v>
      </c>
      <c r="I150" s="14">
        <f>'9. Maintenance'!$I5</f>
        <v>0</v>
      </c>
      <c r="J150" s="14" t="str">
        <f t="shared" si="34"/>
        <v>Blank</v>
      </c>
      <c r="K150" s="155" t="s">
        <v>1131</v>
      </c>
      <c r="L150" s="14" t="str">
        <f t="shared" si="25"/>
        <v>Blank</v>
      </c>
      <c r="N150" s="14" t="str">
        <f t="shared" si="27"/>
        <v/>
      </c>
      <c r="O150" s="14" t="str">
        <f t="shared" si="28"/>
        <v/>
      </c>
      <c r="P150" s="14" t="str">
        <f t="shared" si="29"/>
        <v>Comment is required</v>
      </c>
      <c r="Q150" s="14" t="str">
        <f t="shared" si="30"/>
        <v>Blank</v>
      </c>
      <c r="R150" s="14" t="str">
        <f t="shared" si="31"/>
        <v>No Override</v>
      </c>
      <c r="S150" s="14">
        <f t="shared" si="32"/>
        <v>4</v>
      </c>
      <c r="T150" s="14" t="str">
        <f t="shared" si="33"/>
        <v/>
      </c>
    </row>
    <row r="151" spans="1:20" ht="22.8" x14ac:dyDescent="0.3">
      <c r="A151" s="224">
        <v>4</v>
      </c>
      <c r="C151" s="14">
        <f t="shared" si="26"/>
        <v>4</v>
      </c>
      <c r="D151" s="14" t="s">
        <v>661</v>
      </c>
      <c r="E151" s="62" t="s">
        <v>672</v>
      </c>
      <c r="F151" s="86" t="s">
        <v>668</v>
      </c>
      <c r="G151" s="176" t="s">
        <v>673</v>
      </c>
      <c r="H151" s="170" t="str">
        <f>'9. Maintenance'!$J6</f>
        <v>Comment is required</v>
      </c>
      <c r="I151" s="14">
        <f>'9. Maintenance'!$I6</f>
        <v>0</v>
      </c>
      <c r="J151" s="14" t="str">
        <f t="shared" si="34"/>
        <v>Blank</v>
      </c>
      <c r="K151" s="155" t="s">
        <v>1131</v>
      </c>
      <c r="L151" s="14" t="str">
        <f t="shared" si="25"/>
        <v>Blank</v>
      </c>
      <c r="N151" s="14" t="str">
        <f t="shared" si="27"/>
        <v/>
      </c>
      <c r="O151" s="14" t="str">
        <f t="shared" si="28"/>
        <v/>
      </c>
      <c r="P151" s="14" t="str">
        <f t="shared" si="29"/>
        <v>Comment is required</v>
      </c>
      <c r="Q151" s="14" t="str">
        <f t="shared" si="30"/>
        <v>Blank</v>
      </c>
      <c r="R151" s="14" t="str">
        <f t="shared" si="31"/>
        <v>No Override</v>
      </c>
      <c r="S151" s="14">
        <f t="shared" si="32"/>
        <v>4</v>
      </c>
      <c r="T151" s="14" t="str">
        <f t="shared" si="33"/>
        <v/>
      </c>
    </row>
    <row r="152" spans="1:20" ht="22.8" x14ac:dyDescent="0.3">
      <c r="A152" s="224">
        <v>4</v>
      </c>
      <c r="C152" s="14">
        <f t="shared" si="26"/>
        <v>4</v>
      </c>
      <c r="D152" s="14" t="s">
        <v>661</v>
      </c>
      <c r="E152" s="62" t="s">
        <v>674</v>
      </c>
      <c r="F152" s="86" t="s">
        <v>668</v>
      </c>
      <c r="G152" s="176" t="s">
        <v>675</v>
      </c>
      <c r="H152" s="170" t="str">
        <f>'9. Maintenance'!$J7</f>
        <v>Comment is required</v>
      </c>
      <c r="I152" s="14">
        <f>'9. Maintenance'!$I7</f>
        <v>0</v>
      </c>
      <c r="J152" s="14" t="str">
        <f t="shared" si="34"/>
        <v>Blank</v>
      </c>
      <c r="K152" s="155" t="s">
        <v>1131</v>
      </c>
      <c r="L152" s="14" t="str">
        <f t="shared" si="25"/>
        <v>Blank</v>
      </c>
      <c r="N152" s="14" t="str">
        <f t="shared" si="27"/>
        <v/>
      </c>
      <c r="O152" s="14" t="str">
        <f t="shared" si="28"/>
        <v/>
      </c>
      <c r="P152" s="14" t="str">
        <f t="shared" si="29"/>
        <v>Comment is required</v>
      </c>
      <c r="Q152" s="14" t="str">
        <f t="shared" si="30"/>
        <v>Blank</v>
      </c>
      <c r="R152" s="14" t="str">
        <f t="shared" si="31"/>
        <v>No Override</v>
      </c>
      <c r="S152" s="14">
        <f t="shared" si="32"/>
        <v>4</v>
      </c>
      <c r="T152" s="14" t="str">
        <f t="shared" si="33"/>
        <v/>
      </c>
    </row>
    <row r="153" spans="1:20" ht="34.200000000000003" x14ac:dyDescent="0.3">
      <c r="A153" s="224">
        <v>4</v>
      </c>
      <c r="C153" s="14">
        <f t="shared" si="26"/>
        <v>4</v>
      </c>
      <c r="D153" s="14" t="s">
        <v>661</v>
      </c>
      <c r="E153" s="62" t="s">
        <v>676</v>
      </c>
      <c r="F153" s="86" t="s">
        <v>668</v>
      </c>
      <c r="G153" s="176" t="s">
        <v>677</v>
      </c>
      <c r="H153" s="170" t="str">
        <f>'9. Maintenance'!$J8</f>
        <v>Comment is required</v>
      </c>
      <c r="I153" s="14">
        <f>'9. Maintenance'!$I8</f>
        <v>0</v>
      </c>
      <c r="J153" s="14" t="str">
        <f t="shared" si="34"/>
        <v>Blank</v>
      </c>
      <c r="K153" s="155" t="s">
        <v>1131</v>
      </c>
      <c r="L153" s="14" t="str">
        <f t="shared" si="25"/>
        <v>Blank</v>
      </c>
      <c r="N153" s="14" t="str">
        <f t="shared" si="27"/>
        <v/>
      </c>
      <c r="O153" s="14" t="str">
        <f t="shared" si="28"/>
        <v/>
      </c>
      <c r="P153" s="14" t="str">
        <f t="shared" si="29"/>
        <v>Comment is required</v>
      </c>
      <c r="Q153" s="14" t="str">
        <f t="shared" si="30"/>
        <v>Blank</v>
      </c>
      <c r="R153" s="14" t="str">
        <f t="shared" si="31"/>
        <v>No Override</v>
      </c>
      <c r="S153" s="14">
        <f t="shared" si="32"/>
        <v>4</v>
      </c>
      <c r="T153" s="14" t="str">
        <f t="shared" si="33"/>
        <v/>
      </c>
    </row>
    <row r="154" spans="1:20" x14ac:dyDescent="0.3">
      <c r="A154" s="224">
        <v>4</v>
      </c>
      <c r="C154" s="14">
        <f t="shared" si="26"/>
        <v>4</v>
      </c>
      <c r="D154" s="14" t="s">
        <v>661</v>
      </c>
      <c r="E154" s="58" t="s">
        <v>678</v>
      </c>
      <c r="F154" s="82" t="s">
        <v>680</v>
      </c>
      <c r="G154" s="176" t="s">
        <v>681</v>
      </c>
      <c r="H154" s="170" t="str">
        <f>'9. Maintenance'!$J9</f>
        <v>Comment is required</v>
      </c>
      <c r="I154" s="14">
        <f>'9. Maintenance'!$I9</f>
        <v>0</v>
      </c>
      <c r="J154" s="14" t="str">
        <f t="shared" si="34"/>
        <v>Blank</v>
      </c>
      <c r="K154" s="155" t="s">
        <v>1131</v>
      </c>
      <c r="L154" s="14" t="str">
        <f t="shared" si="25"/>
        <v>Blank</v>
      </c>
      <c r="N154" s="14" t="str">
        <f t="shared" si="27"/>
        <v/>
      </c>
      <c r="O154" s="14" t="str">
        <f t="shared" si="28"/>
        <v/>
      </c>
      <c r="P154" s="14" t="str">
        <f t="shared" si="29"/>
        <v>Comment is required</v>
      </c>
      <c r="Q154" s="14" t="str">
        <f t="shared" si="30"/>
        <v>Blank</v>
      </c>
      <c r="R154" s="14" t="str">
        <f t="shared" si="31"/>
        <v>No Override</v>
      </c>
      <c r="S154" s="14">
        <f t="shared" si="32"/>
        <v>4</v>
      </c>
      <c r="T154" s="14" t="str">
        <f t="shared" si="33"/>
        <v/>
      </c>
    </row>
    <row r="155" spans="1:20" ht="22.8" x14ac:dyDescent="0.3">
      <c r="A155" s="224">
        <v>4</v>
      </c>
      <c r="C155" s="14">
        <f t="shared" si="26"/>
        <v>4</v>
      </c>
      <c r="D155" s="14" t="s">
        <v>661</v>
      </c>
      <c r="E155" s="58" t="s">
        <v>682</v>
      </c>
      <c r="F155" s="82" t="s">
        <v>684</v>
      </c>
      <c r="G155" s="176" t="s">
        <v>685</v>
      </c>
      <c r="H155" s="170" t="str">
        <f>'9. Maintenance'!$J10</f>
        <v>Comment is required</v>
      </c>
      <c r="I155" s="14">
        <f>'9. Maintenance'!$I10</f>
        <v>0</v>
      </c>
      <c r="J155" s="48" t="str">
        <f>IF(AND($I155="Yes",$I156="Yes",$I157="Yes",$I158="Yes",$I159="Yes"),"Adequate",IF(AND($I155="Yes",OR(NOT($I156="Yes"),NOT($I157="Yes"),NOT($I158="Yes"),NOT($I159="Yes"))),"Inadequate",IF($I155="No","N/A",IF($I155="Partial","Inadequate",IF($I155="N/A","N/A",IF(OR($I155="",$I155=0),"Blank","Error"))))))</f>
        <v>Blank</v>
      </c>
      <c r="K155" s="155" t="s">
        <v>1131</v>
      </c>
      <c r="L155" s="14" t="str">
        <f t="shared" si="25"/>
        <v>Blank</v>
      </c>
      <c r="N155" s="14" t="str">
        <f t="shared" si="27"/>
        <v/>
      </c>
      <c r="O155" s="14" t="str">
        <f t="shared" si="28"/>
        <v/>
      </c>
      <c r="P155" s="14" t="str">
        <f t="shared" si="29"/>
        <v>Comment is required</v>
      </c>
      <c r="Q155" s="14" t="str">
        <f t="shared" si="30"/>
        <v>Blank</v>
      </c>
      <c r="R155" s="14" t="str">
        <f t="shared" si="31"/>
        <v>No Override</v>
      </c>
      <c r="S155" s="14">
        <f t="shared" si="32"/>
        <v>4</v>
      </c>
      <c r="T155" s="14" t="str">
        <f t="shared" si="33"/>
        <v/>
      </c>
    </row>
    <row r="156" spans="1:20" x14ac:dyDescent="0.3">
      <c r="A156" s="224">
        <v>1</v>
      </c>
      <c r="C156" s="14">
        <f t="shared" si="26"/>
        <v>1</v>
      </c>
      <c r="D156" s="14" t="s">
        <v>661</v>
      </c>
      <c r="E156" s="58" t="s">
        <v>686</v>
      </c>
      <c r="F156" s="82" t="s">
        <v>684</v>
      </c>
      <c r="G156" s="176" t="s">
        <v>687</v>
      </c>
      <c r="H156" s="170" t="str">
        <f>'9. Maintenance'!$J11</f>
        <v>Comment is required</v>
      </c>
      <c r="I156" s="14">
        <f>'9. Maintenance'!$I11</f>
        <v>0</v>
      </c>
      <c r="J156" s="60" t="str">
        <f>IF(OR($I155="N/A",$I155="No"),"N/A",IF($I156="Yes","Adequate",IF($I156="No","Inadequate",IF($I156="Partial","Inadequate",IF(AND($I156="N/A",NOT($I155="No"),NOT($I155="N/A")),"Inadequate",IF(OR($I156="",$I156=0),"Blank","Error"))))))</f>
        <v>Blank</v>
      </c>
      <c r="K156" s="155" t="s">
        <v>1131</v>
      </c>
      <c r="L156" s="14" t="str">
        <f t="shared" si="25"/>
        <v>Blank</v>
      </c>
      <c r="N156" s="14" t="str">
        <f t="shared" si="27"/>
        <v/>
      </c>
      <c r="O156" s="14" t="str">
        <f t="shared" si="28"/>
        <v/>
      </c>
      <c r="P156" s="14" t="str">
        <f t="shared" si="29"/>
        <v>Comment is required</v>
      </c>
      <c r="Q156" s="14" t="str">
        <f t="shared" si="30"/>
        <v>Blank</v>
      </c>
      <c r="R156" s="14" t="str">
        <f t="shared" si="31"/>
        <v>No Override</v>
      </c>
      <c r="S156" s="14">
        <f t="shared" si="32"/>
        <v>1</v>
      </c>
      <c r="T156" s="14" t="str">
        <f t="shared" si="33"/>
        <v/>
      </c>
    </row>
    <row r="157" spans="1:20" x14ac:dyDescent="0.3">
      <c r="A157" s="224">
        <v>1</v>
      </c>
      <c r="C157" s="14">
        <f t="shared" si="26"/>
        <v>1</v>
      </c>
      <c r="D157" s="14" t="s">
        <v>661</v>
      </c>
      <c r="E157" s="58" t="s">
        <v>688</v>
      </c>
      <c r="F157" s="82" t="s">
        <v>684</v>
      </c>
      <c r="G157" s="176" t="s">
        <v>689</v>
      </c>
      <c r="H157" s="170" t="str">
        <f>'9. Maintenance'!$J12</f>
        <v>Comment is required</v>
      </c>
      <c r="I157" s="14">
        <f>'9. Maintenance'!$I12</f>
        <v>0</v>
      </c>
      <c r="J157" s="60" t="str">
        <f>IF(OR($I155="N/A",$I155="No"),"N/A",IF($I157="Yes","Adequate",IF($I157="No","Inadequate",IF($I157="Partial","Inadequate",IF(AND($I157="N/A",NOT($I155="No"),NOT($I155="N/A")),"Inadequate",IF(OR($I157="",$I157=0),"Blank","Error"))))))</f>
        <v>Blank</v>
      </c>
      <c r="K157" s="155" t="s">
        <v>1131</v>
      </c>
      <c r="L157" s="14" t="str">
        <f t="shared" si="25"/>
        <v>Blank</v>
      </c>
      <c r="N157" s="14" t="str">
        <f t="shared" si="27"/>
        <v/>
      </c>
      <c r="O157" s="14" t="str">
        <f t="shared" si="28"/>
        <v/>
      </c>
      <c r="P157" s="14" t="str">
        <f t="shared" si="29"/>
        <v>Comment is required</v>
      </c>
      <c r="Q157" s="14" t="str">
        <f t="shared" si="30"/>
        <v>Blank</v>
      </c>
      <c r="R157" s="14" t="str">
        <f t="shared" si="31"/>
        <v>No Override</v>
      </c>
      <c r="S157" s="14">
        <f t="shared" si="32"/>
        <v>1</v>
      </c>
      <c r="T157" s="14" t="str">
        <f t="shared" si="33"/>
        <v/>
      </c>
    </row>
    <row r="158" spans="1:20" x14ac:dyDescent="0.3">
      <c r="A158" s="224">
        <v>1</v>
      </c>
      <c r="C158" s="14">
        <f t="shared" si="26"/>
        <v>1</v>
      </c>
      <c r="D158" s="14" t="s">
        <v>661</v>
      </c>
      <c r="E158" s="58" t="s">
        <v>690</v>
      </c>
      <c r="F158" s="82" t="s">
        <v>684</v>
      </c>
      <c r="G158" s="176" t="s">
        <v>691</v>
      </c>
      <c r="H158" s="170" t="str">
        <f>'9. Maintenance'!$J13</f>
        <v>Comment is required</v>
      </c>
      <c r="I158" s="14">
        <f>'9. Maintenance'!$I13</f>
        <v>0</v>
      </c>
      <c r="J158" s="60" t="str">
        <f>IF(OR($I155="N/A",$I155="No"),"N/A",IF($I158="Yes","Adequate",IF($I158="No","Inadequate",IF($I158="Partial","Inadequate",IF(AND($I158="N/A",NOT($I155="No"),NOT($I155="N/A")),"Inadequate",IF(OR($I158="",$I158=0),"Blank","Error"))))))</f>
        <v>Blank</v>
      </c>
      <c r="K158" s="155" t="s">
        <v>1131</v>
      </c>
      <c r="L158" s="14" t="str">
        <f t="shared" si="25"/>
        <v>Blank</v>
      </c>
      <c r="N158" s="14" t="str">
        <f t="shared" si="27"/>
        <v/>
      </c>
      <c r="O158" s="14" t="str">
        <f t="shared" si="28"/>
        <v/>
      </c>
      <c r="P158" s="14" t="str">
        <f t="shared" si="29"/>
        <v>Comment is required</v>
      </c>
      <c r="Q158" s="14" t="str">
        <f t="shared" si="30"/>
        <v>Blank</v>
      </c>
      <c r="R158" s="14" t="str">
        <f t="shared" si="31"/>
        <v>No Override</v>
      </c>
      <c r="S158" s="14">
        <f t="shared" si="32"/>
        <v>1</v>
      </c>
      <c r="T158" s="14" t="str">
        <f t="shared" si="33"/>
        <v/>
      </c>
    </row>
    <row r="159" spans="1:20" x14ac:dyDescent="0.3">
      <c r="A159" s="224">
        <v>1</v>
      </c>
      <c r="C159" s="14">
        <f t="shared" si="26"/>
        <v>1</v>
      </c>
      <c r="D159" s="14" t="s">
        <v>661</v>
      </c>
      <c r="E159" s="58" t="s">
        <v>692</v>
      </c>
      <c r="F159" s="82" t="s">
        <v>684</v>
      </c>
      <c r="G159" s="176" t="s">
        <v>693</v>
      </c>
      <c r="H159" s="170" t="str">
        <f>'9. Maintenance'!$J14</f>
        <v>Comment is required</v>
      </c>
      <c r="I159" s="14">
        <f>'9. Maintenance'!$I14</f>
        <v>0</v>
      </c>
      <c r="J159" s="60" t="str">
        <f>IF(OR($I155="N/A",$I155="No"),"N/A",IF($I159="Yes","Adequate",IF($I159="No","Inadequate",IF($I159="Partial","Inadequate",IF(AND($I159="N/A",NOT($I155="No"),NOT($I155="N/A")),"Inadequate",IF(OR($I159="",$I159=0),"Blank","Error"))))))</f>
        <v>Blank</v>
      </c>
      <c r="K159" s="155" t="s">
        <v>1131</v>
      </c>
      <c r="L159" s="14" t="str">
        <f t="shared" si="25"/>
        <v>Blank</v>
      </c>
      <c r="N159" s="14" t="str">
        <f t="shared" si="27"/>
        <v/>
      </c>
      <c r="O159" s="14" t="str">
        <f t="shared" si="28"/>
        <v/>
      </c>
      <c r="P159" s="14" t="str">
        <f t="shared" si="29"/>
        <v>Comment is required</v>
      </c>
      <c r="Q159" s="14" t="str">
        <f t="shared" si="30"/>
        <v>Blank</v>
      </c>
      <c r="R159" s="14" t="str">
        <f t="shared" si="31"/>
        <v>No Override</v>
      </c>
      <c r="S159" s="14">
        <f t="shared" si="32"/>
        <v>1</v>
      </c>
      <c r="T159" s="14" t="str">
        <f t="shared" si="33"/>
        <v/>
      </c>
    </row>
    <row r="160" spans="1:20" x14ac:dyDescent="0.3">
      <c r="A160" s="224">
        <v>4</v>
      </c>
      <c r="C160" s="14">
        <f t="shared" si="26"/>
        <v>4</v>
      </c>
      <c r="D160" s="14" t="s">
        <v>661</v>
      </c>
      <c r="E160" s="62" t="s">
        <v>694</v>
      </c>
      <c r="F160" s="86" t="s">
        <v>696</v>
      </c>
      <c r="G160" s="176" t="s">
        <v>697</v>
      </c>
      <c r="H160" s="170" t="str">
        <f>'9. Maintenance'!$J15</f>
        <v>Comment is required</v>
      </c>
      <c r="I160" s="14">
        <f>'9. Maintenance'!$I15</f>
        <v>0</v>
      </c>
      <c r="J160" s="14" t="str">
        <f t="shared" si="34"/>
        <v>Blank</v>
      </c>
      <c r="K160" s="155" t="s">
        <v>1131</v>
      </c>
      <c r="L160" s="14" t="str">
        <f t="shared" si="25"/>
        <v>Blank</v>
      </c>
      <c r="N160" s="14" t="str">
        <f t="shared" si="27"/>
        <v/>
      </c>
      <c r="O160" s="14" t="str">
        <f t="shared" si="28"/>
        <v/>
      </c>
      <c r="P160" s="14" t="str">
        <f t="shared" si="29"/>
        <v>Comment is required</v>
      </c>
      <c r="Q160" s="14" t="str">
        <f t="shared" si="30"/>
        <v>Blank</v>
      </c>
      <c r="R160" s="14" t="str">
        <f t="shared" si="31"/>
        <v>No Override</v>
      </c>
      <c r="S160" s="14">
        <f t="shared" si="32"/>
        <v>4</v>
      </c>
      <c r="T160" s="14" t="str">
        <f t="shared" si="33"/>
        <v/>
      </c>
    </row>
    <row r="161" spans="1:20" ht="22.8" x14ac:dyDescent="0.3">
      <c r="A161" s="224">
        <v>4</v>
      </c>
      <c r="C161" s="14">
        <f t="shared" si="26"/>
        <v>4</v>
      </c>
      <c r="D161" s="14" t="s">
        <v>661</v>
      </c>
      <c r="E161" s="62" t="s">
        <v>698</v>
      </c>
      <c r="F161" s="86" t="s">
        <v>696</v>
      </c>
      <c r="G161" s="176" t="s">
        <v>699</v>
      </c>
      <c r="H161" s="170" t="str">
        <f>'9. Maintenance'!$J16</f>
        <v>Comment is required</v>
      </c>
      <c r="I161" s="14">
        <f>'9. Maintenance'!$I16</f>
        <v>0</v>
      </c>
      <c r="J161" s="14" t="str">
        <f t="shared" si="34"/>
        <v>Blank</v>
      </c>
      <c r="K161" s="155" t="s">
        <v>1131</v>
      </c>
      <c r="L161" s="14" t="str">
        <f t="shared" si="25"/>
        <v>Blank</v>
      </c>
      <c r="N161" s="14" t="str">
        <f t="shared" si="27"/>
        <v/>
      </c>
      <c r="O161" s="14" t="str">
        <f t="shared" si="28"/>
        <v/>
      </c>
      <c r="P161" s="14" t="str">
        <f t="shared" si="29"/>
        <v>Comment is required</v>
      </c>
      <c r="Q161" s="14" t="str">
        <f t="shared" si="30"/>
        <v>Blank</v>
      </c>
      <c r="R161" s="14" t="str">
        <f t="shared" si="31"/>
        <v>No Override</v>
      </c>
      <c r="S161" s="14">
        <f t="shared" si="32"/>
        <v>4</v>
      </c>
      <c r="T161" s="14" t="str">
        <f t="shared" si="33"/>
        <v/>
      </c>
    </row>
    <row r="162" spans="1:20" ht="22.8" x14ac:dyDescent="0.3">
      <c r="A162" s="224">
        <v>4</v>
      </c>
      <c r="C162" s="14">
        <f t="shared" si="26"/>
        <v>4</v>
      </c>
      <c r="D162" s="14" t="s">
        <v>661</v>
      </c>
      <c r="E162" s="62" t="s">
        <v>700</v>
      </c>
      <c r="F162" s="86" t="s">
        <v>696</v>
      </c>
      <c r="G162" s="176" t="s">
        <v>701</v>
      </c>
      <c r="H162" s="170" t="str">
        <f>'9. Maintenance'!$J17</f>
        <v>Comment is required</v>
      </c>
      <c r="I162" s="14">
        <f>'9. Maintenance'!$I17</f>
        <v>0</v>
      </c>
      <c r="J162" s="14" t="str">
        <f t="shared" si="34"/>
        <v>Blank</v>
      </c>
      <c r="K162" s="155" t="s">
        <v>1131</v>
      </c>
      <c r="L162" s="14" t="str">
        <f t="shared" si="25"/>
        <v>Blank</v>
      </c>
      <c r="N162" s="14" t="str">
        <f t="shared" si="27"/>
        <v/>
      </c>
      <c r="O162" s="14" t="str">
        <f t="shared" si="28"/>
        <v/>
      </c>
      <c r="P162" s="14" t="str">
        <f t="shared" si="29"/>
        <v>Comment is required</v>
      </c>
      <c r="Q162" s="14" t="str">
        <f t="shared" si="30"/>
        <v>Blank</v>
      </c>
      <c r="R162" s="14" t="str">
        <f t="shared" si="31"/>
        <v>No Override</v>
      </c>
      <c r="S162" s="14">
        <f t="shared" si="32"/>
        <v>4</v>
      </c>
      <c r="T162" s="14" t="str">
        <f t="shared" si="33"/>
        <v/>
      </c>
    </row>
    <row r="163" spans="1:20" ht="34.200000000000003" x14ac:dyDescent="0.3">
      <c r="A163" s="224">
        <v>4</v>
      </c>
      <c r="C163" s="14">
        <f t="shared" si="26"/>
        <v>4</v>
      </c>
      <c r="D163" s="14" t="s">
        <v>661</v>
      </c>
      <c r="E163" s="58" t="s">
        <v>702</v>
      </c>
      <c r="F163" s="82" t="s">
        <v>704</v>
      </c>
      <c r="G163" s="177" t="s">
        <v>705</v>
      </c>
      <c r="H163" s="170" t="str">
        <f>'9. Maintenance'!$J18</f>
        <v>Comment is required</v>
      </c>
      <c r="I163" s="14">
        <f>'9. Maintenance'!$I18</f>
        <v>0</v>
      </c>
      <c r="J163" s="14" t="str">
        <f t="shared" si="34"/>
        <v>Blank</v>
      </c>
      <c r="K163" s="155" t="s">
        <v>1131</v>
      </c>
      <c r="L163" s="14" t="str">
        <f t="shared" si="25"/>
        <v>Blank</v>
      </c>
      <c r="N163" s="14" t="str">
        <f t="shared" si="27"/>
        <v/>
      </c>
      <c r="O163" s="14" t="str">
        <f t="shared" si="28"/>
        <v/>
      </c>
      <c r="P163" s="14" t="str">
        <f t="shared" si="29"/>
        <v>Comment is required</v>
      </c>
      <c r="Q163" s="14" t="str">
        <f t="shared" si="30"/>
        <v>Blank</v>
      </c>
      <c r="R163" s="14" t="str">
        <f t="shared" si="31"/>
        <v>No Override</v>
      </c>
      <c r="S163" s="14">
        <f t="shared" si="32"/>
        <v>4</v>
      </c>
      <c r="T163" s="14" t="str">
        <f t="shared" si="33"/>
        <v/>
      </c>
    </row>
    <row r="164" spans="1:20" x14ac:dyDescent="0.3">
      <c r="A164" s="224">
        <v>4</v>
      </c>
      <c r="C164" s="14">
        <f t="shared" si="26"/>
        <v>4</v>
      </c>
      <c r="D164" s="14" t="s">
        <v>706</v>
      </c>
      <c r="E164" s="58" t="s">
        <v>707</v>
      </c>
      <c r="F164" s="82" t="s">
        <v>706</v>
      </c>
      <c r="G164" s="170" t="s">
        <v>1120</v>
      </c>
      <c r="H164" s="170" t="str">
        <f>'10. Media Protection'!$J3</f>
        <v>Comment is required</v>
      </c>
      <c r="I164" s="14">
        <f>'10. Media Protection'!$I3</f>
        <v>0</v>
      </c>
      <c r="J164" s="14" t="str">
        <f t="shared" si="34"/>
        <v>Blank</v>
      </c>
      <c r="K164" s="155" t="s">
        <v>1131</v>
      </c>
      <c r="L164" s="14" t="str">
        <f t="shared" si="25"/>
        <v>Blank</v>
      </c>
      <c r="N164" s="14" t="str">
        <f t="shared" si="27"/>
        <v/>
      </c>
      <c r="O164" s="14" t="str">
        <f t="shared" si="28"/>
        <v/>
      </c>
      <c r="P164" s="14" t="str">
        <f t="shared" si="29"/>
        <v>Comment is required</v>
      </c>
      <c r="Q164" s="14" t="str">
        <f t="shared" si="30"/>
        <v>Blank</v>
      </c>
      <c r="R164" s="14" t="str">
        <f t="shared" si="31"/>
        <v>No Override</v>
      </c>
      <c r="S164" s="14">
        <f t="shared" si="32"/>
        <v>4</v>
      </c>
      <c r="T164" s="14" t="str">
        <f t="shared" si="33"/>
        <v/>
      </c>
    </row>
    <row r="165" spans="1:20" x14ac:dyDescent="0.3">
      <c r="A165" s="224">
        <v>4</v>
      </c>
      <c r="C165" s="14">
        <f t="shared" si="26"/>
        <v>4</v>
      </c>
      <c r="D165" s="14" t="s">
        <v>706</v>
      </c>
      <c r="E165" s="58" t="s">
        <v>710</v>
      </c>
      <c r="F165" s="82" t="s">
        <v>711</v>
      </c>
      <c r="G165" s="170" t="s">
        <v>712</v>
      </c>
      <c r="H165" s="170" t="str">
        <f>'10. Media Protection'!$J4</f>
        <v>Comment is required</v>
      </c>
      <c r="I165" s="14">
        <f>'10. Media Protection'!$I4</f>
        <v>0</v>
      </c>
      <c r="J165" s="14" t="str">
        <f t="shared" si="34"/>
        <v>Blank</v>
      </c>
      <c r="K165" s="155" t="s">
        <v>1131</v>
      </c>
      <c r="L165" s="14" t="str">
        <f t="shared" si="25"/>
        <v>Blank</v>
      </c>
      <c r="N165" s="14" t="str">
        <f t="shared" si="27"/>
        <v/>
      </c>
      <c r="O165" s="14" t="str">
        <f t="shared" si="28"/>
        <v/>
      </c>
      <c r="P165" s="14" t="str">
        <f t="shared" si="29"/>
        <v>Comment is required</v>
      </c>
      <c r="Q165" s="14" t="str">
        <f t="shared" si="30"/>
        <v>Blank</v>
      </c>
      <c r="R165" s="14" t="str">
        <f t="shared" si="31"/>
        <v>No Override</v>
      </c>
      <c r="S165" s="14">
        <f t="shared" si="32"/>
        <v>4</v>
      </c>
      <c r="T165" s="14" t="str">
        <f t="shared" si="33"/>
        <v/>
      </c>
    </row>
    <row r="166" spans="1:20" ht="22.8" x14ac:dyDescent="0.3">
      <c r="A166" s="224">
        <v>4</v>
      </c>
      <c r="C166" s="14">
        <f t="shared" si="26"/>
        <v>4</v>
      </c>
      <c r="D166" s="14" t="s">
        <v>706</v>
      </c>
      <c r="E166" s="58" t="s">
        <v>713</v>
      </c>
      <c r="F166" s="82" t="s">
        <v>716</v>
      </c>
      <c r="G166" s="176" t="s">
        <v>717</v>
      </c>
      <c r="H166" s="170" t="str">
        <f>'10. Media Protection'!$J5</f>
        <v>Comment is required</v>
      </c>
      <c r="I166" s="14">
        <f>'10. Media Protection'!$I5</f>
        <v>0</v>
      </c>
      <c r="J166" s="14" t="str">
        <f t="shared" si="34"/>
        <v>Blank</v>
      </c>
      <c r="K166" s="155" t="s">
        <v>1131</v>
      </c>
      <c r="L166" s="14" t="str">
        <f t="shared" si="25"/>
        <v>Blank</v>
      </c>
      <c r="N166" s="14" t="str">
        <f t="shared" si="27"/>
        <v/>
      </c>
      <c r="O166" s="14" t="str">
        <f t="shared" si="28"/>
        <v/>
      </c>
      <c r="P166" s="14" t="str">
        <f t="shared" si="29"/>
        <v>Comment is required</v>
      </c>
      <c r="Q166" s="14" t="str">
        <f t="shared" si="30"/>
        <v>Blank</v>
      </c>
      <c r="R166" s="14" t="str">
        <f t="shared" si="31"/>
        <v>No Override</v>
      </c>
      <c r="S166" s="14">
        <f t="shared" si="32"/>
        <v>4</v>
      </c>
      <c r="T166" s="14" t="str">
        <f t="shared" si="33"/>
        <v/>
      </c>
    </row>
    <row r="167" spans="1:20" ht="22.8" x14ac:dyDescent="0.3">
      <c r="A167" s="224">
        <v>3</v>
      </c>
      <c r="C167" s="14">
        <f t="shared" si="26"/>
        <v>3</v>
      </c>
      <c r="D167" s="14" t="s">
        <v>706</v>
      </c>
      <c r="E167" s="58" t="s">
        <v>718</v>
      </c>
      <c r="F167" s="82" t="s">
        <v>721</v>
      </c>
      <c r="G167" s="176" t="s">
        <v>722</v>
      </c>
      <c r="H167" s="170" t="str">
        <f>'10. Media Protection'!$J6</f>
        <v>Comment is required</v>
      </c>
      <c r="I167" s="14">
        <f>'10. Media Protection'!$I6</f>
        <v>0</v>
      </c>
      <c r="J167" s="14" t="str">
        <f t="shared" si="34"/>
        <v>Blank</v>
      </c>
      <c r="K167" s="155" t="s">
        <v>1131</v>
      </c>
      <c r="L167" s="14" t="str">
        <f t="shared" si="25"/>
        <v>Blank</v>
      </c>
      <c r="N167" s="14" t="str">
        <f t="shared" si="27"/>
        <v/>
      </c>
      <c r="O167" s="14" t="str">
        <f t="shared" si="28"/>
        <v/>
      </c>
      <c r="P167" s="14" t="str">
        <f t="shared" si="29"/>
        <v>Comment is required</v>
      </c>
      <c r="Q167" s="14" t="str">
        <f t="shared" si="30"/>
        <v>Blank</v>
      </c>
      <c r="R167" s="14" t="str">
        <f t="shared" si="31"/>
        <v>No Override</v>
      </c>
      <c r="S167" s="14">
        <f t="shared" si="32"/>
        <v>3</v>
      </c>
      <c r="T167" s="14" t="str">
        <f t="shared" si="33"/>
        <v/>
      </c>
    </row>
    <row r="168" spans="1:20" x14ac:dyDescent="0.3">
      <c r="A168" s="224">
        <v>2</v>
      </c>
      <c r="C168" s="14">
        <f t="shared" si="26"/>
        <v>2</v>
      </c>
      <c r="D168" s="14" t="s">
        <v>706</v>
      </c>
      <c r="E168" s="58" t="s">
        <v>723</v>
      </c>
      <c r="F168" s="82" t="s">
        <v>726</v>
      </c>
      <c r="G168" s="176" t="s">
        <v>727</v>
      </c>
      <c r="H168" s="170" t="str">
        <f>'10. Media Protection'!$J7</f>
        <v>Comment is required</v>
      </c>
      <c r="I168" s="14">
        <f>'10. Media Protection'!$I7</f>
        <v>0</v>
      </c>
      <c r="J168" s="14" t="str">
        <f t="shared" si="34"/>
        <v>Blank</v>
      </c>
      <c r="K168" s="155" t="s">
        <v>1131</v>
      </c>
      <c r="L168" s="14" t="str">
        <f t="shared" si="25"/>
        <v>Blank</v>
      </c>
      <c r="N168" s="14" t="str">
        <f t="shared" si="27"/>
        <v/>
      </c>
      <c r="O168" s="14" t="str">
        <f t="shared" si="28"/>
        <v/>
      </c>
      <c r="P168" s="14" t="str">
        <f t="shared" si="29"/>
        <v>Comment is required</v>
      </c>
      <c r="Q168" s="14" t="str">
        <f t="shared" si="30"/>
        <v>Blank</v>
      </c>
      <c r="R168" s="14" t="str">
        <f t="shared" si="31"/>
        <v>No Override</v>
      </c>
      <c r="S168" s="14">
        <f t="shared" si="32"/>
        <v>2</v>
      </c>
      <c r="T168" s="14" t="str">
        <f t="shared" si="33"/>
        <v/>
      </c>
    </row>
    <row r="169" spans="1:20" x14ac:dyDescent="0.3">
      <c r="A169" s="224">
        <v>4</v>
      </c>
      <c r="C169" s="14">
        <f t="shared" si="26"/>
        <v>4</v>
      </c>
      <c r="D169" s="14" t="s">
        <v>706</v>
      </c>
      <c r="E169" s="62" t="s">
        <v>728</v>
      </c>
      <c r="F169" s="82" t="s">
        <v>731</v>
      </c>
      <c r="G169" s="176" t="s">
        <v>732</v>
      </c>
      <c r="H169" s="170" t="str">
        <f>'10. Media Protection'!$J8</f>
        <v>Comment is required</v>
      </c>
      <c r="I169" s="14">
        <f>'10. Media Protection'!$I8</f>
        <v>0</v>
      </c>
      <c r="J169" s="48" t="str">
        <f>IF(AND($I169="Yes",$I170="Yes"),"Adequate",IF(AND($I169="Yes",NOT($I170="Yes")),"Inadequate",IF($I169="No","N/A",IF($I169="Partial","Inadequate",IF($I169="N/A","N/A",IF(OR($I169="",$I169=0),"Blank","Error"))))))</f>
        <v>Blank</v>
      </c>
      <c r="K169" s="155" t="s">
        <v>1131</v>
      </c>
      <c r="L169" s="14" t="str">
        <f t="shared" si="25"/>
        <v>Blank</v>
      </c>
      <c r="N169" s="14" t="str">
        <f t="shared" si="27"/>
        <v/>
      </c>
      <c r="O169" s="14" t="str">
        <f t="shared" si="28"/>
        <v/>
      </c>
      <c r="P169" s="14" t="str">
        <f t="shared" si="29"/>
        <v>Comment is required</v>
      </c>
      <c r="Q169" s="14" t="str">
        <f t="shared" si="30"/>
        <v>Blank</v>
      </c>
      <c r="R169" s="14" t="str">
        <f t="shared" si="31"/>
        <v>No Override</v>
      </c>
      <c r="S169" s="14">
        <f t="shared" si="32"/>
        <v>4</v>
      </c>
      <c r="T169" s="14" t="str">
        <f t="shared" si="33"/>
        <v/>
      </c>
    </row>
    <row r="170" spans="1:20" ht="22.8" x14ac:dyDescent="0.3">
      <c r="A170" s="224">
        <v>3</v>
      </c>
      <c r="C170" s="14">
        <f t="shared" si="26"/>
        <v>3</v>
      </c>
      <c r="D170" s="14" t="s">
        <v>706</v>
      </c>
      <c r="E170" s="62" t="s">
        <v>733</v>
      </c>
      <c r="F170" s="82" t="s">
        <v>731</v>
      </c>
      <c r="G170" s="176" t="s">
        <v>734</v>
      </c>
      <c r="H170" s="170" t="str">
        <f>'10. Media Protection'!$J9</f>
        <v>Comment is required</v>
      </c>
      <c r="I170" s="14">
        <f>'10. Media Protection'!$I9</f>
        <v>0</v>
      </c>
      <c r="J170" s="60" t="str">
        <f>IF(OR($I169="N/A",$I169="No"),"N/A",IF($I170="Yes","Adequate",IF($I170="No","Inadequate",IF($I170="Partial","Inadequate",IF(AND($I170="N/A",NOT($I169="No"),NOT($I169="N/A")),"Inadequate",IF(OR($I170="",$I170=0),"Blank","Error"))))))</f>
        <v>Blank</v>
      </c>
      <c r="K170" s="155" t="s">
        <v>1131</v>
      </c>
      <c r="L170" s="14" t="str">
        <f t="shared" si="25"/>
        <v>Blank</v>
      </c>
      <c r="N170" s="14" t="str">
        <f t="shared" si="27"/>
        <v/>
      </c>
      <c r="O170" s="14" t="str">
        <f t="shared" si="28"/>
        <v/>
      </c>
      <c r="P170" s="14" t="str">
        <f t="shared" si="29"/>
        <v>Comment is required</v>
      </c>
      <c r="Q170" s="14" t="str">
        <f t="shared" si="30"/>
        <v>Blank</v>
      </c>
      <c r="R170" s="14" t="str">
        <f t="shared" si="31"/>
        <v>No Override</v>
      </c>
      <c r="S170" s="14">
        <f t="shared" si="32"/>
        <v>3</v>
      </c>
      <c r="T170" s="14" t="str">
        <f t="shared" si="33"/>
        <v/>
      </c>
    </row>
    <row r="171" spans="1:20" x14ac:dyDescent="0.3">
      <c r="A171" s="224">
        <v>4</v>
      </c>
      <c r="C171" s="14">
        <f t="shared" si="26"/>
        <v>4</v>
      </c>
      <c r="D171" s="14" t="s">
        <v>706</v>
      </c>
      <c r="E171" s="58" t="s">
        <v>735</v>
      </c>
      <c r="F171" s="82" t="s">
        <v>738</v>
      </c>
      <c r="G171" s="176" t="s">
        <v>739</v>
      </c>
      <c r="H171" s="170" t="str">
        <f>'10. Media Protection'!$J10</f>
        <v>Comment is required</v>
      </c>
      <c r="I171" s="14">
        <f>'10. Media Protection'!$I10</f>
        <v>0</v>
      </c>
      <c r="J171" s="14" t="str">
        <f t="shared" si="34"/>
        <v>Blank</v>
      </c>
      <c r="K171" s="155" t="s">
        <v>1131</v>
      </c>
      <c r="L171" s="14" t="str">
        <f t="shared" si="25"/>
        <v>Blank</v>
      </c>
      <c r="N171" s="14" t="str">
        <f t="shared" si="27"/>
        <v/>
      </c>
      <c r="O171" s="14" t="str">
        <f t="shared" si="28"/>
        <v/>
      </c>
      <c r="P171" s="14" t="str">
        <f t="shared" si="29"/>
        <v>Comment is required</v>
      </c>
      <c r="Q171" s="14" t="str">
        <f t="shared" si="30"/>
        <v>Blank</v>
      </c>
      <c r="R171" s="14" t="str">
        <f t="shared" si="31"/>
        <v>No Override</v>
      </c>
      <c r="S171" s="14">
        <f t="shared" si="32"/>
        <v>4</v>
      </c>
      <c r="T171" s="14" t="str">
        <f t="shared" si="33"/>
        <v/>
      </c>
    </row>
    <row r="172" spans="1:20" ht="22.8" x14ac:dyDescent="0.3">
      <c r="A172" s="224">
        <v>4</v>
      </c>
      <c r="C172" s="14">
        <f t="shared" si="26"/>
        <v>4</v>
      </c>
      <c r="D172" s="14" t="s">
        <v>706</v>
      </c>
      <c r="E172" s="58" t="s">
        <v>740</v>
      </c>
      <c r="F172" s="82" t="s">
        <v>742</v>
      </c>
      <c r="G172" s="170" t="s">
        <v>743</v>
      </c>
      <c r="H172" s="170" t="str">
        <f>'10. Media Protection'!$J11</f>
        <v>Comment is required</v>
      </c>
      <c r="I172" s="14">
        <f>'10. Media Protection'!$I11</f>
        <v>0</v>
      </c>
      <c r="J172" s="14" t="str">
        <f t="shared" si="34"/>
        <v>Blank</v>
      </c>
      <c r="K172" s="155" t="s">
        <v>1131</v>
      </c>
      <c r="L172" s="14" t="str">
        <f t="shared" si="25"/>
        <v>Blank</v>
      </c>
      <c r="N172" s="14" t="str">
        <f t="shared" si="27"/>
        <v/>
      </c>
      <c r="O172" s="14" t="str">
        <f t="shared" si="28"/>
        <v/>
      </c>
      <c r="P172" s="14" t="str">
        <f t="shared" si="29"/>
        <v>Comment is required</v>
      </c>
      <c r="Q172" s="14" t="str">
        <f t="shared" si="30"/>
        <v>Blank</v>
      </c>
      <c r="R172" s="14" t="str">
        <f t="shared" si="31"/>
        <v>No Override</v>
      </c>
      <c r="S172" s="14">
        <f t="shared" si="32"/>
        <v>4</v>
      </c>
      <c r="T172" s="14" t="str">
        <f t="shared" si="33"/>
        <v/>
      </c>
    </row>
    <row r="173" spans="1:20" ht="22.8" x14ac:dyDescent="0.3">
      <c r="A173" s="224">
        <v>4</v>
      </c>
      <c r="C173" s="14">
        <f t="shared" si="26"/>
        <v>4</v>
      </c>
      <c r="D173" s="14" t="s">
        <v>706</v>
      </c>
      <c r="E173" s="58" t="s">
        <v>744</v>
      </c>
      <c r="F173" s="82" t="s">
        <v>742</v>
      </c>
      <c r="G173" s="170" t="s">
        <v>745</v>
      </c>
      <c r="H173" s="170" t="str">
        <f>'10. Media Protection'!$J12</f>
        <v>Comment is required</v>
      </c>
      <c r="I173" s="14">
        <f>'10. Media Protection'!$I12</f>
        <v>0</v>
      </c>
      <c r="J173" s="14" t="str">
        <f t="shared" si="34"/>
        <v>Blank</v>
      </c>
      <c r="K173" s="155" t="s">
        <v>1131</v>
      </c>
      <c r="L173" s="14" t="str">
        <f t="shared" si="25"/>
        <v>Blank</v>
      </c>
      <c r="N173" s="14" t="str">
        <f t="shared" si="27"/>
        <v/>
      </c>
      <c r="O173" s="14" t="str">
        <f t="shared" si="28"/>
        <v/>
      </c>
      <c r="P173" s="14" t="str">
        <f t="shared" si="29"/>
        <v>Comment is required</v>
      </c>
      <c r="Q173" s="14" t="str">
        <f t="shared" si="30"/>
        <v>Blank</v>
      </c>
      <c r="R173" s="14" t="str">
        <f t="shared" si="31"/>
        <v>No Override</v>
      </c>
      <c r="S173" s="14">
        <f t="shared" si="32"/>
        <v>4</v>
      </c>
      <c r="T173" s="14" t="str">
        <f t="shared" si="33"/>
        <v/>
      </c>
    </row>
    <row r="174" spans="1:20" ht="22.8" x14ac:dyDescent="0.3">
      <c r="A174" s="224">
        <v>4</v>
      </c>
      <c r="C174" s="14">
        <f t="shared" si="26"/>
        <v>4</v>
      </c>
      <c r="D174" s="14" t="s">
        <v>1137</v>
      </c>
      <c r="E174" s="58" t="s">
        <v>747</v>
      </c>
      <c r="F174" s="82" t="s">
        <v>750</v>
      </c>
      <c r="G174" s="170" t="s">
        <v>1303</v>
      </c>
      <c r="H174" s="170" t="str">
        <f>'11. Physical Security'!$J3</f>
        <v>Comment is required</v>
      </c>
      <c r="I174" s="14">
        <f>'11. Physical Security'!$I3</f>
        <v>0</v>
      </c>
      <c r="J174" s="14" t="str">
        <f t="shared" si="34"/>
        <v>Blank</v>
      </c>
      <c r="K174" s="155" t="s">
        <v>1131</v>
      </c>
      <c r="L174" s="14" t="str">
        <f t="shared" si="25"/>
        <v>Blank</v>
      </c>
      <c r="N174" s="14" t="str">
        <f t="shared" si="27"/>
        <v/>
      </c>
      <c r="O174" s="14" t="str">
        <f t="shared" si="28"/>
        <v/>
      </c>
      <c r="P174" s="14" t="str">
        <f t="shared" si="29"/>
        <v>Comment is required</v>
      </c>
      <c r="Q174" s="14" t="str">
        <f t="shared" si="30"/>
        <v>Blank</v>
      </c>
      <c r="R174" s="14" t="str">
        <f t="shared" si="31"/>
        <v>No Override</v>
      </c>
      <c r="S174" s="14">
        <f t="shared" si="32"/>
        <v>4</v>
      </c>
      <c r="T174" s="14" t="str">
        <f t="shared" si="33"/>
        <v/>
      </c>
    </row>
    <row r="175" spans="1:20" ht="22.8" x14ac:dyDescent="0.3">
      <c r="A175" s="224">
        <v>4</v>
      </c>
      <c r="C175" s="14">
        <f t="shared" si="26"/>
        <v>4</v>
      </c>
      <c r="D175" s="14" t="s">
        <v>1137</v>
      </c>
      <c r="E175" s="62" t="s">
        <v>751</v>
      </c>
      <c r="F175" s="86" t="s">
        <v>753</v>
      </c>
      <c r="G175" s="176" t="s">
        <v>754</v>
      </c>
      <c r="H175" s="170" t="str">
        <f>'11. Physical Security'!$J4</f>
        <v>Comment is required</v>
      </c>
      <c r="I175" s="14">
        <f>'11. Physical Security'!$I4</f>
        <v>0</v>
      </c>
      <c r="J175" s="14" t="str">
        <f t="shared" si="34"/>
        <v>Blank</v>
      </c>
      <c r="K175" s="155" t="s">
        <v>1131</v>
      </c>
      <c r="L175" s="14" t="str">
        <f t="shared" si="25"/>
        <v>Blank</v>
      </c>
      <c r="N175" s="14" t="str">
        <f t="shared" si="27"/>
        <v/>
      </c>
      <c r="O175" s="14" t="str">
        <f t="shared" si="28"/>
        <v/>
      </c>
      <c r="P175" s="14" t="str">
        <f t="shared" si="29"/>
        <v>Comment is required</v>
      </c>
      <c r="Q175" s="14" t="str">
        <f t="shared" si="30"/>
        <v>Blank</v>
      </c>
      <c r="R175" s="14" t="str">
        <f t="shared" si="31"/>
        <v>No Override</v>
      </c>
      <c r="S175" s="14">
        <f t="shared" si="32"/>
        <v>4</v>
      </c>
      <c r="T175" s="14" t="str">
        <f t="shared" si="33"/>
        <v/>
      </c>
    </row>
    <row r="176" spans="1:20" x14ac:dyDescent="0.3">
      <c r="A176" s="224">
        <v>4</v>
      </c>
      <c r="C176" s="14">
        <f t="shared" si="26"/>
        <v>4</v>
      </c>
      <c r="D176" s="14" t="s">
        <v>1137</v>
      </c>
      <c r="E176" s="62" t="s">
        <v>755</v>
      </c>
      <c r="F176" s="86" t="s">
        <v>753</v>
      </c>
      <c r="G176" s="176" t="s">
        <v>756</v>
      </c>
      <c r="H176" s="170" t="str">
        <f>'11. Physical Security'!$J5</f>
        <v>Comment is required</v>
      </c>
      <c r="I176" s="14">
        <f>'11. Physical Security'!$I5</f>
        <v>0</v>
      </c>
      <c r="J176" s="14" t="str">
        <f t="shared" si="34"/>
        <v>Blank</v>
      </c>
      <c r="K176" s="155" t="s">
        <v>1131</v>
      </c>
      <c r="L176" s="14" t="str">
        <f t="shared" si="25"/>
        <v>Blank</v>
      </c>
      <c r="N176" s="14" t="str">
        <f t="shared" si="27"/>
        <v/>
      </c>
      <c r="O176" s="14" t="str">
        <f t="shared" si="28"/>
        <v/>
      </c>
      <c r="P176" s="14" t="str">
        <f t="shared" si="29"/>
        <v>Comment is required</v>
      </c>
      <c r="Q176" s="14" t="str">
        <f t="shared" si="30"/>
        <v>Blank</v>
      </c>
      <c r="R176" s="14" t="str">
        <f t="shared" si="31"/>
        <v>No Override</v>
      </c>
      <c r="S176" s="14">
        <f t="shared" si="32"/>
        <v>4</v>
      </c>
      <c r="T176" s="14" t="str">
        <f t="shared" si="33"/>
        <v/>
      </c>
    </row>
    <row r="177" spans="1:20" x14ac:dyDescent="0.3">
      <c r="A177" s="224">
        <v>4</v>
      </c>
      <c r="C177" s="14">
        <f t="shared" si="26"/>
        <v>4</v>
      </c>
      <c r="D177" s="14" t="s">
        <v>1137</v>
      </c>
      <c r="E177" s="62" t="s">
        <v>757</v>
      </c>
      <c r="F177" s="86" t="s">
        <v>753</v>
      </c>
      <c r="G177" s="176" t="s">
        <v>758</v>
      </c>
      <c r="H177" s="170" t="str">
        <f>'11. Physical Security'!$J6</f>
        <v>Comment is required</v>
      </c>
      <c r="I177" s="14">
        <f>'11. Physical Security'!$I6</f>
        <v>0</v>
      </c>
      <c r="J177" s="14" t="str">
        <f t="shared" si="34"/>
        <v>Blank</v>
      </c>
      <c r="K177" s="155" t="s">
        <v>1131</v>
      </c>
      <c r="L177" s="14" t="str">
        <f t="shared" si="25"/>
        <v>Blank</v>
      </c>
      <c r="N177" s="14" t="str">
        <f t="shared" si="27"/>
        <v/>
      </c>
      <c r="O177" s="14" t="str">
        <f t="shared" si="28"/>
        <v/>
      </c>
      <c r="P177" s="14" t="str">
        <f t="shared" si="29"/>
        <v>Comment is required</v>
      </c>
      <c r="Q177" s="14" t="str">
        <f t="shared" si="30"/>
        <v>Blank</v>
      </c>
      <c r="R177" s="14" t="str">
        <f t="shared" si="31"/>
        <v>No Override</v>
      </c>
      <c r="S177" s="14">
        <f t="shared" si="32"/>
        <v>4</v>
      </c>
      <c r="T177" s="14" t="str">
        <f t="shared" si="33"/>
        <v/>
      </c>
    </row>
    <row r="178" spans="1:20" ht="22.8" x14ac:dyDescent="0.3">
      <c r="A178" s="224">
        <v>4</v>
      </c>
      <c r="C178" s="14">
        <f t="shared" si="26"/>
        <v>4</v>
      </c>
      <c r="D178" s="14" t="s">
        <v>1137</v>
      </c>
      <c r="E178" s="62" t="s">
        <v>759</v>
      </c>
      <c r="F178" s="86" t="s">
        <v>761</v>
      </c>
      <c r="G178" s="176" t="s">
        <v>762</v>
      </c>
      <c r="H178" s="170" t="str">
        <f>'11. Physical Security'!$J7</f>
        <v>Comment is required</v>
      </c>
      <c r="I178" s="14">
        <f>'11. Physical Security'!$I7</f>
        <v>0</v>
      </c>
      <c r="J178" s="14" t="str">
        <f t="shared" si="34"/>
        <v>Blank</v>
      </c>
      <c r="K178" s="155" t="s">
        <v>1131</v>
      </c>
      <c r="L178" s="14" t="str">
        <f t="shared" si="25"/>
        <v>Blank</v>
      </c>
      <c r="N178" s="14" t="str">
        <f t="shared" si="27"/>
        <v/>
      </c>
      <c r="O178" s="14" t="str">
        <f t="shared" si="28"/>
        <v/>
      </c>
      <c r="P178" s="14" t="str">
        <f t="shared" si="29"/>
        <v>Comment is required</v>
      </c>
      <c r="Q178" s="14" t="str">
        <f t="shared" si="30"/>
        <v>Blank</v>
      </c>
      <c r="R178" s="14" t="str">
        <f t="shared" si="31"/>
        <v>No Override</v>
      </c>
      <c r="S178" s="14">
        <f t="shared" si="32"/>
        <v>4</v>
      </c>
      <c r="T178" s="14" t="str">
        <f t="shared" si="33"/>
        <v/>
      </c>
    </row>
    <row r="179" spans="1:20" x14ac:dyDescent="0.3">
      <c r="A179" s="224">
        <v>4</v>
      </c>
      <c r="C179" s="14">
        <f t="shared" si="26"/>
        <v>4</v>
      </c>
      <c r="D179" s="14" t="s">
        <v>1137</v>
      </c>
      <c r="E179" s="62" t="s">
        <v>763</v>
      </c>
      <c r="F179" s="86" t="s">
        <v>761</v>
      </c>
      <c r="G179" s="176" t="s">
        <v>764</v>
      </c>
      <c r="H179" s="170" t="str">
        <f>'11. Physical Security'!$J8</f>
        <v>Comment is required</v>
      </c>
      <c r="I179" s="14">
        <f>'11. Physical Security'!$I8</f>
        <v>0</v>
      </c>
      <c r="J179" s="14" t="str">
        <f t="shared" si="34"/>
        <v>Blank</v>
      </c>
      <c r="K179" s="155" t="s">
        <v>1131</v>
      </c>
      <c r="L179" s="14" t="str">
        <f t="shared" si="25"/>
        <v>Blank</v>
      </c>
      <c r="N179" s="14" t="str">
        <f t="shared" si="27"/>
        <v/>
      </c>
      <c r="O179" s="14" t="str">
        <f t="shared" si="28"/>
        <v/>
      </c>
      <c r="P179" s="14" t="str">
        <f t="shared" si="29"/>
        <v>Comment is required</v>
      </c>
      <c r="Q179" s="14" t="str">
        <f t="shared" si="30"/>
        <v>Blank</v>
      </c>
      <c r="R179" s="14" t="str">
        <f t="shared" si="31"/>
        <v>No Override</v>
      </c>
      <c r="S179" s="14">
        <f t="shared" si="32"/>
        <v>4</v>
      </c>
      <c r="T179" s="14" t="str">
        <f t="shared" si="33"/>
        <v/>
      </c>
    </row>
    <row r="180" spans="1:20" ht="22.8" x14ac:dyDescent="0.3">
      <c r="A180" s="224">
        <v>4</v>
      </c>
      <c r="C180" s="14">
        <f t="shared" si="26"/>
        <v>4</v>
      </c>
      <c r="D180" s="14" t="s">
        <v>1137</v>
      </c>
      <c r="E180" s="62" t="s">
        <v>765</v>
      </c>
      <c r="F180" s="86" t="s">
        <v>761</v>
      </c>
      <c r="G180" s="176" t="s">
        <v>766</v>
      </c>
      <c r="H180" s="170" t="str">
        <f>'11. Physical Security'!$J9</f>
        <v>Comment is required</v>
      </c>
      <c r="I180" s="14">
        <f>'11. Physical Security'!$I9</f>
        <v>0</v>
      </c>
      <c r="J180" s="14" t="str">
        <f>IF($I180="Yes","Adequate",IF($I180="No","Adequate",IF($I180="Partial","Inadequate",IF($I180="N/A","Inadequate",IF(OR($I180="",$I180=0),"Blank","Error")))))</f>
        <v>Blank</v>
      </c>
      <c r="K180" s="155" t="s">
        <v>1131</v>
      </c>
      <c r="L180" s="14" t="str">
        <f t="shared" si="25"/>
        <v>Blank</v>
      </c>
      <c r="N180" s="14" t="str">
        <f t="shared" si="27"/>
        <v/>
      </c>
      <c r="O180" s="14" t="str">
        <f t="shared" si="28"/>
        <v/>
      </c>
      <c r="P180" s="14" t="str">
        <f t="shared" si="29"/>
        <v>Comment is required</v>
      </c>
      <c r="Q180" s="14" t="str">
        <f t="shared" si="30"/>
        <v>Blank</v>
      </c>
      <c r="R180" s="14" t="str">
        <f t="shared" si="31"/>
        <v>No Override</v>
      </c>
      <c r="S180" s="14">
        <f t="shared" si="32"/>
        <v>4</v>
      </c>
      <c r="T180" s="14" t="str">
        <f t="shared" si="33"/>
        <v/>
      </c>
    </row>
    <row r="181" spans="1:20" x14ac:dyDescent="0.3">
      <c r="A181" s="224">
        <v>4</v>
      </c>
      <c r="C181" s="14">
        <f t="shared" si="26"/>
        <v>4</v>
      </c>
      <c r="D181" s="14" t="s">
        <v>1137</v>
      </c>
      <c r="E181" s="62" t="s">
        <v>767</v>
      </c>
      <c r="F181" s="86" t="s">
        <v>761</v>
      </c>
      <c r="G181" s="176" t="s">
        <v>768</v>
      </c>
      <c r="H181" s="170" t="str">
        <f>'11. Physical Security'!$J10</f>
        <v>Comment is required</v>
      </c>
      <c r="I181" s="14">
        <f>'11. Physical Security'!$I10</f>
        <v>0</v>
      </c>
      <c r="J181" s="14" t="str">
        <f t="shared" si="34"/>
        <v>Blank</v>
      </c>
      <c r="K181" s="155" t="s">
        <v>1131</v>
      </c>
      <c r="L181" s="14" t="str">
        <f t="shared" si="25"/>
        <v>Blank</v>
      </c>
      <c r="N181" s="14" t="str">
        <f t="shared" si="27"/>
        <v/>
      </c>
      <c r="O181" s="14" t="str">
        <f t="shared" si="28"/>
        <v/>
      </c>
      <c r="P181" s="14" t="str">
        <f t="shared" si="29"/>
        <v>Comment is required</v>
      </c>
      <c r="Q181" s="14" t="str">
        <f t="shared" si="30"/>
        <v>Blank</v>
      </c>
      <c r="R181" s="14" t="str">
        <f t="shared" si="31"/>
        <v>No Override</v>
      </c>
      <c r="S181" s="14">
        <f t="shared" si="32"/>
        <v>4</v>
      </c>
      <c r="T181" s="14" t="str">
        <f t="shared" si="33"/>
        <v/>
      </c>
    </row>
    <row r="182" spans="1:20" x14ac:dyDescent="0.3">
      <c r="A182" s="224">
        <v>4</v>
      </c>
      <c r="C182" s="14">
        <f t="shared" si="26"/>
        <v>4</v>
      </c>
      <c r="D182" s="14" t="s">
        <v>1137</v>
      </c>
      <c r="E182" s="62" t="s">
        <v>769</v>
      </c>
      <c r="F182" s="86" t="s">
        <v>761</v>
      </c>
      <c r="G182" s="176" t="s">
        <v>770</v>
      </c>
      <c r="H182" s="170" t="str">
        <f>'11. Physical Security'!$J11</f>
        <v>Comment is required</v>
      </c>
      <c r="I182" s="14">
        <f>'11. Physical Security'!$I11</f>
        <v>0</v>
      </c>
      <c r="J182" s="14" t="str">
        <f t="shared" si="34"/>
        <v>Blank</v>
      </c>
      <c r="K182" s="155" t="s">
        <v>1131</v>
      </c>
      <c r="L182" s="14" t="str">
        <f t="shared" si="25"/>
        <v>Blank</v>
      </c>
      <c r="N182" s="14" t="str">
        <f t="shared" si="27"/>
        <v/>
      </c>
      <c r="O182" s="14" t="str">
        <f t="shared" si="28"/>
        <v/>
      </c>
      <c r="P182" s="14" t="str">
        <f t="shared" si="29"/>
        <v>Comment is required</v>
      </c>
      <c r="Q182" s="14" t="str">
        <f t="shared" si="30"/>
        <v>Blank</v>
      </c>
      <c r="R182" s="14" t="str">
        <f t="shared" si="31"/>
        <v>No Override</v>
      </c>
      <c r="S182" s="14">
        <f t="shared" si="32"/>
        <v>4</v>
      </c>
      <c r="T182" s="14" t="str">
        <f t="shared" si="33"/>
        <v/>
      </c>
    </row>
    <row r="183" spans="1:20" x14ac:dyDescent="0.3">
      <c r="A183" s="224">
        <v>4</v>
      </c>
      <c r="C183" s="14">
        <f t="shared" si="26"/>
        <v>4</v>
      </c>
      <c r="D183" s="14" t="s">
        <v>1137</v>
      </c>
      <c r="E183" s="62" t="s">
        <v>771</v>
      </c>
      <c r="F183" s="86" t="s">
        <v>761</v>
      </c>
      <c r="G183" s="176" t="s">
        <v>772</v>
      </c>
      <c r="H183" s="170" t="str">
        <f>'11. Physical Security'!$J12</f>
        <v>Comment is required</v>
      </c>
      <c r="I183" s="14">
        <f>'11. Physical Security'!$I12</f>
        <v>0</v>
      </c>
      <c r="J183" s="14" t="str">
        <f t="shared" si="34"/>
        <v>Blank</v>
      </c>
      <c r="K183" s="155" t="s">
        <v>1131</v>
      </c>
      <c r="L183" s="14" t="str">
        <f t="shared" si="25"/>
        <v>Blank</v>
      </c>
      <c r="N183" s="14" t="str">
        <f t="shared" si="27"/>
        <v/>
      </c>
      <c r="O183" s="14" t="str">
        <f t="shared" si="28"/>
        <v/>
      </c>
      <c r="P183" s="14" t="str">
        <f t="shared" si="29"/>
        <v>Comment is required</v>
      </c>
      <c r="Q183" s="14" t="str">
        <f t="shared" si="30"/>
        <v>Blank</v>
      </c>
      <c r="R183" s="14" t="str">
        <f t="shared" si="31"/>
        <v>No Override</v>
      </c>
      <c r="S183" s="14">
        <f t="shared" si="32"/>
        <v>4</v>
      </c>
      <c r="T183" s="14" t="str">
        <f t="shared" si="33"/>
        <v/>
      </c>
    </row>
    <row r="184" spans="1:20" ht="22.8" x14ac:dyDescent="0.3">
      <c r="A184" s="224">
        <v>4</v>
      </c>
      <c r="C184" s="14">
        <f t="shared" si="26"/>
        <v>4</v>
      </c>
      <c r="D184" s="14" t="s">
        <v>1137</v>
      </c>
      <c r="E184" s="62" t="s">
        <v>773</v>
      </c>
      <c r="F184" s="86" t="s">
        <v>761</v>
      </c>
      <c r="G184" s="176" t="s">
        <v>774</v>
      </c>
      <c r="H184" s="170" t="str">
        <f>'11. Physical Security'!$J13</f>
        <v>Comment is required</v>
      </c>
      <c r="I184" s="14">
        <f>'11. Physical Security'!$I13</f>
        <v>0</v>
      </c>
      <c r="J184" s="14" t="str">
        <f t="shared" si="34"/>
        <v>Blank</v>
      </c>
      <c r="K184" s="155" t="s">
        <v>1131</v>
      </c>
      <c r="L184" s="14" t="str">
        <f t="shared" si="25"/>
        <v>Blank</v>
      </c>
      <c r="N184" s="14" t="str">
        <f t="shared" si="27"/>
        <v/>
      </c>
      <c r="O184" s="14" t="str">
        <f t="shared" si="28"/>
        <v/>
      </c>
      <c r="P184" s="14" t="str">
        <f t="shared" si="29"/>
        <v>Comment is required</v>
      </c>
      <c r="Q184" s="14" t="str">
        <f t="shared" si="30"/>
        <v>Blank</v>
      </c>
      <c r="R184" s="14" t="str">
        <f t="shared" si="31"/>
        <v>No Override</v>
      </c>
      <c r="S184" s="14">
        <f t="shared" si="32"/>
        <v>4</v>
      </c>
      <c r="T184" s="14" t="str">
        <f t="shared" si="33"/>
        <v/>
      </c>
    </row>
    <row r="185" spans="1:20" ht="34.200000000000003" x14ac:dyDescent="0.3">
      <c r="A185" s="224">
        <v>4</v>
      </c>
      <c r="C185" s="14">
        <f t="shared" si="26"/>
        <v>4</v>
      </c>
      <c r="D185" s="14" t="s">
        <v>1137</v>
      </c>
      <c r="E185" s="58" t="s">
        <v>775</v>
      </c>
      <c r="F185" s="82" t="s">
        <v>778</v>
      </c>
      <c r="G185" s="176" t="s">
        <v>779</v>
      </c>
      <c r="H185" s="170" t="str">
        <f>'11. Physical Security'!$J14</f>
        <v>Comment is required</v>
      </c>
      <c r="I185" s="14">
        <f>'11. Physical Security'!$I14</f>
        <v>0</v>
      </c>
      <c r="J185" s="14" t="str">
        <f t="shared" si="34"/>
        <v>Blank</v>
      </c>
      <c r="K185" s="155" t="s">
        <v>1131</v>
      </c>
      <c r="L185" s="14" t="str">
        <f t="shared" si="25"/>
        <v>Blank</v>
      </c>
      <c r="N185" s="14" t="str">
        <f t="shared" si="27"/>
        <v/>
      </c>
      <c r="O185" s="14" t="str">
        <f t="shared" si="28"/>
        <v/>
      </c>
      <c r="P185" s="14" t="str">
        <f t="shared" si="29"/>
        <v>Comment is required</v>
      </c>
      <c r="Q185" s="14" t="str">
        <f t="shared" si="30"/>
        <v>Blank</v>
      </c>
      <c r="R185" s="14" t="str">
        <f t="shared" si="31"/>
        <v>No Override</v>
      </c>
      <c r="S185" s="14">
        <f t="shared" si="32"/>
        <v>4</v>
      </c>
      <c r="T185" s="14" t="str">
        <f t="shared" si="33"/>
        <v/>
      </c>
    </row>
    <row r="186" spans="1:20" ht="22.8" x14ac:dyDescent="0.3">
      <c r="A186" s="224">
        <v>4</v>
      </c>
      <c r="C186" s="14">
        <f t="shared" si="26"/>
        <v>4</v>
      </c>
      <c r="D186" s="14" t="s">
        <v>1137</v>
      </c>
      <c r="E186" s="58" t="s">
        <v>780</v>
      </c>
      <c r="F186" s="82" t="s">
        <v>783</v>
      </c>
      <c r="G186" s="176" t="s">
        <v>784</v>
      </c>
      <c r="H186" s="170" t="str">
        <f>'11. Physical Security'!$J15</f>
        <v>Comment is required</v>
      </c>
      <c r="I186" s="14">
        <f>'11. Physical Security'!$I15</f>
        <v>0</v>
      </c>
      <c r="J186" s="14" t="str">
        <f t="shared" si="34"/>
        <v>Blank</v>
      </c>
      <c r="K186" s="155" t="s">
        <v>1131</v>
      </c>
      <c r="L186" s="14" t="str">
        <f t="shared" si="25"/>
        <v>Blank</v>
      </c>
      <c r="N186" s="14" t="str">
        <f t="shared" si="27"/>
        <v/>
      </c>
      <c r="O186" s="14" t="str">
        <f t="shared" si="28"/>
        <v/>
      </c>
      <c r="P186" s="14" t="str">
        <f t="shared" si="29"/>
        <v>Comment is required</v>
      </c>
      <c r="Q186" s="14" t="str">
        <f t="shared" si="30"/>
        <v>Blank</v>
      </c>
      <c r="R186" s="14" t="str">
        <f t="shared" si="31"/>
        <v>No Override</v>
      </c>
      <c r="S186" s="14">
        <f t="shared" si="32"/>
        <v>4</v>
      </c>
      <c r="T186" s="14" t="str">
        <f t="shared" si="33"/>
        <v/>
      </c>
    </row>
    <row r="187" spans="1:20" ht="22.8" x14ac:dyDescent="0.3">
      <c r="A187" s="224">
        <v>4</v>
      </c>
      <c r="C187" s="14">
        <f t="shared" si="26"/>
        <v>4</v>
      </c>
      <c r="D187" s="14" t="s">
        <v>1137</v>
      </c>
      <c r="E187" s="62" t="s">
        <v>785</v>
      </c>
      <c r="F187" s="86" t="s">
        <v>787</v>
      </c>
      <c r="G187" s="176" t="s">
        <v>788</v>
      </c>
      <c r="H187" s="170" t="str">
        <f>'11. Physical Security'!$J16</f>
        <v>Comment is required</v>
      </c>
      <c r="I187" s="14">
        <f>'11. Physical Security'!$I16</f>
        <v>0</v>
      </c>
      <c r="J187" s="14" t="str">
        <f t="shared" si="34"/>
        <v>Blank</v>
      </c>
      <c r="K187" s="155" t="s">
        <v>1131</v>
      </c>
      <c r="L187" s="14" t="str">
        <f t="shared" si="25"/>
        <v>Blank</v>
      </c>
      <c r="N187" s="14" t="str">
        <f t="shared" si="27"/>
        <v/>
      </c>
      <c r="O187" s="14" t="str">
        <f t="shared" si="28"/>
        <v/>
      </c>
      <c r="P187" s="14" t="str">
        <f t="shared" si="29"/>
        <v>Comment is required</v>
      </c>
      <c r="Q187" s="14" t="str">
        <f t="shared" si="30"/>
        <v>Blank</v>
      </c>
      <c r="R187" s="14" t="str">
        <f t="shared" si="31"/>
        <v>No Override</v>
      </c>
      <c r="S187" s="14">
        <f t="shared" si="32"/>
        <v>4</v>
      </c>
      <c r="T187" s="14" t="str">
        <f t="shared" si="33"/>
        <v/>
      </c>
    </row>
    <row r="188" spans="1:20" x14ac:dyDescent="0.3">
      <c r="A188" s="224">
        <v>4</v>
      </c>
      <c r="C188" s="14">
        <f t="shared" si="26"/>
        <v>4</v>
      </c>
      <c r="D188" s="14" t="s">
        <v>1137</v>
      </c>
      <c r="E188" s="62" t="s">
        <v>789</v>
      </c>
      <c r="F188" s="86" t="s">
        <v>787</v>
      </c>
      <c r="G188" s="176" t="s">
        <v>790</v>
      </c>
      <c r="H188" s="170" t="str">
        <f>'11. Physical Security'!$J17</f>
        <v>Comment is required</v>
      </c>
      <c r="I188" s="14">
        <f>'11. Physical Security'!$I17</f>
        <v>0</v>
      </c>
      <c r="J188" s="14" t="str">
        <f t="shared" si="34"/>
        <v>Blank</v>
      </c>
      <c r="K188" s="155" t="s">
        <v>1131</v>
      </c>
      <c r="L188" s="14" t="str">
        <f t="shared" si="25"/>
        <v>Blank</v>
      </c>
      <c r="N188" s="14" t="str">
        <f t="shared" si="27"/>
        <v/>
      </c>
      <c r="O188" s="14" t="str">
        <f t="shared" si="28"/>
        <v/>
      </c>
      <c r="P188" s="14" t="str">
        <f t="shared" si="29"/>
        <v>Comment is required</v>
      </c>
      <c r="Q188" s="14" t="str">
        <f t="shared" si="30"/>
        <v>Blank</v>
      </c>
      <c r="R188" s="14" t="str">
        <f t="shared" si="31"/>
        <v>No Override</v>
      </c>
      <c r="S188" s="14">
        <f t="shared" si="32"/>
        <v>4</v>
      </c>
      <c r="T188" s="14" t="str">
        <f t="shared" si="33"/>
        <v/>
      </c>
    </row>
    <row r="189" spans="1:20" x14ac:dyDescent="0.3">
      <c r="A189" s="224">
        <v>4</v>
      </c>
      <c r="C189" s="14">
        <f t="shared" si="26"/>
        <v>4</v>
      </c>
      <c r="D189" s="14" t="s">
        <v>1137</v>
      </c>
      <c r="E189" s="62" t="s">
        <v>791</v>
      </c>
      <c r="F189" s="86" t="s">
        <v>787</v>
      </c>
      <c r="G189" s="176" t="s">
        <v>792</v>
      </c>
      <c r="H189" s="170" t="str">
        <f>'11. Physical Security'!$J18</f>
        <v>Comment is required</v>
      </c>
      <c r="I189" s="14">
        <f>'11. Physical Security'!$I18</f>
        <v>0</v>
      </c>
      <c r="J189" s="14" t="str">
        <f t="shared" si="34"/>
        <v>Blank</v>
      </c>
      <c r="K189" s="155" t="s">
        <v>1131</v>
      </c>
      <c r="L189" s="14" t="str">
        <f t="shared" si="25"/>
        <v>Blank</v>
      </c>
      <c r="N189" s="14" t="str">
        <f t="shared" si="27"/>
        <v/>
      </c>
      <c r="O189" s="14" t="str">
        <f t="shared" si="28"/>
        <v/>
      </c>
      <c r="P189" s="14" t="str">
        <f t="shared" si="29"/>
        <v>Comment is required</v>
      </c>
      <c r="Q189" s="14" t="str">
        <f t="shared" si="30"/>
        <v>Blank</v>
      </c>
      <c r="R189" s="14" t="str">
        <f t="shared" si="31"/>
        <v>No Override</v>
      </c>
      <c r="S189" s="14">
        <f t="shared" si="32"/>
        <v>4</v>
      </c>
      <c r="T189" s="14" t="str">
        <f t="shared" si="33"/>
        <v/>
      </c>
    </row>
    <row r="190" spans="1:20" x14ac:dyDescent="0.3">
      <c r="A190" s="224">
        <v>4</v>
      </c>
      <c r="C190" s="14">
        <f t="shared" si="26"/>
        <v>4</v>
      </c>
      <c r="D190" s="14" t="s">
        <v>1137</v>
      </c>
      <c r="E190" s="62" t="s">
        <v>793</v>
      </c>
      <c r="F190" s="86" t="s">
        <v>794</v>
      </c>
      <c r="G190" s="176" t="s">
        <v>795</v>
      </c>
      <c r="H190" s="170" t="str">
        <f>'11. Physical Security'!$J19</f>
        <v>Comment is required</v>
      </c>
      <c r="I190" s="14">
        <f>'11. Physical Security'!$I19</f>
        <v>0</v>
      </c>
      <c r="J190" s="14" t="str">
        <f t="shared" si="34"/>
        <v>Blank</v>
      </c>
      <c r="K190" s="155" t="s">
        <v>1131</v>
      </c>
      <c r="L190" s="14" t="str">
        <f t="shared" si="25"/>
        <v>Blank</v>
      </c>
      <c r="N190" s="14" t="str">
        <f t="shared" si="27"/>
        <v/>
      </c>
      <c r="O190" s="14" t="str">
        <f t="shared" si="28"/>
        <v/>
      </c>
      <c r="P190" s="14" t="str">
        <f t="shared" si="29"/>
        <v>Comment is required</v>
      </c>
      <c r="Q190" s="14" t="str">
        <f t="shared" si="30"/>
        <v>Blank</v>
      </c>
      <c r="R190" s="14" t="str">
        <f t="shared" si="31"/>
        <v>No Override</v>
      </c>
      <c r="S190" s="14">
        <f t="shared" si="32"/>
        <v>4</v>
      </c>
      <c r="T190" s="14" t="str">
        <f t="shared" si="33"/>
        <v/>
      </c>
    </row>
    <row r="191" spans="1:20" x14ac:dyDescent="0.3">
      <c r="A191" s="224">
        <v>4</v>
      </c>
      <c r="C191" s="14">
        <f t="shared" si="26"/>
        <v>4</v>
      </c>
      <c r="D191" s="14" t="s">
        <v>1137</v>
      </c>
      <c r="E191" s="62" t="s">
        <v>796</v>
      </c>
      <c r="F191" s="86" t="s">
        <v>794</v>
      </c>
      <c r="G191" s="176" t="s">
        <v>797</v>
      </c>
      <c r="H191" s="170" t="str">
        <f>'11. Physical Security'!$J20</f>
        <v>Comment is required</v>
      </c>
      <c r="I191" s="14">
        <f>'11. Physical Security'!$I20</f>
        <v>0</v>
      </c>
      <c r="J191" s="14" t="str">
        <f t="shared" si="34"/>
        <v>Blank</v>
      </c>
      <c r="K191" s="155" t="s">
        <v>1131</v>
      </c>
      <c r="L191" s="14" t="str">
        <f t="shared" si="25"/>
        <v>Blank</v>
      </c>
      <c r="N191" s="14" t="str">
        <f t="shared" si="27"/>
        <v/>
      </c>
      <c r="O191" s="14" t="str">
        <f t="shared" si="28"/>
        <v/>
      </c>
      <c r="P191" s="14" t="str">
        <f t="shared" si="29"/>
        <v>Comment is required</v>
      </c>
      <c r="Q191" s="14" t="str">
        <f t="shared" si="30"/>
        <v>Blank</v>
      </c>
      <c r="R191" s="14" t="str">
        <f t="shared" si="31"/>
        <v>No Override</v>
      </c>
      <c r="S191" s="14">
        <f t="shared" si="32"/>
        <v>4</v>
      </c>
      <c r="T191" s="14" t="str">
        <f t="shared" si="33"/>
        <v/>
      </c>
    </row>
    <row r="192" spans="1:20" x14ac:dyDescent="0.3">
      <c r="A192" s="224">
        <v>4</v>
      </c>
      <c r="C192" s="14">
        <f t="shared" si="26"/>
        <v>4</v>
      </c>
      <c r="D192" s="14" t="s">
        <v>1137</v>
      </c>
      <c r="E192" s="58" t="s">
        <v>798</v>
      </c>
      <c r="F192" s="82" t="s">
        <v>800</v>
      </c>
      <c r="G192" s="176" t="s">
        <v>801</v>
      </c>
      <c r="H192" s="170" t="str">
        <f>'11. Physical Security'!$J21</f>
        <v>Comment is required</v>
      </c>
      <c r="I192" s="14">
        <f>'11. Physical Security'!$I21</f>
        <v>0</v>
      </c>
      <c r="J192" s="14" t="str">
        <f t="shared" si="34"/>
        <v>Blank</v>
      </c>
      <c r="K192" s="155" t="s">
        <v>1131</v>
      </c>
      <c r="L192" s="14" t="str">
        <f t="shared" si="25"/>
        <v>Blank</v>
      </c>
      <c r="N192" s="14" t="str">
        <f t="shared" si="27"/>
        <v/>
      </c>
      <c r="O192" s="14" t="str">
        <f t="shared" si="28"/>
        <v/>
      </c>
      <c r="P192" s="14" t="str">
        <f t="shared" si="29"/>
        <v>Comment is required</v>
      </c>
      <c r="Q192" s="14" t="str">
        <f t="shared" si="30"/>
        <v>Blank</v>
      </c>
      <c r="R192" s="14" t="str">
        <f t="shared" si="31"/>
        <v>No Override</v>
      </c>
      <c r="S192" s="14">
        <f t="shared" si="32"/>
        <v>4</v>
      </c>
      <c r="T192" s="14" t="str">
        <f t="shared" si="33"/>
        <v/>
      </c>
    </row>
    <row r="193" spans="1:20" ht="22.8" x14ac:dyDescent="0.3">
      <c r="A193" s="224">
        <v>4</v>
      </c>
      <c r="C193" s="14">
        <f t="shared" si="26"/>
        <v>4</v>
      </c>
      <c r="D193" s="14" t="s">
        <v>1137</v>
      </c>
      <c r="E193" s="58" t="s">
        <v>802</v>
      </c>
      <c r="F193" s="82" t="s">
        <v>804</v>
      </c>
      <c r="G193" s="170" t="s">
        <v>805</v>
      </c>
      <c r="H193" s="170" t="str">
        <f>'11. Physical Security'!$J22</f>
        <v>Comment is required</v>
      </c>
      <c r="I193" s="14">
        <f>'11. Physical Security'!$I22</f>
        <v>0</v>
      </c>
      <c r="J193" s="14" t="str">
        <f t="shared" si="34"/>
        <v>Blank</v>
      </c>
      <c r="K193" s="155" t="s">
        <v>1131</v>
      </c>
      <c r="L193" s="14" t="str">
        <f t="shared" si="25"/>
        <v>Blank</v>
      </c>
      <c r="N193" s="14" t="str">
        <f t="shared" si="27"/>
        <v/>
      </c>
      <c r="O193" s="14" t="str">
        <f t="shared" si="28"/>
        <v/>
      </c>
      <c r="P193" s="14" t="str">
        <f t="shared" si="29"/>
        <v>Comment is required</v>
      </c>
      <c r="Q193" s="14" t="str">
        <f t="shared" si="30"/>
        <v>Blank</v>
      </c>
      <c r="R193" s="14" t="str">
        <f t="shared" si="31"/>
        <v>No Override</v>
      </c>
      <c r="S193" s="14">
        <f t="shared" si="32"/>
        <v>4</v>
      </c>
      <c r="T193" s="14" t="str">
        <f t="shared" si="33"/>
        <v/>
      </c>
    </row>
    <row r="194" spans="1:20" ht="22.8" x14ac:dyDescent="0.3">
      <c r="A194" s="224">
        <v>4</v>
      </c>
      <c r="C194" s="14">
        <f t="shared" si="26"/>
        <v>4</v>
      </c>
      <c r="D194" s="14" t="s">
        <v>1137</v>
      </c>
      <c r="E194" s="58" t="s">
        <v>806</v>
      </c>
      <c r="F194" s="82" t="s">
        <v>808</v>
      </c>
      <c r="G194" s="176" t="s">
        <v>809</v>
      </c>
      <c r="H194" s="170" t="str">
        <f>'11. Physical Security'!$J23</f>
        <v>Comment is required</v>
      </c>
      <c r="I194" s="14">
        <f>'11. Physical Security'!$I23</f>
        <v>0</v>
      </c>
      <c r="J194" s="14" t="str">
        <f t="shared" si="34"/>
        <v>Blank</v>
      </c>
      <c r="K194" s="155" t="s">
        <v>1131</v>
      </c>
      <c r="L194" s="14" t="str">
        <f t="shared" si="25"/>
        <v>Blank</v>
      </c>
      <c r="N194" s="14" t="str">
        <f t="shared" si="27"/>
        <v/>
      </c>
      <c r="O194" s="14" t="str">
        <f t="shared" si="28"/>
        <v/>
      </c>
      <c r="P194" s="14" t="str">
        <f t="shared" si="29"/>
        <v>Comment is required</v>
      </c>
      <c r="Q194" s="14" t="str">
        <f t="shared" si="30"/>
        <v>Blank</v>
      </c>
      <c r="R194" s="14" t="str">
        <f t="shared" si="31"/>
        <v>No Override</v>
      </c>
      <c r="S194" s="14">
        <f t="shared" si="32"/>
        <v>4</v>
      </c>
      <c r="T194" s="14" t="str">
        <f t="shared" si="33"/>
        <v/>
      </c>
    </row>
    <row r="195" spans="1:20" ht="22.8" x14ac:dyDescent="0.3">
      <c r="A195" s="224">
        <v>4</v>
      </c>
      <c r="C195" s="14">
        <f t="shared" si="26"/>
        <v>4</v>
      </c>
      <c r="D195" s="14" t="s">
        <v>1137</v>
      </c>
      <c r="E195" s="58" t="s">
        <v>810</v>
      </c>
      <c r="F195" s="82" t="s">
        <v>812</v>
      </c>
      <c r="G195" s="176" t="s">
        <v>813</v>
      </c>
      <c r="H195" s="170" t="str">
        <f>'11. Physical Security'!$J24</f>
        <v>Comment is required</v>
      </c>
      <c r="I195" s="14">
        <f>'11. Physical Security'!$I24</f>
        <v>0</v>
      </c>
      <c r="J195" s="14" t="str">
        <f t="shared" si="34"/>
        <v>Blank</v>
      </c>
      <c r="K195" s="155" t="s">
        <v>1131</v>
      </c>
      <c r="L195" s="14" t="str">
        <f t="shared" si="25"/>
        <v>Blank</v>
      </c>
      <c r="N195" s="14" t="str">
        <f t="shared" si="27"/>
        <v/>
      </c>
      <c r="O195" s="14" t="str">
        <f t="shared" si="28"/>
        <v/>
      </c>
      <c r="P195" s="14" t="str">
        <f t="shared" si="29"/>
        <v>Comment is required</v>
      </c>
      <c r="Q195" s="14" t="str">
        <f t="shared" si="30"/>
        <v>Blank</v>
      </c>
      <c r="R195" s="14" t="str">
        <f t="shared" si="31"/>
        <v>No Override</v>
      </c>
      <c r="S195" s="14">
        <f t="shared" si="32"/>
        <v>4</v>
      </c>
      <c r="T195" s="14" t="str">
        <f t="shared" si="33"/>
        <v/>
      </c>
    </row>
    <row r="196" spans="1:20" x14ac:dyDescent="0.3">
      <c r="A196" s="224">
        <v>4</v>
      </c>
      <c r="C196" s="14">
        <f t="shared" si="26"/>
        <v>4</v>
      </c>
      <c r="D196" s="14" t="s">
        <v>1137</v>
      </c>
      <c r="E196" s="58" t="s">
        <v>814</v>
      </c>
      <c r="F196" s="82" t="s">
        <v>816</v>
      </c>
      <c r="G196" s="176" t="s">
        <v>817</v>
      </c>
      <c r="H196" s="170" t="str">
        <f>'11. Physical Security'!$J25</f>
        <v>Comment is required</v>
      </c>
      <c r="I196" s="14">
        <f>'11. Physical Security'!$I25</f>
        <v>0</v>
      </c>
      <c r="J196" s="14" t="str">
        <f t="shared" si="34"/>
        <v>Blank</v>
      </c>
      <c r="K196" s="155" t="s">
        <v>1131</v>
      </c>
      <c r="L196" s="14" t="str">
        <f t="shared" si="25"/>
        <v>Blank</v>
      </c>
      <c r="N196" s="14" t="str">
        <f t="shared" si="27"/>
        <v/>
      </c>
      <c r="O196" s="14" t="str">
        <f t="shared" si="28"/>
        <v/>
      </c>
      <c r="P196" s="14" t="str">
        <f t="shared" si="29"/>
        <v>Comment is required</v>
      </c>
      <c r="Q196" s="14" t="str">
        <f t="shared" si="30"/>
        <v>Blank</v>
      </c>
      <c r="R196" s="14" t="str">
        <f t="shared" si="31"/>
        <v>No Override</v>
      </c>
      <c r="S196" s="14">
        <f t="shared" si="32"/>
        <v>4</v>
      </c>
      <c r="T196" s="14" t="str">
        <f t="shared" si="33"/>
        <v/>
      </c>
    </row>
    <row r="197" spans="1:20" ht="22.8" x14ac:dyDescent="0.3">
      <c r="A197" s="224">
        <v>4</v>
      </c>
      <c r="C197" s="14">
        <f t="shared" si="26"/>
        <v>4</v>
      </c>
      <c r="D197" s="14" t="s">
        <v>1137</v>
      </c>
      <c r="E197" s="58" t="s">
        <v>818</v>
      </c>
      <c r="F197" s="82" t="s">
        <v>820</v>
      </c>
      <c r="G197" s="176" t="s">
        <v>821</v>
      </c>
      <c r="H197" s="170" t="str">
        <f>'11. Physical Security'!$J26</f>
        <v>Comment is required</v>
      </c>
      <c r="I197" s="14">
        <f>'11. Physical Security'!$I26</f>
        <v>0</v>
      </c>
      <c r="J197" s="14" t="str">
        <f t="shared" si="34"/>
        <v>Blank</v>
      </c>
      <c r="K197" s="155" t="s">
        <v>1131</v>
      </c>
      <c r="L197" s="14" t="str">
        <f t="shared" si="25"/>
        <v>Blank</v>
      </c>
      <c r="N197" s="14" t="str">
        <f t="shared" si="27"/>
        <v/>
      </c>
      <c r="O197" s="14" t="str">
        <f t="shared" si="28"/>
        <v/>
      </c>
      <c r="P197" s="14" t="str">
        <f t="shared" si="29"/>
        <v>Comment is required</v>
      </c>
      <c r="Q197" s="14" t="str">
        <f t="shared" si="30"/>
        <v>Blank</v>
      </c>
      <c r="R197" s="14" t="str">
        <f t="shared" si="31"/>
        <v>No Override</v>
      </c>
      <c r="S197" s="14">
        <f t="shared" si="32"/>
        <v>4</v>
      </c>
      <c r="T197" s="14" t="str">
        <f t="shared" si="33"/>
        <v/>
      </c>
    </row>
    <row r="198" spans="1:20" ht="22.8" x14ac:dyDescent="0.3">
      <c r="A198" s="224">
        <v>4</v>
      </c>
      <c r="C198" s="14">
        <f t="shared" si="26"/>
        <v>4</v>
      </c>
      <c r="D198" s="14" t="s">
        <v>1137</v>
      </c>
      <c r="E198" s="58" t="s">
        <v>822</v>
      </c>
      <c r="F198" s="82" t="s">
        <v>824</v>
      </c>
      <c r="G198" s="176" t="s">
        <v>825</v>
      </c>
      <c r="H198" s="170" t="str">
        <f>'11. Physical Security'!$J27</f>
        <v>Comment is required</v>
      </c>
      <c r="I198" s="14">
        <f>'11. Physical Security'!$I27</f>
        <v>0</v>
      </c>
      <c r="J198" s="14" t="str">
        <f t="shared" si="34"/>
        <v>Blank</v>
      </c>
      <c r="K198" s="155" t="s">
        <v>1131</v>
      </c>
      <c r="L198" s="14" t="str">
        <f t="shared" si="25"/>
        <v>Blank</v>
      </c>
      <c r="N198" s="14" t="str">
        <f t="shared" si="27"/>
        <v/>
      </c>
      <c r="O198" s="14" t="str">
        <f t="shared" si="28"/>
        <v/>
      </c>
      <c r="P198" s="14" t="str">
        <f t="shared" si="29"/>
        <v>Comment is required</v>
      </c>
      <c r="Q198" s="14" t="str">
        <f t="shared" si="30"/>
        <v>Blank</v>
      </c>
      <c r="R198" s="14" t="str">
        <f t="shared" si="31"/>
        <v>No Override</v>
      </c>
      <c r="S198" s="14">
        <f t="shared" si="32"/>
        <v>4</v>
      </c>
      <c r="T198" s="14" t="str">
        <f t="shared" si="33"/>
        <v/>
      </c>
    </row>
    <row r="199" spans="1:20" x14ac:dyDescent="0.3">
      <c r="A199" s="224">
        <v>4</v>
      </c>
      <c r="C199" s="14">
        <f t="shared" si="26"/>
        <v>4</v>
      </c>
      <c r="D199" s="14" t="s">
        <v>1137</v>
      </c>
      <c r="E199" s="58" t="s">
        <v>826</v>
      </c>
      <c r="F199" s="82" t="s">
        <v>829</v>
      </c>
      <c r="G199" s="176" t="s">
        <v>830</v>
      </c>
      <c r="H199" s="170" t="str">
        <f>'11. Physical Security'!$J28</f>
        <v>Comment is required</v>
      </c>
      <c r="I199" s="14">
        <f>'11. Physical Security'!$I28</f>
        <v>0</v>
      </c>
      <c r="J199" s="14" t="str">
        <f t="shared" si="34"/>
        <v>Blank</v>
      </c>
      <c r="K199" s="155" t="s">
        <v>1131</v>
      </c>
      <c r="L199" s="14" t="str">
        <f t="shared" si="25"/>
        <v>Blank</v>
      </c>
      <c r="N199" s="14" t="str">
        <f t="shared" si="27"/>
        <v/>
      </c>
      <c r="O199" s="14" t="str">
        <f t="shared" si="28"/>
        <v/>
      </c>
      <c r="P199" s="14" t="str">
        <f t="shared" si="29"/>
        <v>Comment is required</v>
      </c>
      <c r="Q199" s="14" t="str">
        <f t="shared" si="30"/>
        <v>Blank</v>
      </c>
      <c r="R199" s="14" t="str">
        <f t="shared" si="31"/>
        <v>No Override</v>
      </c>
      <c r="S199" s="14">
        <f t="shared" si="32"/>
        <v>4</v>
      </c>
      <c r="T199" s="14" t="str">
        <f t="shared" si="33"/>
        <v/>
      </c>
    </row>
    <row r="200" spans="1:20" ht="22.8" x14ac:dyDescent="0.3">
      <c r="A200" s="224">
        <v>4</v>
      </c>
      <c r="C200" s="14">
        <f t="shared" si="26"/>
        <v>4</v>
      </c>
      <c r="D200" s="14" t="s">
        <v>1137</v>
      </c>
      <c r="E200" s="58" t="s">
        <v>831</v>
      </c>
      <c r="F200" s="82" t="s">
        <v>834</v>
      </c>
      <c r="G200" s="176" t="s">
        <v>835</v>
      </c>
      <c r="H200" s="170" t="str">
        <f>'11. Physical Security'!$J29</f>
        <v>Comment is required</v>
      </c>
      <c r="I200" s="14">
        <f>'11. Physical Security'!$I29</f>
        <v>0</v>
      </c>
      <c r="J200" s="14" t="str">
        <f t="shared" si="34"/>
        <v>Blank</v>
      </c>
      <c r="K200" s="155" t="s">
        <v>1131</v>
      </c>
      <c r="L200" s="14" t="str">
        <f t="shared" si="25"/>
        <v>Blank</v>
      </c>
      <c r="N200" s="14" t="str">
        <f t="shared" si="27"/>
        <v/>
      </c>
      <c r="O200" s="14" t="str">
        <f t="shared" si="28"/>
        <v/>
      </c>
      <c r="P200" s="14" t="str">
        <f t="shared" si="29"/>
        <v>Comment is required</v>
      </c>
      <c r="Q200" s="14" t="str">
        <f t="shared" si="30"/>
        <v>Blank</v>
      </c>
      <c r="R200" s="14" t="str">
        <f t="shared" si="31"/>
        <v>No Override</v>
      </c>
      <c r="S200" s="14">
        <f t="shared" si="32"/>
        <v>4</v>
      </c>
      <c r="T200" s="14" t="str">
        <f t="shared" si="33"/>
        <v/>
      </c>
    </row>
    <row r="201" spans="1:20" x14ac:dyDescent="0.3">
      <c r="A201" s="224">
        <v>4</v>
      </c>
      <c r="C201" s="14">
        <f t="shared" si="26"/>
        <v>4</v>
      </c>
      <c r="D201" s="14" t="s">
        <v>836</v>
      </c>
      <c r="E201" s="58" t="s">
        <v>837</v>
      </c>
      <c r="F201" s="82" t="s">
        <v>840</v>
      </c>
      <c r="G201" s="170" t="s">
        <v>841</v>
      </c>
      <c r="H201" s="170" t="str">
        <f>'12. Planning'!$J3</f>
        <v>Comment is required</v>
      </c>
      <c r="I201" s="14">
        <f>'12. Planning'!$I3</f>
        <v>0</v>
      </c>
      <c r="J201" s="14" t="str">
        <f t="shared" si="34"/>
        <v>Blank</v>
      </c>
      <c r="K201" s="155" t="s">
        <v>1131</v>
      </c>
      <c r="L201" s="14" t="str">
        <f t="shared" si="25"/>
        <v>Blank</v>
      </c>
      <c r="N201" s="14" t="str">
        <f t="shared" si="27"/>
        <v/>
      </c>
      <c r="O201" s="14" t="str">
        <f t="shared" si="28"/>
        <v/>
      </c>
      <c r="P201" s="14" t="str">
        <f t="shared" si="29"/>
        <v>Comment is required</v>
      </c>
      <c r="Q201" s="14" t="str">
        <f t="shared" si="30"/>
        <v>Blank</v>
      </c>
      <c r="R201" s="14" t="str">
        <f t="shared" si="31"/>
        <v>No Override</v>
      </c>
      <c r="S201" s="14">
        <f t="shared" si="32"/>
        <v>4</v>
      </c>
      <c r="T201" s="14" t="str">
        <f t="shared" si="33"/>
        <v/>
      </c>
    </row>
    <row r="202" spans="1:20" ht="114" x14ac:dyDescent="0.3">
      <c r="A202" s="224">
        <v>4</v>
      </c>
      <c r="C202" s="14">
        <f t="shared" si="26"/>
        <v>4</v>
      </c>
      <c r="D202" s="14" t="s">
        <v>836</v>
      </c>
      <c r="E202" s="62" t="s">
        <v>842</v>
      </c>
      <c r="F202" s="86" t="s">
        <v>844</v>
      </c>
      <c r="G202" s="170" t="s">
        <v>845</v>
      </c>
      <c r="H202" s="170" t="str">
        <f>'12. Planning'!$J4</f>
        <v>Comment is required</v>
      </c>
      <c r="I202" s="14">
        <f>'12. Planning'!$I4</f>
        <v>0</v>
      </c>
      <c r="J202" s="14" t="str">
        <f t="shared" si="34"/>
        <v>Blank</v>
      </c>
      <c r="K202" s="155" t="s">
        <v>1131</v>
      </c>
      <c r="L202" s="14" t="str">
        <f t="shared" si="25"/>
        <v>Blank</v>
      </c>
      <c r="N202" s="14" t="str">
        <f t="shared" si="27"/>
        <v/>
      </c>
      <c r="O202" s="14" t="str">
        <f t="shared" si="28"/>
        <v/>
      </c>
      <c r="P202" s="14" t="str">
        <f t="shared" si="29"/>
        <v>Comment is required</v>
      </c>
      <c r="Q202" s="14" t="str">
        <f t="shared" si="30"/>
        <v>Blank</v>
      </c>
      <c r="R202" s="14" t="str">
        <f t="shared" si="31"/>
        <v>No Override</v>
      </c>
      <c r="S202" s="14">
        <f t="shared" si="32"/>
        <v>4</v>
      </c>
      <c r="T202" s="14" t="str">
        <f t="shared" si="33"/>
        <v/>
      </c>
    </row>
    <row r="203" spans="1:20" x14ac:dyDescent="0.3">
      <c r="A203" s="224">
        <v>4</v>
      </c>
      <c r="C203" s="14">
        <f t="shared" si="26"/>
        <v>4</v>
      </c>
      <c r="D203" s="14" t="s">
        <v>836</v>
      </c>
      <c r="E203" s="62" t="s">
        <v>846</v>
      </c>
      <c r="F203" s="86" t="s">
        <v>844</v>
      </c>
      <c r="G203" s="170" t="s">
        <v>847</v>
      </c>
      <c r="H203" s="170" t="str">
        <f>'12. Planning'!$J5</f>
        <v>Comment is required</v>
      </c>
      <c r="I203" s="14">
        <f>'12. Planning'!$I5</f>
        <v>0</v>
      </c>
      <c r="J203" s="14" t="str">
        <f t="shared" si="34"/>
        <v>Blank</v>
      </c>
      <c r="K203" s="155" t="s">
        <v>1131</v>
      </c>
      <c r="L203" s="14" t="str">
        <f t="shared" si="25"/>
        <v>Blank</v>
      </c>
      <c r="N203" s="14" t="str">
        <f t="shared" si="27"/>
        <v/>
      </c>
      <c r="O203" s="14" t="str">
        <f t="shared" si="28"/>
        <v/>
      </c>
      <c r="P203" s="14" t="str">
        <f t="shared" si="29"/>
        <v>Comment is required</v>
      </c>
      <c r="Q203" s="14" t="str">
        <f t="shared" si="30"/>
        <v>Blank</v>
      </c>
      <c r="R203" s="14" t="str">
        <f t="shared" si="31"/>
        <v>No Override</v>
      </c>
      <c r="S203" s="14">
        <f t="shared" si="32"/>
        <v>4</v>
      </c>
      <c r="T203" s="14" t="str">
        <f t="shared" si="33"/>
        <v/>
      </c>
    </row>
    <row r="204" spans="1:20" x14ac:dyDescent="0.3">
      <c r="A204" s="224">
        <v>4</v>
      </c>
      <c r="C204" s="14">
        <f t="shared" si="26"/>
        <v>4</v>
      </c>
      <c r="D204" s="14" t="s">
        <v>836</v>
      </c>
      <c r="E204" s="62" t="s">
        <v>848</v>
      </c>
      <c r="F204" s="86" t="s">
        <v>844</v>
      </c>
      <c r="G204" s="170" t="s">
        <v>849</v>
      </c>
      <c r="H204" s="170" t="str">
        <f>'12. Planning'!$J6</f>
        <v>Comment is required</v>
      </c>
      <c r="I204" s="14">
        <f>'12. Planning'!$I6</f>
        <v>0</v>
      </c>
      <c r="J204" s="14" t="str">
        <f t="shared" si="34"/>
        <v>Blank</v>
      </c>
      <c r="K204" s="155" t="s">
        <v>1131</v>
      </c>
      <c r="L204" s="14" t="str">
        <f t="shared" si="25"/>
        <v>Blank</v>
      </c>
      <c r="N204" s="14" t="str">
        <f t="shared" si="27"/>
        <v/>
      </c>
      <c r="O204" s="14" t="str">
        <f t="shared" si="28"/>
        <v/>
      </c>
      <c r="P204" s="14" t="str">
        <f t="shared" si="29"/>
        <v>Comment is required</v>
      </c>
      <c r="Q204" s="14" t="str">
        <f t="shared" si="30"/>
        <v>Blank</v>
      </c>
      <c r="R204" s="14" t="str">
        <f t="shared" si="31"/>
        <v>No Override</v>
      </c>
      <c r="S204" s="14">
        <f t="shared" si="32"/>
        <v>4</v>
      </c>
      <c r="T204" s="14" t="str">
        <f t="shared" si="33"/>
        <v/>
      </c>
    </row>
    <row r="205" spans="1:20" x14ac:dyDescent="0.3">
      <c r="A205" s="224">
        <v>4</v>
      </c>
      <c r="C205" s="14">
        <f t="shared" si="26"/>
        <v>4</v>
      </c>
      <c r="D205" s="14" t="s">
        <v>836</v>
      </c>
      <c r="E205" s="62" t="s">
        <v>850</v>
      </c>
      <c r="F205" s="86" t="s">
        <v>844</v>
      </c>
      <c r="G205" s="170" t="s">
        <v>851</v>
      </c>
      <c r="H205" s="170" t="str">
        <f>'12. Planning'!$J7</f>
        <v>Comment is required</v>
      </c>
      <c r="I205" s="14">
        <f>'12. Planning'!$I7</f>
        <v>0</v>
      </c>
      <c r="J205" s="14" t="str">
        <f t="shared" si="34"/>
        <v>Blank</v>
      </c>
      <c r="K205" s="155" t="s">
        <v>1131</v>
      </c>
      <c r="L205" s="14" t="str">
        <f t="shared" si="25"/>
        <v>Blank</v>
      </c>
      <c r="N205" s="14" t="str">
        <f t="shared" si="27"/>
        <v/>
      </c>
      <c r="O205" s="14" t="str">
        <f t="shared" si="28"/>
        <v/>
      </c>
      <c r="P205" s="14" t="str">
        <f t="shared" si="29"/>
        <v>Comment is required</v>
      </c>
      <c r="Q205" s="14" t="str">
        <f t="shared" si="30"/>
        <v>Blank</v>
      </c>
      <c r="R205" s="14" t="str">
        <f t="shared" si="31"/>
        <v>No Override</v>
      </c>
      <c r="S205" s="14">
        <f t="shared" si="32"/>
        <v>4</v>
      </c>
      <c r="T205" s="14" t="str">
        <f t="shared" si="33"/>
        <v/>
      </c>
    </row>
    <row r="206" spans="1:20" x14ac:dyDescent="0.3">
      <c r="A206" s="224">
        <v>4</v>
      </c>
      <c r="C206" s="14">
        <f t="shared" si="26"/>
        <v>4</v>
      </c>
      <c r="D206" s="14" t="s">
        <v>836</v>
      </c>
      <c r="E206" s="62" t="s">
        <v>852</v>
      </c>
      <c r="F206" s="86" t="s">
        <v>844</v>
      </c>
      <c r="G206" s="170" t="s">
        <v>853</v>
      </c>
      <c r="H206" s="170" t="str">
        <f>'12. Planning'!$J8</f>
        <v>Comment is required</v>
      </c>
      <c r="I206" s="14">
        <f>'12. Planning'!$I8</f>
        <v>0</v>
      </c>
      <c r="J206" s="14" t="str">
        <f t="shared" si="34"/>
        <v>Blank</v>
      </c>
      <c r="K206" s="155" t="s">
        <v>1131</v>
      </c>
      <c r="L206" s="14" t="str">
        <f t="shared" si="25"/>
        <v>Blank</v>
      </c>
      <c r="N206" s="14" t="str">
        <f t="shared" si="27"/>
        <v/>
      </c>
      <c r="O206" s="14" t="str">
        <f t="shared" si="28"/>
        <v/>
      </c>
      <c r="P206" s="14" t="str">
        <f t="shared" si="29"/>
        <v>Comment is required</v>
      </c>
      <c r="Q206" s="14" t="str">
        <f t="shared" si="30"/>
        <v>Blank</v>
      </c>
      <c r="R206" s="14" t="str">
        <f t="shared" si="31"/>
        <v>No Override</v>
      </c>
      <c r="S206" s="14">
        <f t="shared" si="32"/>
        <v>4</v>
      </c>
      <c r="T206" s="14" t="str">
        <f t="shared" si="33"/>
        <v/>
      </c>
    </row>
    <row r="207" spans="1:20" ht="22.8" x14ac:dyDescent="0.3">
      <c r="A207" s="224">
        <v>4</v>
      </c>
      <c r="C207" s="14">
        <f t="shared" si="26"/>
        <v>4</v>
      </c>
      <c r="D207" s="14" t="s">
        <v>836</v>
      </c>
      <c r="E207" s="58" t="s">
        <v>854</v>
      </c>
      <c r="F207" s="82" t="s">
        <v>856</v>
      </c>
      <c r="G207" s="170" t="s">
        <v>857</v>
      </c>
      <c r="H207" s="170" t="str">
        <f>'12. Planning'!$J9</f>
        <v>Comment is required</v>
      </c>
      <c r="I207" s="14">
        <f>'12. Planning'!$I9</f>
        <v>0</v>
      </c>
      <c r="J207" s="14" t="str">
        <f t="shared" si="34"/>
        <v>Blank</v>
      </c>
      <c r="K207" s="155" t="s">
        <v>1131</v>
      </c>
      <c r="L207" s="14" t="str">
        <f t="shared" si="25"/>
        <v>Blank</v>
      </c>
      <c r="N207" s="14" t="str">
        <f t="shared" si="27"/>
        <v/>
      </c>
      <c r="O207" s="14" t="str">
        <f t="shared" si="28"/>
        <v/>
      </c>
      <c r="P207" s="14" t="str">
        <f t="shared" si="29"/>
        <v>Comment is required</v>
      </c>
      <c r="Q207" s="14" t="str">
        <f t="shared" si="30"/>
        <v>Blank</v>
      </c>
      <c r="R207" s="14" t="str">
        <f t="shared" si="31"/>
        <v>No Override</v>
      </c>
      <c r="S207" s="14">
        <f t="shared" si="32"/>
        <v>4</v>
      </c>
      <c r="T207" s="14" t="str">
        <f t="shared" si="33"/>
        <v/>
      </c>
    </row>
    <row r="208" spans="1:20" ht="22.8" x14ac:dyDescent="0.3">
      <c r="A208" s="224">
        <v>4</v>
      </c>
      <c r="C208" s="14">
        <f t="shared" si="26"/>
        <v>4</v>
      </c>
      <c r="D208" s="14" t="s">
        <v>836</v>
      </c>
      <c r="E208" s="58" t="s">
        <v>858</v>
      </c>
      <c r="F208" s="82" t="s">
        <v>856</v>
      </c>
      <c r="G208" s="170" t="s">
        <v>859</v>
      </c>
      <c r="H208" s="170" t="str">
        <f>'12. Planning'!$J10</f>
        <v>Comment is required</v>
      </c>
      <c r="I208" s="14">
        <f>'12. Planning'!$I10</f>
        <v>0</v>
      </c>
      <c r="J208" s="14" t="str">
        <f t="shared" si="34"/>
        <v>Blank</v>
      </c>
      <c r="K208" s="155" t="s">
        <v>1131</v>
      </c>
      <c r="L208" s="14" t="str">
        <f t="shared" si="25"/>
        <v>Blank</v>
      </c>
      <c r="N208" s="14" t="str">
        <f t="shared" si="27"/>
        <v/>
      </c>
      <c r="O208" s="14" t="str">
        <f t="shared" si="28"/>
        <v/>
      </c>
      <c r="P208" s="14" t="str">
        <f t="shared" si="29"/>
        <v>Comment is required</v>
      </c>
      <c r="Q208" s="14" t="str">
        <f t="shared" si="30"/>
        <v>Blank</v>
      </c>
      <c r="R208" s="14" t="str">
        <f t="shared" si="31"/>
        <v>No Override</v>
      </c>
      <c r="S208" s="14">
        <f t="shared" si="32"/>
        <v>4</v>
      </c>
      <c r="T208" s="14" t="str">
        <f t="shared" si="33"/>
        <v/>
      </c>
    </row>
    <row r="209" spans="1:20" x14ac:dyDescent="0.3">
      <c r="A209" s="224">
        <v>4</v>
      </c>
      <c r="C209" s="14">
        <f t="shared" si="26"/>
        <v>4</v>
      </c>
      <c r="D209" s="14" t="s">
        <v>836</v>
      </c>
      <c r="E209" s="58" t="s">
        <v>860</v>
      </c>
      <c r="F209" s="82" t="s">
        <v>856</v>
      </c>
      <c r="G209" s="170" t="s">
        <v>861</v>
      </c>
      <c r="H209" s="170" t="str">
        <f>'12. Planning'!$J11</f>
        <v>Comment is required</v>
      </c>
      <c r="I209" s="14">
        <f>'12. Planning'!$I11</f>
        <v>0</v>
      </c>
      <c r="J209" s="14" t="str">
        <f t="shared" si="34"/>
        <v>Blank</v>
      </c>
      <c r="K209" s="155" t="s">
        <v>1131</v>
      </c>
      <c r="L209" s="14" t="str">
        <f t="shared" ref="L209:L273" si="35">IF($K209="No Override",$J209,$K209)</f>
        <v>Blank</v>
      </c>
      <c r="N209" s="14" t="str">
        <f t="shared" si="27"/>
        <v/>
      </c>
      <c r="O209" s="14" t="str">
        <f t="shared" si="28"/>
        <v/>
      </c>
      <c r="P209" s="14" t="str">
        <f t="shared" si="29"/>
        <v>Comment is required</v>
      </c>
      <c r="Q209" s="14" t="str">
        <f t="shared" si="30"/>
        <v>Blank</v>
      </c>
      <c r="R209" s="14" t="str">
        <f t="shared" si="31"/>
        <v>No Override</v>
      </c>
      <c r="S209" s="14">
        <f t="shared" si="32"/>
        <v>4</v>
      </c>
      <c r="T209" s="14" t="str">
        <f t="shared" si="33"/>
        <v/>
      </c>
    </row>
    <row r="210" spans="1:20" x14ac:dyDescent="0.3">
      <c r="A210" s="224">
        <v>4</v>
      </c>
      <c r="C210" s="14">
        <f t="shared" ref="C210:C274" si="36">IF($B210="",$A210,$B210)</f>
        <v>4</v>
      </c>
      <c r="D210" s="14" t="s">
        <v>836</v>
      </c>
      <c r="E210" s="58" t="s">
        <v>862</v>
      </c>
      <c r="F210" s="82" t="s">
        <v>856</v>
      </c>
      <c r="G210" s="170" t="s">
        <v>863</v>
      </c>
      <c r="H210" s="170" t="str">
        <f>'12. Planning'!$J12</f>
        <v>Comment is required</v>
      </c>
      <c r="I210" s="14">
        <f>'12. Planning'!$I12</f>
        <v>0</v>
      </c>
      <c r="J210" s="14" t="str">
        <f t="shared" si="34"/>
        <v>Blank</v>
      </c>
      <c r="K210" s="155" t="s">
        <v>1131</v>
      </c>
      <c r="L210" s="14" t="str">
        <f t="shared" si="35"/>
        <v>Blank</v>
      </c>
      <c r="N210" s="14" t="str">
        <f t="shared" ref="N210:N274" si="37">IF($J210=$L210,"","***")</f>
        <v/>
      </c>
      <c r="O210" s="14" t="str">
        <f t="shared" ref="O210:O274" si="38">IF(OR($I210="",$I210=0),"",$I210)</f>
        <v/>
      </c>
      <c r="P210" s="14" t="str">
        <f t="shared" ref="P210:P274" si="39">IF(OR($H210="",$H210=0),"",$H210)</f>
        <v>Comment is required</v>
      </c>
      <c r="Q210" s="14" t="str">
        <f t="shared" ref="Q210:Q274" si="40">$L210</f>
        <v>Blank</v>
      </c>
      <c r="R210" s="14" t="str">
        <f t="shared" ref="R210:R274" si="41">$K210</f>
        <v>No Override</v>
      </c>
      <c r="S210" s="14">
        <f t="shared" ref="S210:S274" si="42">$C210</f>
        <v>4</v>
      </c>
      <c r="T210" s="14" t="str">
        <f t="shared" ref="T210:T274" si="43">IF($L210=$Q210,"","***")</f>
        <v/>
      </c>
    </row>
    <row r="211" spans="1:20" x14ac:dyDescent="0.3">
      <c r="A211" s="224">
        <v>4</v>
      </c>
      <c r="C211" s="14">
        <f t="shared" si="36"/>
        <v>4</v>
      </c>
      <c r="D211" s="14" t="s">
        <v>836</v>
      </c>
      <c r="E211" s="58" t="s">
        <v>864</v>
      </c>
      <c r="F211" s="82" t="s">
        <v>866</v>
      </c>
      <c r="G211" s="176" t="s">
        <v>867</v>
      </c>
      <c r="H211" s="170" t="str">
        <f>'12. Planning'!$J13</f>
        <v>Comment is required</v>
      </c>
      <c r="I211" s="14">
        <f>'12. Planning'!$I13</f>
        <v>0</v>
      </c>
      <c r="J211" s="14" t="str">
        <f t="shared" ref="J211:J275" si="44">IF($I211="Yes","Adequate",IF($I211="No","Inadequate",IF($I211="Partial","Inadequate",IF($I211="N/A","Inadequate",IF(OR($I211="",$I211=0),"Blank","Error")))))</f>
        <v>Blank</v>
      </c>
      <c r="K211" s="155" t="s">
        <v>1131</v>
      </c>
      <c r="L211" s="14" t="str">
        <f t="shared" si="35"/>
        <v>Blank</v>
      </c>
      <c r="N211" s="14" t="str">
        <f t="shared" si="37"/>
        <v/>
      </c>
      <c r="O211" s="14" t="str">
        <f t="shared" si="38"/>
        <v/>
      </c>
      <c r="P211" s="14" t="str">
        <f t="shared" si="39"/>
        <v>Comment is required</v>
      </c>
      <c r="Q211" s="14" t="str">
        <f t="shared" si="40"/>
        <v>Blank</v>
      </c>
      <c r="R211" s="14" t="str">
        <f t="shared" si="41"/>
        <v>No Override</v>
      </c>
      <c r="S211" s="14">
        <f t="shared" si="42"/>
        <v>4</v>
      </c>
      <c r="T211" s="14" t="str">
        <f t="shared" si="43"/>
        <v/>
      </c>
    </row>
    <row r="212" spans="1:20" ht="22.8" x14ac:dyDescent="0.3">
      <c r="A212" s="224">
        <v>4</v>
      </c>
      <c r="C212" s="14">
        <f t="shared" si="36"/>
        <v>4</v>
      </c>
      <c r="D212" s="14" t="s">
        <v>836</v>
      </c>
      <c r="E212" s="58" t="s">
        <v>868</v>
      </c>
      <c r="F212" s="82" t="s">
        <v>866</v>
      </c>
      <c r="G212" s="176" t="s">
        <v>869</v>
      </c>
      <c r="H212" s="170" t="str">
        <f>'12. Planning'!$J14</f>
        <v>Comment is required</v>
      </c>
      <c r="I212" s="14">
        <f>'12. Planning'!$I14</f>
        <v>0</v>
      </c>
      <c r="J212" s="14" t="str">
        <f t="shared" si="44"/>
        <v>Blank</v>
      </c>
      <c r="K212" s="155" t="s">
        <v>1131</v>
      </c>
      <c r="L212" s="14" t="str">
        <f t="shared" si="35"/>
        <v>Blank</v>
      </c>
      <c r="N212" s="14" t="str">
        <f t="shared" si="37"/>
        <v/>
      </c>
      <c r="O212" s="14" t="str">
        <f t="shared" si="38"/>
        <v/>
      </c>
      <c r="P212" s="14" t="str">
        <f t="shared" si="39"/>
        <v>Comment is required</v>
      </c>
      <c r="Q212" s="14" t="str">
        <f t="shared" si="40"/>
        <v>Blank</v>
      </c>
      <c r="R212" s="14" t="str">
        <f t="shared" si="41"/>
        <v>No Override</v>
      </c>
      <c r="S212" s="14">
        <f t="shared" si="42"/>
        <v>4</v>
      </c>
      <c r="T212" s="14" t="str">
        <f t="shared" si="43"/>
        <v/>
      </c>
    </row>
    <row r="213" spans="1:20" x14ac:dyDescent="0.3">
      <c r="A213" s="224">
        <v>4</v>
      </c>
      <c r="C213" s="14">
        <f t="shared" si="36"/>
        <v>4</v>
      </c>
      <c r="D213" s="14" t="s">
        <v>836</v>
      </c>
      <c r="E213" s="58" t="s">
        <v>870</v>
      </c>
      <c r="F213" s="82" t="s">
        <v>866</v>
      </c>
      <c r="G213" s="176" t="s">
        <v>871</v>
      </c>
      <c r="H213" s="170" t="str">
        <f>'12. Planning'!$J15</f>
        <v>Comment is required</v>
      </c>
      <c r="I213" s="14">
        <f>'12. Planning'!$I15</f>
        <v>0</v>
      </c>
      <c r="J213" s="14" t="str">
        <f t="shared" si="44"/>
        <v>Blank</v>
      </c>
      <c r="K213" s="155" t="s">
        <v>1131</v>
      </c>
      <c r="L213" s="14" t="str">
        <f t="shared" si="35"/>
        <v>Blank</v>
      </c>
      <c r="N213" s="14" t="str">
        <f t="shared" si="37"/>
        <v/>
      </c>
      <c r="O213" s="14" t="str">
        <f t="shared" si="38"/>
        <v/>
      </c>
      <c r="P213" s="14" t="str">
        <f t="shared" si="39"/>
        <v>Comment is required</v>
      </c>
      <c r="Q213" s="14" t="str">
        <f t="shared" si="40"/>
        <v>Blank</v>
      </c>
      <c r="R213" s="14" t="str">
        <f t="shared" si="41"/>
        <v>No Override</v>
      </c>
      <c r="S213" s="14">
        <f t="shared" si="42"/>
        <v>4</v>
      </c>
      <c r="T213" s="14" t="str">
        <f t="shared" si="43"/>
        <v/>
      </c>
    </row>
    <row r="214" spans="1:20" x14ac:dyDescent="0.3">
      <c r="A214" s="224">
        <v>4</v>
      </c>
      <c r="C214" s="14">
        <f t="shared" si="36"/>
        <v>4</v>
      </c>
      <c r="D214" s="14" t="s">
        <v>872</v>
      </c>
      <c r="E214" s="58" t="s">
        <v>873</v>
      </c>
      <c r="F214" s="82" t="s">
        <v>876</v>
      </c>
      <c r="G214" s="170" t="s">
        <v>877</v>
      </c>
      <c r="H214" s="170" t="str">
        <f>'13. Personnel Security'!$H3</f>
        <v>Comment is required</v>
      </c>
      <c r="I214" s="14">
        <f>'13. Personnel Security'!$I3</f>
        <v>0</v>
      </c>
      <c r="J214" s="14" t="str">
        <f t="shared" si="44"/>
        <v>Blank</v>
      </c>
      <c r="K214" s="155" t="s">
        <v>1131</v>
      </c>
      <c r="L214" s="14" t="str">
        <f t="shared" si="35"/>
        <v>Blank</v>
      </c>
      <c r="N214" s="14" t="str">
        <f t="shared" si="37"/>
        <v/>
      </c>
      <c r="O214" s="14" t="str">
        <f t="shared" si="38"/>
        <v/>
      </c>
      <c r="P214" s="14" t="str">
        <f t="shared" si="39"/>
        <v>Comment is required</v>
      </c>
      <c r="Q214" s="14" t="str">
        <f t="shared" si="40"/>
        <v>Blank</v>
      </c>
      <c r="R214" s="14" t="str">
        <f t="shared" si="41"/>
        <v>No Override</v>
      </c>
      <c r="S214" s="14">
        <f t="shared" si="42"/>
        <v>4</v>
      </c>
      <c r="T214" s="14" t="str">
        <f t="shared" si="43"/>
        <v/>
      </c>
    </row>
    <row r="215" spans="1:20" x14ac:dyDescent="0.3">
      <c r="A215" s="224">
        <v>4</v>
      </c>
      <c r="C215" s="14">
        <f t="shared" si="36"/>
        <v>4</v>
      </c>
      <c r="D215" s="14" t="s">
        <v>872</v>
      </c>
      <c r="E215" s="58" t="s">
        <v>878</v>
      </c>
      <c r="F215" s="82" t="s">
        <v>880</v>
      </c>
      <c r="G215" s="176" t="s">
        <v>881</v>
      </c>
      <c r="H215" s="170" t="str">
        <f>'13. Personnel Security'!$H4</f>
        <v>Comment is required</v>
      </c>
      <c r="I215" s="14">
        <f>'13. Personnel Security'!$I4</f>
        <v>0</v>
      </c>
      <c r="J215" s="14" t="str">
        <f t="shared" si="44"/>
        <v>Blank</v>
      </c>
      <c r="K215" s="155" t="s">
        <v>1131</v>
      </c>
      <c r="L215" s="14" t="str">
        <f t="shared" si="35"/>
        <v>Blank</v>
      </c>
      <c r="N215" s="14" t="str">
        <f t="shared" si="37"/>
        <v/>
      </c>
      <c r="O215" s="14" t="str">
        <f t="shared" si="38"/>
        <v/>
      </c>
      <c r="P215" s="14" t="str">
        <f t="shared" si="39"/>
        <v>Comment is required</v>
      </c>
      <c r="Q215" s="14" t="str">
        <f t="shared" si="40"/>
        <v>Blank</v>
      </c>
      <c r="R215" s="14" t="str">
        <f t="shared" si="41"/>
        <v>No Override</v>
      </c>
      <c r="S215" s="14">
        <f t="shared" si="42"/>
        <v>4</v>
      </c>
      <c r="T215" s="14" t="str">
        <f t="shared" si="43"/>
        <v/>
      </c>
    </row>
    <row r="216" spans="1:20" x14ac:dyDescent="0.3">
      <c r="A216" s="224">
        <v>4</v>
      </c>
      <c r="C216" s="14">
        <f t="shared" si="36"/>
        <v>4</v>
      </c>
      <c r="D216" s="14" t="s">
        <v>872</v>
      </c>
      <c r="E216" s="58" t="s">
        <v>882</v>
      </c>
      <c r="F216" s="82" t="s">
        <v>880</v>
      </c>
      <c r="G216" s="176" t="s">
        <v>883</v>
      </c>
      <c r="H216" s="170" t="str">
        <f>'13. Personnel Security'!$H5</f>
        <v>Comment is required</v>
      </c>
      <c r="I216" s="14">
        <f>'13. Personnel Security'!$I5</f>
        <v>0</v>
      </c>
      <c r="J216" s="14" t="str">
        <f t="shared" si="44"/>
        <v>Blank</v>
      </c>
      <c r="K216" s="155" t="s">
        <v>1131</v>
      </c>
      <c r="L216" s="14" t="str">
        <f t="shared" si="35"/>
        <v>Blank</v>
      </c>
      <c r="N216" s="14" t="str">
        <f t="shared" si="37"/>
        <v/>
      </c>
      <c r="O216" s="14" t="str">
        <f t="shared" si="38"/>
        <v/>
      </c>
      <c r="P216" s="14" t="str">
        <f t="shared" si="39"/>
        <v>Comment is required</v>
      </c>
      <c r="Q216" s="14" t="str">
        <f t="shared" si="40"/>
        <v>Blank</v>
      </c>
      <c r="R216" s="14" t="str">
        <f t="shared" si="41"/>
        <v>No Override</v>
      </c>
      <c r="S216" s="14">
        <f t="shared" si="42"/>
        <v>4</v>
      </c>
      <c r="T216" s="14" t="str">
        <f t="shared" si="43"/>
        <v/>
      </c>
    </row>
    <row r="217" spans="1:20" x14ac:dyDescent="0.3">
      <c r="A217" s="224">
        <v>4</v>
      </c>
      <c r="C217" s="14">
        <f t="shared" si="36"/>
        <v>4</v>
      </c>
      <c r="D217" s="14" t="s">
        <v>872</v>
      </c>
      <c r="E217" s="58" t="s">
        <v>884</v>
      </c>
      <c r="F217" s="82" t="s">
        <v>880</v>
      </c>
      <c r="G217" s="176" t="s">
        <v>885</v>
      </c>
      <c r="H217" s="170" t="str">
        <f>'13. Personnel Security'!$H6</f>
        <v>Comment is required</v>
      </c>
      <c r="I217" s="14">
        <f>'13. Personnel Security'!$I6</f>
        <v>0</v>
      </c>
      <c r="J217" s="14" t="str">
        <f t="shared" si="44"/>
        <v>Blank</v>
      </c>
      <c r="K217" s="155" t="s">
        <v>1131</v>
      </c>
      <c r="L217" s="14" t="str">
        <f t="shared" si="35"/>
        <v>Blank</v>
      </c>
      <c r="N217" s="14" t="str">
        <f t="shared" si="37"/>
        <v/>
      </c>
      <c r="O217" s="14" t="str">
        <f t="shared" si="38"/>
        <v/>
      </c>
      <c r="P217" s="14" t="str">
        <f t="shared" si="39"/>
        <v>Comment is required</v>
      </c>
      <c r="Q217" s="14" t="str">
        <f t="shared" si="40"/>
        <v>Blank</v>
      </c>
      <c r="R217" s="14" t="str">
        <f t="shared" si="41"/>
        <v>No Override</v>
      </c>
      <c r="S217" s="14">
        <f t="shared" si="42"/>
        <v>4</v>
      </c>
      <c r="T217" s="14" t="str">
        <f t="shared" si="43"/>
        <v/>
      </c>
    </row>
    <row r="218" spans="1:20" x14ac:dyDescent="0.3">
      <c r="A218" s="224">
        <v>4</v>
      </c>
      <c r="C218" s="14">
        <f t="shared" si="36"/>
        <v>4</v>
      </c>
      <c r="D218" s="14" t="s">
        <v>872</v>
      </c>
      <c r="E218" s="58" t="s">
        <v>886</v>
      </c>
      <c r="F218" s="82" t="s">
        <v>887</v>
      </c>
      <c r="G218" s="176" t="s">
        <v>888</v>
      </c>
      <c r="H218" s="170" t="str">
        <f>'13. Personnel Security'!$H7</f>
        <v>Comment is required</v>
      </c>
      <c r="I218" s="14">
        <f>'13. Personnel Security'!$I7</f>
        <v>0</v>
      </c>
      <c r="J218" s="14" t="str">
        <f t="shared" si="44"/>
        <v>Blank</v>
      </c>
      <c r="K218" s="155" t="s">
        <v>1131</v>
      </c>
      <c r="L218" s="14" t="str">
        <f t="shared" si="35"/>
        <v>Blank</v>
      </c>
      <c r="N218" s="14" t="str">
        <f t="shared" si="37"/>
        <v/>
      </c>
      <c r="O218" s="14" t="str">
        <f t="shared" si="38"/>
        <v/>
      </c>
      <c r="P218" s="14" t="str">
        <f t="shared" si="39"/>
        <v>Comment is required</v>
      </c>
      <c r="Q218" s="14" t="str">
        <f t="shared" si="40"/>
        <v>Blank</v>
      </c>
      <c r="R218" s="14" t="str">
        <f t="shared" si="41"/>
        <v>No Override</v>
      </c>
      <c r="S218" s="14">
        <f t="shared" si="42"/>
        <v>4</v>
      </c>
      <c r="T218" s="14" t="str">
        <f t="shared" si="43"/>
        <v/>
      </c>
    </row>
    <row r="219" spans="1:20" x14ac:dyDescent="0.3">
      <c r="A219" s="224">
        <v>4</v>
      </c>
      <c r="C219" s="14">
        <f t="shared" si="36"/>
        <v>4</v>
      </c>
      <c r="D219" s="14" t="s">
        <v>872</v>
      </c>
      <c r="E219" s="58" t="s">
        <v>889</v>
      </c>
      <c r="F219" s="82" t="s">
        <v>887</v>
      </c>
      <c r="G219" s="176" t="s">
        <v>890</v>
      </c>
      <c r="H219" s="170" t="str">
        <f>'13. Personnel Security'!$H8</f>
        <v>Comment is required</v>
      </c>
      <c r="I219" s="14">
        <f>'13. Personnel Security'!$I8</f>
        <v>0</v>
      </c>
      <c r="J219" s="14" t="str">
        <f t="shared" si="44"/>
        <v>Blank</v>
      </c>
      <c r="K219" s="155" t="s">
        <v>1131</v>
      </c>
      <c r="L219" s="14" t="str">
        <f t="shared" si="35"/>
        <v>Blank</v>
      </c>
      <c r="N219" s="14" t="str">
        <f t="shared" si="37"/>
        <v/>
      </c>
      <c r="O219" s="14" t="str">
        <f t="shared" si="38"/>
        <v/>
      </c>
      <c r="P219" s="14" t="str">
        <f t="shared" si="39"/>
        <v>Comment is required</v>
      </c>
      <c r="Q219" s="14" t="str">
        <f t="shared" si="40"/>
        <v>Blank</v>
      </c>
      <c r="R219" s="14" t="str">
        <f t="shared" si="41"/>
        <v>No Override</v>
      </c>
      <c r="S219" s="14">
        <f t="shared" si="42"/>
        <v>4</v>
      </c>
      <c r="T219" s="14" t="str">
        <f t="shared" si="43"/>
        <v/>
      </c>
    </row>
    <row r="220" spans="1:20" ht="22.8" x14ac:dyDescent="0.3">
      <c r="A220" s="224">
        <v>4</v>
      </c>
      <c r="C220" s="14">
        <f t="shared" si="36"/>
        <v>4</v>
      </c>
      <c r="D220" s="14" t="s">
        <v>872</v>
      </c>
      <c r="E220" s="58" t="s">
        <v>891</v>
      </c>
      <c r="F220" s="82" t="s">
        <v>894</v>
      </c>
      <c r="G220" s="176" t="s">
        <v>895</v>
      </c>
      <c r="H220" s="170" t="str">
        <f>'13. Personnel Security'!$H9</f>
        <v>Comment is required</v>
      </c>
      <c r="I220" s="14">
        <f>'13. Personnel Security'!$I9</f>
        <v>0</v>
      </c>
      <c r="J220" s="14" t="str">
        <f t="shared" si="44"/>
        <v>Blank</v>
      </c>
      <c r="K220" s="155" t="s">
        <v>1131</v>
      </c>
      <c r="L220" s="14" t="str">
        <f t="shared" si="35"/>
        <v>Blank</v>
      </c>
      <c r="N220" s="14" t="str">
        <f t="shared" si="37"/>
        <v/>
      </c>
      <c r="O220" s="14" t="str">
        <f t="shared" si="38"/>
        <v/>
      </c>
      <c r="P220" s="14" t="str">
        <f t="shared" si="39"/>
        <v>Comment is required</v>
      </c>
      <c r="Q220" s="14" t="str">
        <f t="shared" si="40"/>
        <v>Blank</v>
      </c>
      <c r="R220" s="14" t="str">
        <f t="shared" si="41"/>
        <v>No Override</v>
      </c>
      <c r="S220" s="14">
        <f t="shared" si="42"/>
        <v>4</v>
      </c>
      <c r="T220" s="14" t="str">
        <f t="shared" si="43"/>
        <v/>
      </c>
    </row>
    <row r="221" spans="1:20" x14ac:dyDescent="0.3">
      <c r="A221" s="224">
        <v>4</v>
      </c>
      <c r="C221" s="14">
        <f t="shared" si="36"/>
        <v>4</v>
      </c>
      <c r="D221" s="14" t="s">
        <v>872</v>
      </c>
      <c r="E221" s="58" t="s">
        <v>896</v>
      </c>
      <c r="F221" s="82" t="s">
        <v>898</v>
      </c>
      <c r="G221" s="176" t="s">
        <v>899</v>
      </c>
      <c r="H221" s="170" t="str">
        <f>'13. Personnel Security'!$H10</f>
        <v>Comment is required</v>
      </c>
      <c r="I221" s="14">
        <f>'13. Personnel Security'!$I10</f>
        <v>0</v>
      </c>
      <c r="J221" s="14" t="str">
        <f t="shared" si="44"/>
        <v>Blank</v>
      </c>
      <c r="K221" s="155" t="s">
        <v>1131</v>
      </c>
      <c r="L221" s="14" t="str">
        <f t="shared" si="35"/>
        <v>Blank</v>
      </c>
      <c r="N221" s="14" t="str">
        <f t="shared" si="37"/>
        <v/>
      </c>
      <c r="O221" s="14" t="str">
        <f t="shared" si="38"/>
        <v/>
      </c>
      <c r="P221" s="14" t="str">
        <f t="shared" si="39"/>
        <v>Comment is required</v>
      </c>
      <c r="Q221" s="14" t="str">
        <f t="shared" si="40"/>
        <v>Blank</v>
      </c>
      <c r="R221" s="14" t="str">
        <f t="shared" si="41"/>
        <v>No Override</v>
      </c>
      <c r="S221" s="14">
        <f t="shared" si="42"/>
        <v>4</v>
      </c>
      <c r="T221" s="14" t="str">
        <f t="shared" si="43"/>
        <v/>
      </c>
    </row>
    <row r="222" spans="1:20" ht="22.8" x14ac:dyDescent="0.3">
      <c r="A222" s="224">
        <v>4</v>
      </c>
      <c r="C222" s="14">
        <f t="shared" si="36"/>
        <v>4</v>
      </c>
      <c r="D222" s="14" t="s">
        <v>872</v>
      </c>
      <c r="E222" s="58" t="s">
        <v>900</v>
      </c>
      <c r="F222" s="82" t="s">
        <v>903</v>
      </c>
      <c r="G222" s="176" t="s">
        <v>904</v>
      </c>
      <c r="H222" s="170" t="str">
        <f>'13. Personnel Security'!$H11</f>
        <v>Comment is required</v>
      </c>
      <c r="I222" s="14">
        <f>'13. Personnel Security'!$I11</f>
        <v>0</v>
      </c>
      <c r="J222" s="14" t="str">
        <f t="shared" si="44"/>
        <v>Blank</v>
      </c>
      <c r="K222" s="155" t="s">
        <v>1131</v>
      </c>
      <c r="L222" s="14" t="str">
        <f t="shared" si="35"/>
        <v>Blank</v>
      </c>
      <c r="N222" s="14" t="str">
        <f t="shared" si="37"/>
        <v/>
      </c>
      <c r="O222" s="14" t="str">
        <f t="shared" si="38"/>
        <v/>
      </c>
      <c r="P222" s="14" t="str">
        <f t="shared" si="39"/>
        <v>Comment is required</v>
      </c>
      <c r="Q222" s="14" t="str">
        <f t="shared" si="40"/>
        <v>Blank</v>
      </c>
      <c r="R222" s="14" t="str">
        <f t="shared" si="41"/>
        <v>No Override</v>
      </c>
      <c r="S222" s="14">
        <f t="shared" si="42"/>
        <v>4</v>
      </c>
      <c r="T222" s="14" t="str">
        <f t="shared" si="43"/>
        <v/>
      </c>
    </row>
    <row r="223" spans="1:20" ht="22.8" x14ac:dyDescent="0.3">
      <c r="A223" s="224">
        <v>4</v>
      </c>
      <c r="C223" s="14">
        <f t="shared" si="36"/>
        <v>4</v>
      </c>
      <c r="D223" s="14" t="s">
        <v>872</v>
      </c>
      <c r="E223" s="58" t="s">
        <v>905</v>
      </c>
      <c r="F223" s="82" t="s">
        <v>908</v>
      </c>
      <c r="G223" s="176" t="s">
        <v>909</v>
      </c>
      <c r="H223" s="170" t="str">
        <f>'13. Personnel Security'!$H12</f>
        <v>Comment is required</v>
      </c>
      <c r="I223" s="14">
        <f>'13. Personnel Security'!$I12</f>
        <v>0</v>
      </c>
      <c r="J223" s="49" t="str">
        <f>IF($I223="Yes","Adequate",IF($I223="No","Inadequate",IF($I223="Partial","Inadequate",IF(AND($I223="N/A",'Vendor Profile Questionnaire'!$B$29="No"),"Adequate",IF(AND($I223="N/A",NOT('Vendor Profile Questionnaire'!$B$29="No")),"Inadequate",IF(OR($I223="",$I223=0),"Blank","Error"))))))</f>
        <v>Blank</v>
      </c>
      <c r="K223" s="155" t="s">
        <v>1131</v>
      </c>
      <c r="L223" s="14" t="str">
        <f t="shared" si="35"/>
        <v>Blank</v>
      </c>
      <c r="N223" s="14" t="str">
        <f t="shared" si="37"/>
        <v/>
      </c>
      <c r="O223" s="14" t="str">
        <f t="shared" si="38"/>
        <v/>
      </c>
      <c r="P223" s="14" t="str">
        <f t="shared" si="39"/>
        <v>Comment is required</v>
      </c>
      <c r="Q223" s="14" t="str">
        <f t="shared" si="40"/>
        <v>Blank</v>
      </c>
      <c r="R223" s="14" t="str">
        <f t="shared" si="41"/>
        <v>No Override</v>
      </c>
      <c r="S223" s="14">
        <f t="shared" si="42"/>
        <v>4</v>
      </c>
      <c r="T223" s="14" t="str">
        <f t="shared" si="43"/>
        <v/>
      </c>
    </row>
    <row r="224" spans="1:20" x14ac:dyDescent="0.3">
      <c r="A224" s="224">
        <v>4</v>
      </c>
      <c r="C224" s="14">
        <f t="shared" si="36"/>
        <v>4</v>
      </c>
      <c r="D224" s="14" t="s">
        <v>872</v>
      </c>
      <c r="E224" s="58" t="s">
        <v>910</v>
      </c>
      <c r="F224" s="82" t="s">
        <v>913</v>
      </c>
      <c r="G224" s="176" t="s">
        <v>914</v>
      </c>
      <c r="H224" s="170" t="str">
        <f>'13. Personnel Security'!$H13</f>
        <v>Comment is required</v>
      </c>
      <c r="I224" s="14">
        <f>'13. Personnel Security'!$I13</f>
        <v>0</v>
      </c>
      <c r="J224" s="14" t="str">
        <f t="shared" si="44"/>
        <v>Blank</v>
      </c>
      <c r="K224" s="155" t="s">
        <v>1131</v>
      </c>
      <c r="L224" s="14" t="str">
        <f t="shared" si="35"/>
        <v>Blank</v>
      </c>
      <c r="N224" s="14" t="str">
        <f t="shared" si="37"/>
        <v/>
      </c>
      <c r="O224" s="14" t="str">
        <f t="shared" si="38"/>
        <v/>
      </c>
      <c r="P224" s="14" t="str">
        <f t="shared" si="39"/>
        <v>Comment is required</v>
      </c>
      <c r="Q224" s="14" t="str">
        <f t="shared" si="40"/>
        <v>Blank</v>
      </c>
      <c r="R224" s="14" t="str">
        <f t="shared" si="41"/>
        <v>No Override</v>
      </c>
      <c r="S224" s="14">
        <f t="shared" si="42"/>
        <v>4</v>
      </c>
      <c r="T224" s="14" t="str">
        <f t="shared" si="43"/>
        <v/>
      </c>
    </row>
    <row r="225" spans="1:20" x14ac:dyDescent="0.3">
      <c r="A225" s="224">
        <v>4</v>
      </c>
      <c r="C225" s="14">
        <f t="shared" si="36"/>
        <v>4</v>
      </c>
      <c r="D225" s="14" t="s">
        <v>1138</v>
      </c>
      <c r="E225" s="58" t="s">
        <v>916</v>
      </c>
      <c r="F225" s="82" t="s">
        <v>919</v>
      </c>
      <c r="G225" s="170" t="s">
        <v>920</v>
      </c>
      <c r="H225" s="170" t="str">
        <f>'14. Risk Assessments'!$J3</f>
        <v>Comment is required</v>
      </c>
      <c r="I225" s="14">
        <f>'14. Risk Assessments'!$I3</f>
        <v>0</v>
      </c>
      <c r="J225" s="14" t="str">
        <f t="shared" si="44"/>
        <v>Blank</v>
      </c>
      <c r="K225" s="155" t="s">
        <v>1131</v>
      </c>
      <c r="L225" s="14" t="str">
        <f t="shared" si="35"/>
        <v>Blank</v>
      </c>
      <c r="N225" s="14" t="str">
        <f t="shared" si="37"/>
        <v/>
      </c>
      <c r="O225" s="14" t="str">
        <f t="shared" si="38"/>
        <v/>
      </c>
      <c r="P225" s="14" t="str">
        <f t="shared" si="39"/>
        <v>Comment is required</v>
      </c>
      <c r="Q225" s="14" t="str">
        <f t="shared" si="40"/>
        <v>Blank</v>
      </c>
      <c r="R225" s="14" t="str">
        <f t="shared" si="41"/>
        <v>No Override</v>
      </c>
      <c r="S225" s="14">
        <f t="shared" si="42"/>
        <v>4</v>
      </c>
      <c r="T225" s="14" t="str">
        <f t="shared" si="43"/>
        <v/>
      </c>
    </row>
    <row r="226" spans="1:20" ht="22.8" x14ac:dyDescent="0.3">
      <c r="A226" s="224">
        <v>3</v>
      </c>
      <c r="C226" s="14">
        <f t="shared" si="36"/>
        <v>3</v>
      </c>
      <c r="D226" s="14" t="s">
        <v>1138</v>
      </c>
      <c r="E226" s="58" t="s">
        <v>921</v>
      </c>
      <c r="F226" s="82" t="s">
        <v>924</v>
      </c>
      <c r="G226" s="176" t="s">
        <v>925</v>
      </c>
      <c r="H226" s="170" t="str">
        <f>'14. Risk Assessments'!$J4</f>
        <v>Comment is required</v>
      </c>
      <c r="I226" s="14">
        <f>'14. Risk Assessments'!$I4</f>
        <v>0</v>
      </c>
      <c r="J226" s="14" t="str">
        <f t="shared" si="44"/>
        <v>Blank</v>
      </c>
      <c r="K226" s="155" t="s">
        <v>1131</v>
      </c>
      <c r="L226" s="14" t="str">
        <f t="shared" si="35"/>
        <v>Blank</v>
      </c>
      <c r="N226" s="14" t="str">
        <f t="shared" si="37"/>
        <v/>
      </c>
      <c r="O226" s="14" t="str">
        <f t="shared" si="38"/>
        <v/>
      </c>
      <c r="P226" s="14" t="str">
        <f t="shared" si="39"/>
        <v>Comment is required</v>
      </c>
      <c r="Q226" s="14" t="str">
        <f t="shared" si="40"/>
        <v>Blank</v>
      </c>
      <c r="R226" s="14" t="str">
        <f t="shared" si="41"/>
        <v>No Override</v>
      </c>
      <c r="S226" s="14">
        <f t="shared" si="42"/>
        <v>3</v>
      </c>
      <c r="T226" s="14" t="str">
        <f t="shared" si="43"/>
        <v/>
      </c>
    </row>
    <row r="227" spans="1:20" ht="34.200000000000003" x14ac:dyDescent="0.3">
      <c r="A227" s="224">
        <v>4</v>
      </c>
      <c r="C227" s="14">
        <f t="shared" si="36"/>
        <v>4</v>
      </c>
      <c r="D227" s="14" t="s">
        <v>1138</v>
      </c>
      <c r="E227" s="58" t="s">
        <v>926</v>
      </c>
      <c r="F227" s="82" t="s">
        <v>929</v>
      </c>
      <c r="G227" s="176" t="s">
        <v>930</v>
      </c>
      <c r="H227" s="170" t="str">
        <f>'14. Risk Assessments'!$J5</f>
        <v>Comment is required</v>
      </c>
      <c r="I227" s="14">
        <f>'14. Risk Assessments'!$I5</f>
        <v>0</v>
      </c>
      <c r="J227" s="14" t="str">
        <f t="shared" si="44"/>
        <v>Blank</v>
      </c>
      <c r="K227" s="155" t="s">
        <v>1131</v>
      </c>
      <c r="L227" s="14" t="str">
        <f t="shared" si="35"/>
        <v>Blank</v>
      </c>
      <c r="N227" s="14" t="str">
        <f t="shared" si="37"/>
        <v/>
      </c>
      <c r="O227" s="14" t="str">
        <f t="shared" si="38"/>
        <v/>
      </c>
      <c r="P227" s="14" t="str">
        <f t="shared" si="39"/>
        <v>Comment is required</v>
      </c>
      <c r="Q227" s="14" t="str">
        <f t="shared" si="40"/>
        <v>Blank</v>
      </c>
      <c r="R227" s="14" t="str">
        <f t="shared" si="41"/>
        <v>No Override</v>
      </c>
      <c r="S227" s="14">
        <f t="shared" si="42"/>
        <v>4</v>
      </c>
      <c r="T227" s="14" t="str">
        <f t="shared" si="43"/>
        <v/>
      </c>
    </row>
    <row r="228" spans="1:20" ht="34.200000000000003" x14ac:dyDescent="0.3">
      <c r="A228" s="224">
        <v>1</v>
      </c>
      <c r="C228" s="14">
        <f t="shared" si="36"/>
        <v>1</v>
      </c>
      <c r="D228" s="14" t="s">
        <v>1138</v>
      </c>
      <c r="E228" s="58" t="s">
        <v>931</v>
      </c>
      <c r="F228" s="82" t="s">
        <v>932</v>
      </c>
      <c r="G228" s="176" t="s">
        <v>1304</v>
      </c>
      <c r="H228" s="170" t="str">
        <f>'14. Risk Assessments'!$J6</f>
        <v>Comment is required</v>
      </c>
      <c r="I228" s="14">
        <f>'14. Risk Assessments'!$I6</f>
        <v>0</v>
      </c>
      <c r="J228" s="14" t="str">
        <f t="shared" si="44"/>
        <v>Blank</v>
      </c>
      <c r="K228" s="155" t="s">
        <v>1131</v>
      </c>
      <c r="L228" s="14" t="str">
        <f t="shared" si="35"/>
        <v>Blank</v>
      </c>
      <c r="N228" s="14" t="str">
        <f t="shared" si="37"/>
        <v/>
      </c>
      <c r="O228" s="14" t="str">
        <f t="shared" si="38"/>
        <v/>
      </c>
      <c r="P228" s="14" t="str">
        <f t="shared" si="39"/>
        <v>Comment is required</v>
      </c>
      <c r="Q228" s="14" t="str">
        <f t="shared" si="40"/>
        <v>Blank</v>
      </c>
      <c r="R228" s="14" t="str">
        <f t="shared" si="41"/>
        <v>No Override</v>
      </c>
      <c r="S228" s="14">
        <f t="shared" si="42"/>
        <v>1</v>
      </c>
      <c r="T228" s="14" t="str">
        <f t="shared" si="43"/>
        <v/>
      </c>
    </row>
    <row r="229" spans="1:20" x14ac:dyDescent="0.3">
      <c r="A229" s="224">
        <v>4</v>
      </c>
      <c r="C229" s="14">
        <f t="shared" si="36"/>
        <v>4</v>
      </c>
      <c r="D229" s="14" t="s">
        <v>1139</v>
      </c>
      <c r="E229" s="58" t="s">
        <v>934</v>
      </c>
      <c r="F229" s="82" t="s">
        <v>936</v>
      </c>
      <c r="G229" s="170" t="s">
        <v>937</v>
      </c>
      <c r="H229" s="170" t="str">
        <f>'15. System Acquisition'!$J3</f>
        <v>Comment is required</v>
      </c>
      <c r="I229" s="14">
        <f>'15. System Acquisition'!$I3</f>
        <v>0</v>
      </c>
      <c r="J229" s="14" t="str">
        <f t="shared" si="44"/>
        <v>Blank</v>
      </c>
      <c r="K229" s="155" t="s">
        <v>1131</v>
      </c>
      <c r="L229" s="14" t="str">
        <f t="shared" si="35"/>
        <v>Blank</v>
      </c>
      <c r="N229" s="14" t="str">
        <f t="shared" si="37"/>
        <v/>
      </c>
      <c r="O229" s="14" t="str">
        <f t="shared" si="38"/>
        <v/>
      </c>
      <c r="P229" s="14" t="str">
        <f t="shared" si="39"/>
        <v>Comment is required</v>
      </c>
      <c r="Q229" s="14" t="str">
        <f t="shared" si="40"/>
        <v>Blank</v>
      </c>
      <c r="R229" s="14" t="str">
        <f t="shared" si="41"/>
        <v>No Override</v>
      </c>
      <c r="S229" s="14">
        <f t="shared" si="42"/>
        <v>4</v>
      </c>
      <c r="T229" s="14" t="str">
        <f t="shared" si="43"/>
        <v/>
      </c>
    </row>
    <row r="230" spans="1:20" x14ac:dyDescent="0.3">
      <c r="A230" s="224">
        <v>4</v>
      </c>
      <c r="C230" s="14">
        <f t="shared" si="36"/>
        <v>4</v>
      </c>
      <c r="D230" s="14" t="s">
        <v>1139</v>
      </c>
      <c r="E230" s="58" t="s">
        <v>938</v>
      </c>
      <c r="F230" s="82" t="s">
        <v>940</v>
      </c>
      <c r="G230" s="176" t="s">
        <v>941</v>
      </c>
      <c r="H230" s="170" t="str">
        <f>'15. System Acquisition'!$J4</f>
        <v>Comment is required</v>
      </c>
      <c r="I230" s="14">
        <f>'15. System Acquisition'!$I4</f>
        <v>0</v>
      </c>
      <c r="J230" s="14" t="str">
        <f t="shared" si="44"/>
        <v>Blank</v>
      </c>
      <c r="K230" s="155" t="s">
        <v>1131</v>
      </c>
      <c r="L230" s="14" t="str">
        <f t="shared" si="35"/>
        <v>Blank</v>
      </c>
      <c r="N230" s="14" t="str">
        <f t="shared" si="37"/>
        <v/>
      </c>
      <c r="O230" s="14" t="str">
        <f t="shared" si="38"/>
        <v/>
      </c>
      <c r="P230" s="14" t="str">
        <f t="shared" si="39"/>
        <v>Comment is required</v>
      </c>
      <c r="Q230" s="14" t="str">
        <f t="shared" si="40"/>
        <v>Blank</v>
      </c>
      <c r="R230" s="14" t="str">
        <f t="shared" si="41"/>
        <v>No Override</v>
      </c>
      <c r="S230" s="14">
        <f t="shared" si="42"/>
        <v>4</v>
      </c>
      <c r="T230" s="14" t="str">
        <f t="shared" si="43"/>
        <v/>
      </c>
    </row>
    <row r="231" spans="1:20" x14ac:dyDescent="0.3">
      <c r="A231" s="224">
        <v>4</v>
      </c>
      <c r="C231" s="14">
        <f t="shared" si="36"/>
        <v>4</v>
      </c>
      <c r="D231" s="14" t="s">
        <v>1139</v>
      </c>
      <c r="E231" s="58" t="s">
        <v>942</v>
      </c>
      <c r="F231" s="82" t="s">
        <v>944</v>
      </c>
      <c r="G231" s="176" t="s">
        <v>945</v>
      </c>
      <c r="H231" s="170" t="str">
        <f>'15. System Acquisition'!$J5</f>
        <v>Comment is required</v>
      </c>
      <c r="I231" s="14">
        <f>'15. System Acquisition'!$I5</f>
        <v>0</v>
      </c>
      <c r="J231" s="14" t="str">
        <f t="shared" si="44"/>
        <v>Blank</v>
      </c>
      <c r="K231" s="155" t="s">
        <v>1131</v>
      </c>
      <c r="L231" s="14" t="str">
        <f t="shared" si="35"/>
        <v>Blank</v>
      </c>
      <c r="N231" s="14" t="str">
        <f t="shared" si="37"/>
        <v/>
      </c>
      <c r="O231" s="14" t="str">
        <f t="shared" si="38"/>
        <v/>
      </c>
      <c r="P231" s="14" t="str">
        <f t="shared" si="39"/>
        <v>Comment is required</v>
      </c>
      <c r="Q231" s="14" t="str">
        <f t="shared" si="40"/>
        <v>Blank</v>
      </c>
      <c r="R231" s="14" t="str">
        <f t="shared" si="41"/>
        <v>No Override</v>
      </c>
      <c r="S231" s="14">
        <f t="shared" si="42"/>
        <v>4</v>
      </c>
      <c r="T231" s="14" t="str">
        <f t="shared" si="43"/>
        <v/>
      </c>
    </row>
    <row r="232" spans="1:20" ht="45.6" x14ac:dyDescent="0.3">
      <c r="A232" s="224">
        <v>1</v>
      </c>
      <c r="C232" s="14">
        <f t="shared" si="36"/>
        <v>1</v>
      </c>
      <c r="D232" s="14" t="s">
        <v>1139</v>
      </c>
      <c r="E232" s="58" t="s">
        <v>946</v>
      </c>
      <c r="F232" s="82" t="s">
        <v>949</v>
      </c>
      <c r="G232" s="176" t="s">
        <v>950</v>
      </c>
      <c r="H232" s="170" t="str">
        <f>'15. System Acquisition'!$J6</f>
        <v>Comment is required</v>
      </c>
      <c r="I232" s="14">
        <f>'15. System Acquisition'!$I6</f>
        <v>0</v>
      </c>
      <c r="J232" s="14" t="str">
        <f t="shared" si="44"/>
        <v>Blank</v>
      </c>
      <c r="K232" s="155" t="s">
        <v>1131</v>
      </c>
      <c r="L232" s="14" t="str">
        <f t="shared" si="35"/>
        <v>Blank</v>
      </c>
      <c r="N232" s="14" t="str">
        <f t="shared" si="37"/>
        <v/>
      </c>
      <c r="O232" s="14" t="str">
        <f t="shared" si="38"/>
        <v/>
      </c>
      <c r="P232" s="14" t="str">
        <f t="shared" si="39"/>
        <v>Comment is required</v>
      </c>
      <c r="Q232" s="14" t="str">
        <f t="shared" si="40"/>
        <v>Blank</v>
      </c>
      <c r="R232" s="14" t="str">
        <f t="shared" si="41"/>
        <v>No Override</v>
      </c>
      <c r="S232" s="14">
        <f t="shared" si="42"/>
        <v>1</v>
      </c>
      <c r="T232" s="14" t="str">
        <f t="shared" si="43"/>
        <v/>
      </c>
    </row>
    <row r="233" spans="1:20" ht="57" x14ac:dyDescent="0.3">
      <c r="A233" s="224">
        <v>4</v>
      </c>
      <c r="C233" s="14">
        <f t="shared" si="36"/>
        <v>4</v>
      </c>
      <c r="D233" s="14" t="s">
        <v>1139</v>
      </c>
      <c r="E233" s="58" t="s">
        <v>951</v>
      </c>
      <c r="F233" s="82" t="s">
        <v>953</v>
      </c>
      <c r="G233" s="170" t="s">
        <v>954</v>
      </c>
      <c r="H233" s="170" t="str">
        <f>'15. System Acquisition'!$J7</f>
        <v>Comment is required</v>
      </c>
      <c r="I233" s="14">
        <f>'15. System Acquisition'!$I7</f>
        <v>0</v>
      </c>
      <c r="J233" s="14" t="str">
        <f t="shared" si="44"/>
        <v>Blank</v>
      </c>
      <c r="K233" s="155" t="s">
        <v>1131</v>
      </c>
      <c r="L233" s="14" t="str">
        <f t="shared" si="35"/>
        <v>Blank</v>
      </c>
      <c r="N233" s="14" t="str">
        <f t="shared" si="37"/>
        <v/>
      </c>
      <c r="O233" s="14" t="str">
        <f t="shared" si="38"/>
        <v/>
      </c>
      <c r="P233" s="14" t="str">
        <f t="shared" si="39"/>
        <v>Comment is required</v>
      </c>
      <c r="Q233" s="14" t="str">
        <f t="shared" si="40"/>
        <v>Blank</v>
      </c>
      <c r="R233" s="14" t="str">
        <f t="shared" si="41"/>
        <v>No Override</v>
      </c>
      <c r="S233" s="14">
        <f t="shared" si="42"/>
        <v>4</v>
      </c>
      <c r="T233" s="14" t="str">
        <f t="shared" si="43"/>
        <v/>
      </c>
    </row>
    <row r="234" spans="1:20" ht="68.400000000000006" x14ac:dyDescent="0.3">
      <c r="A234" s="224">
        <v>4</v>
      </c>
      <c r="C234" s="14">
        <f t="shared" si="36"/>
        <v>4</v>
      </c>
      <c r="D234" s="14" t="s">
        <v>1139</v>
      </c>
      <c r="E234" s="58" t="s">
        <v>955</v>
      </c>
      <c r="F234" s="82" t="s">
        <v>953</v>
      </c>
      <c r="G234" s="170" t="s">
        <v>956</v>
      </c>
      <c r="H234" s="170" t="str">
        <f>'15. System Acquisition'!$J8</f>
        <v>Comment is required</v>
      </c>
      <c r="I234" s="14">
        <f>'15. System Acquisition'!$I8</f>
        <v>0</v>
      </c>
      <c r="J234" s="14" t="str">
        <f t="shared" si="44"/>
        <v>Blank</v>
      </c>
      <c r="K234" s="155" t="s">
        <v>1131</v>
      </c>
      <c r="L234" s="14" t="str">
        <f t="shared" si="35"/>
        <v>Blank</v>
      </c>
      <c r="N234" s="14" t="str">
        <f t="shared" si="37"/>
        <v/>
      </c>
      <c r="O234" s="14" t="str">
        <f t="shared" si="38"/>
        <v/>
      </c>
      <c r="P234" s="14" t="str">
        <f t="shared" si="39"/>
        <v>Comment is required</v>
      </c>
      <c r="Q234" s="14" t="str">
        <f t="shared" si="40"/>
        <v>Blank</v>
      </c>
      <c r="R234" s="14" t="str">
        <f t="shared" si="41"/>
        <v>No Override</v>
      </c>
      <c r="S234" s="14">
        <f t="shared" si="42"/>
        <v>4</v>
      </c>
      <c r="T234" s="14" t="str">
        <f t="shared" si="43"/>
        <v/>
      </c>
    </row>
    <row r="235" spans="1:20" ht="22.8" x14ac:dyDescent="0.3">
      <c r="A235" s="224">
        <v>4</v>
      </c>
      <c r="C235" s="14">
        <f t="shared" si="36"/>
        <v>4</v>
      </c>
      <c r="D235" s="14" t="s">
        <v>1139</v>
      </c>
      <c r="E235" s="58" t="s">
        <v>957</v>
      </c>
      <c r="F235" s="82" t="s">
        <v>953</v>
      </c>
      <c r="G235" s="170" t="s">
        <v>958</v>
      </c>
      <c r="H235" s="170" t="str">
        <f>'15. System Acquisition'!$J9</f>
        <v>Comment is required</v>
      </c>
      <c r="I235" s="14">
        <f>'15. System Acquisition'!$I9</f>
        <v>0</v>
      </c>
      <c r="J235" s="14" t="str">
        <f>IF($I235="Yes","Adequate",IF($I235="No","Inadequate",IF($I235="Partial","Inadequate",IF(AND($I235="N/A",$I234="Yes",$I233="Yes"),"Adequate",IF(AND($I235="N/A",OR(NOT($I234="Yes"),NOT($I233="Yes"))),"Inadequate",IF(OR($I235="",$I235=0),"Blank","Error"))))))</f>
        <v>Blank</v>
      </c>
      <c r="K235" s="155" t="s">
        <v>1131</v>
      </c>
      <c r="L235" s="14" t="str">
        <f t="shared" si="35"/>
        <v>Blank</v>
      </c>
      <c r="N235" s="14" t="str">
        <f t="shared" si="37"/>
        <v/>
      </c>
      <c r="O235" s="14" t="str">
        <f t="shared" si="38"/>
        <v/>
      </c>
      <c r="P235" s="14" t="str">
        <f t="shared" si="39"/>
        <v>Comment is required</v>
      </c>
      <c r="Q235" s="14" t="str">
        <f t="shared" si="40"/>
        <v>Blank</v>
      </c>
      <c r="R235" s="14" t="str">
        <f t="shared" si="41"/>
        <v>No Override</v>
      </c>
      <c r="S235" s="14">
        <f t="shared" si="42"/>
        <v>4</v>
      </c>
      <c r="T235" s="14" t="str">
        <f t="shared" si="43"/>
        <v/>
      </c>
    </row>
    <row r="236" spans="1:20" x14ac:dyDescent="0.3">
      <c r="A236" s="224">
        <v>4</v>
      </c>
      <c r="C236" s="14">
        <f t="shared" si="36"/>
        <v>4</v>
      </c>
      <c r="D236" s="14" t="s">
        <v>1139</v>
      </c>
      <c r="E236" s="58" t="s">
        <v>959</v>
      </c>
      <c r="F236" s="82" t="s">
        <v>953</v>
      </c>
      <c r="G236" s="170" t="s">
        <v>960</v>
      </c>
      <c r="H236" s="170" t="str">
        <f>'15. System Acquisition'!$J10</f>
        <v>Comment is required</v>
      </c>
      <c r="I236" s="14">
        <f>'15. System Acquisition'!$I10</f>
        <v>0</v>
      </c>
      <c r="J236" s="14" t="str">
        <f>IF($I236="Yes","Adequate",IF($I236="No","Inadequate",IF($I236="Partial","Inadequate",IF(AND($I236="N/A",$I234="No",$I233="No"),"Adequate",IF(AND($I236="N/A",OR(NOT($I234="No"),NOT($I233="No"))),"Inadequate",IF(OR($I236="",$I236=0),"Blank","Error"))))))</f>
        <v>Blank</v>
      </c>
      <c r="K236" s="155" t="s">
        <v>1131</v>
      </c>
      <c r="L236" s="14" t="str">
        <f t="shared" si="35"/>
        <v>Blank</v>
      </c>
      <c r="N236" s="14" t="str">
        <f t="shared" si="37"/>
        <v/>
      </c>
      <c r="O236" s="14" t="str">
        <f t="shared" si="38"/>
        <v/>
      </c>
      <c r="P236" s="14" t="str">
        <f t="shared" si="39"/>
        <v>Comment is required</v>
      </c>
      <c r="Q236" s="14" t="str">
        <f t="shared" si="40"/>
        <v>Blank</v>
      </c>
      <c r="R236" s="14" t="str">
        <f t="shared" si="41"/>
        <v>No Override</v>
      </c>
      <c r="S236" s="14">
        <f t="shared" si="42"/>
        <v>4</v>
      </c>
      <c r="T236" s="14" t="str">
        <f t="shared" si="43"/>
        <v/>
      </c>
    </row>
    <row r="237" spans="1:20" ht="22.8" x14ac:dyDescent="0.3">
      <c r="A237" s="224">
        <v>4</v>
      </c>
      <c r="C237" s="14">
        <f t="shared" si="36"/>
        <v>4</v>
      </c>
      <c r="D237" s="14" t="s">
        <v>1139</v>
      </c>
      <c r="E237" s="58" t="s">
        <v>961</v>
      </c>
      <c r="F237" s="82" t="s">
        <v>963</v>
      </c>
      <c r="G237" s="176" t="s">
        <v>964</v>
      </c>
      <c r="H237" s="170" t="str">
        <f>'15. System Acquisition'!$J11</f>
        <v>Comment is required</v>
      </c>
      <c r="I237" s="14">
        <f>'15. System Acquisition'!$I11</f>
        <v>0</v>
      </c>
      <c r="J237" s="14" t="str">
        <f t="shared" si="44"/>
        <v>Blank</v>
      </c>
      <c r="K237" s="155" t="s">
        <v>1131</v>
      </c>
      <c r="L237" s="14" t="str">
        <f t="shared" si="35"/>
        <v>Blank</v>
      </c>
      <c r="N237" s="14" t="str">
        <f t="shared" si="37"/>
        <v/>
      </c>
      <c r="O237" s="14" t="str">
        <f t="shared" si="38"/>
        <v/>
      </c>
      <c r="P237" s="14" t="str">
        <f t="shared" si="39"/>
        <v>Comment is required</v>
      </c>
      <c r="Q237" s="14" t="str">
        <f t="shared" si="40"/>
        <v>Blank</v>
      </c>
      <c r="R237" s="14" t="str">
        <f t="shared" si="41"/>
        <v>No Override</v>
      </c>
      <c r="S237" s="14">
        <f t="shared" si="42"/>
        <v>4</v>
      </c>
      <c r="T237" s="14" t="str">
        <f t="shared" si="43"/>
        <v/>
      </c>
    </row>
    <row r="238" spans="1:20" ht="34.200000000000003" x14ac:dyDescent="0.3">
      <c r="A238" s="224">
        <v>2</v>
      </c>
      <c r="C238" s="14">
        <f t="shared" si="36"/>
        <v>2</v>
      </c>
      <c r="D238" s="14" t="s">
        <v>1139</v>
      </c>
      <c r="E238" s="58" t="s">
        <v>965</v>
      </c>
      <c r="F238" s="82" t="s">
        <v>968</v>
      </c>
      <c r="G238" s="176" t="s">
        <v>969</v>
      </c>
      <c r="H238" s="170" t="str">
        <f>'15. System Acquisition'!$J12</f>
        <v>Comment is required</v>
      </c>
      <c r="I238" s="14">
        <f>'15. System Acquisition'!$I12</f>
        <v>0</v>
      </c>
      <c r="J238" s="14" t="str">
        <f t="shared" si="44"/>
        <v>Blank</v>
      </c>
      <c r="K238" s="155" t="s">
        <v>1131</v>
      </c>
      <c r="L238" s="14" t="str">
        <f t="shared" si="35"/>
        <v>Blank</v>
      </c>
      <c r="N238" s="14" t="str">
        <f t="shared" si="37"/>
        <v/>
      </c>
      <c r="O238" s="14" t="str">
        <f t="shared" si="38"/>
        <v/>
      </c>
      <c r="P238" s="14" t="str">
        <f t="shared" si="39"/>
        <v>Comment is required</v>
      </c>
      <c r="Q238" s="14" t="str">
        <f t="shared" si="40"/>
        <v>Blank</v>
      </c>
      <c r="R238" s="14" t="str">
        <f t="shared" si="41"/>
        <v>No Override</v>
      </c>
      <c r="S238" s="14">
        <f t="shared" si="42"/>
        <v>2</v>
      </c>
      <c r="T238" s="14" t="str">
        <f t="shared" si="43"/>
        <v/>
      </c>
    </row>
    <row r="239" spans="1:20" ht="34.200000000000003" x14ac:dyDescent="0.3">
      <c r="A239" s="224">
        <v>4</v>
      </c>
      <c r="C239" s="14">
        <f t="shared" si="36"/>
        <v>4</v>
      </c>
      <c r="D239" s="14" t="s">
        <v>1139</v>
      </c>
      <c r="E239" s="58" t="s">
        <v>970</v>
      </c>
      <c r="F239" s="82" t="s">
        <v>972</v>
      </c>
      <c r="G239" s="176" t="s">
        <v>973</v>
      </c>
      <c r="H239" s="170" t="str">
        <f>'15. System Acquisition'!$J13</f>
        <v>Comment is required</v>
      </c>
      <c r="I239" s="14">
        <f>'15. System Acquisition'!$I13</f>
        <v>0</v>
      </c>
      <c r="J239" s="14" t="str">
        <f t="shared" si="44"/>
        <v>Blank</v>
      </c>
      <c r="K239" s="155" t="s">
        <v>1131</v>
      </c>
      <c r="L239" s="14" t="str">
        <f t="shared" si="35"/>
        <v>Blank</v>
      </c>
      <c r="N239" s="14" t="str">
        <f t="shared" si="37"/>
        <v/>
      </c>
      <c r="O239" s="14" t="str">
        <f t="shared" si="38"/>
        <v/>
      </c>
      <c r="P239" s="14" t="str">
        <f t="shared" si="39"/>
        <v>Comment is required</v>
      </c>
      <c r="Q239" s="14" t="str">
        <f t="shared" si="40"/>
        <v>Blank</v>
      </c>
      <c r="R239" s="14" t="str">
        <f t="shared" si="41"/>
        <v>No Override</v>
      </c>
      <c r="S239" s="14">
        <f t="shared" si="42"/>
        <v>4</v>
      </c>
      <c r="T239" s="14" t="str">
        <f t="shared" si="43"/>
        <v/>
      </c>
    </row>
    <row r="240" spans="1:20" ht="34.200000000000003" x14ac:dyDescent="0.3">
      <c r="A240" s="224">
        <v>2</v>
      </c>
      <c r="C240" s="14">
        <f t="shared" si="36"/>
        <v>2</v>
      </c>
      <c r="D240" s="14" t="s">
        <v>1139</v>
      </c>
      <c r="E240" s="58" t="s">
        <v>974</v>
      </c>
      <c r="F240" s="82" t="s">
        <v>976</v>
      </c>
      <c r="G240" s="176" t="s">
        <v>977</v>
      </c>
      <c r="H240" s="170" t="str">
        <f>'15. System Acquisition'!$J14</f>
        <v>Comment is required</v>
      </c>
      <c r="I240" s="14">
        <f>'15. System Acquisition'!$I14</f>
        <v>0</v>
      </c>
      <c r="J240" s="14" t="str">
        <f t="shared" si="44"/>
        <v>Blank</v>
      </c>
      <c r="K240" s="155" t="s">
        <v>1131</v>
      </c>
      <c r="L240" s="14" t="str">
        <f t="shared" si="35"/>
        <v>Blank</v>
      </c>
      <c r="N240" s="14" t="str">
        <f t="shared" si="37"/>
        <v/>
      </c>
      <c r="O240" s="14" t="str">
        <f t="shared" si="38"/>
        <v/>
      </c>
      <c r="P240" s="14" t="str">
        <f t="shared" si="39"/>
        <v>Comment is required</v>
      </c>
      <c r="Q240" s="14" t="str">
        <f t="shared" si="40"/>
        <v>Blank</v>
      </c>
      <c r="R240" s="14" t="str">
        <f t="shared" si="41"/>
        <v>No Override</v>
      </c>
      <c r="S240" s="14">
        <f t="shared" si="42"/>
        <v>2</v>
      </c>
      <c r="T240" s="14" t="str">
        <f t="shared" si="43"/>
        <v/>
      </c>
    </row>
    <row r="241" spans="1:20" ht="34.200000000000003" x14ac:dyDescent="0.3">
      <c r="A241" s="224">
        <v>1</v>
      </c>
      <c r="C241" s="14">
        <f t="shared" si="36"/>
        <v>1</v>
      </c>
      <c r="D241" s="14" t="s">
        <v>1139</v>
      </c>
      <c r="E241" s="58" t="s">
        <v>1334</v>
      </c>
      <c r="F241" s="58" t="s">
        <v>1287</v>
      </c>
      <c r="G241" s="191" t="s">
        <v>1333</v>
      </c>
      <c r="H241" s="170" t="str">
        <f>'15. System Acquisition'!$J15</f>
        <v>Comment is required</v>
      </c>
      <c r="I241" s="14">
        <f>'15. System Acquisition'!$I15</f>
        <v>0</v>
      </c>
      <c r="J241" s="14" t="str">
        <f t="shared" si="44"/>
        <v>Blank</v>
      </c>
      <c r="K241" s="155" t="s">
        <v>1131</v>
      </c>
      <c r="L241" s="14" t="str">
        <f t="shared" si="35"/>
        <v>Blank</v>
      </c>
      <c r="N241" s="14" t="str">
        <f t="shared" si="37"/>
        <v/>
      </c>
      <c r="O241" s="14" t="str">
        <f t="shared" si="38"/>
        <v/>
      </c>
      <c r="P241" s="14" t="str">
        <f t="shared" si="39"/>
        <v>Comment is required</v>
      </c>
      <c r="Q241" s="14" t="str">
        <f t="shared" si="40"/>
        <v>Blank</v>
      </c>
      <c r="R241" s="14" t="str">
        <f t="shared" si="41"/>
        <v>No Override</v>
      </c>
      <c r="S241" s="14">
        <f t="shared" si="42"/>
        <v>1</v>
      </c>
      <c r="T241" s="14" t="str">
        <f t="shared" si="43"/>
        <v/>
      </c>
    </row>
    <row r="242" spans="1:20" ht="22.8" x14ac:dyDescent="0.3">
      <c r="A242" s="224">
        <v>4</v>
      </c>
      <c r="C242" s="14">
        <f t="shared" si="36"/>
        <v>4</v>
      </c>
      <c r="D242" s="14" t="s">
        <v>1140</v>
      </c>
      <c r="E242" s="58" t="s">
        <v>979</v>
      </c>
      <c r="F242" s="82" t="s">
        <v>981</v>
      </c>
      <c r="G242" s="170" t="s">
        <v>982</v>
      </c>
      <c r="H242" s="170" t="str">
        <f>'16. System Data Protection'!$J3</f>
        <v>Comment is required</v>
      </c>
      <c r="I242" s="14">
        <f>'16. System Data Protection'!$I3</f>
        <v>0</v>
      </c>
      <c r="J242" s="14" t="str">
        <f t="shared" si="44"/>
        <v>Blank</v>
      </c>
      <c r="K242" s="155" t="s">
        <v>1131</v>
      </c>
      <c r="L242" s="14" t="str">
        <f t="shared" si="35"/>
        <v>Blank</v>
      </c>
      <c r="N242" s="14" t="str">
        <f t="shared" si="37"/>
        <v/>
      </c>
      <c r="O242" s="14" t="str">
        <f t="shared" si="38"/>
        <v/>
      </c>
      <c r="P242" s="14" t="str">
        <f t="shared" si="39"/>
        <v>Comment is required</v>
      </c>
      <c r="Q242" s="14" t="str">
        <f t="shared" si="40"/>
        <v>Blank</v>
      </c>
      <c r="R242" s="14" t="str">
        <f t="shared" si="41"/>
        <v>No Override</v>
      </c>
      <c r="S242" s="14">
        <f t="shared" si="42"/>
        <v>4</v>
      </c>
      <c r="T242" s="14" t="str">
        <f t="shared" si="43"/>
        <v/>
      </c>
    </row>
    <row r="243" spans="1:20" ht="22.8" x14ac:dyDescent="0.3">
      <c r="A243" s="224">
        <v>4</v>
      </c>
      <c r="C243" s="14">
        <f t="shared" si="36"/>
        <v>4</v>
      </c>
      <c r="D243" s="14" t="s">
        <v>1140</v>
      </c>
      <c r="E243" s="58" t="s">
        <v>983</v>
      </c>
      <c r="F243" s="82" t="s">
        <v>985</v>
      </c>
      <c r="G243" s="170" t="s">
        <v>986</v>
      </c>
      <c r="H243" s="170" t="str">
        <f>'16. System Data Protection'!$J4</f>
        <v>Comment is required</v>
      </c>
      <c r="I243" s="14">
        <f>'16. System Data Protection'!$I4</f>
        <v>0</v>
      </c>
      <c r="J243" s="14" t="str">
        <f t="shared" si="44"/>
        <v>Blank</v>
      </c>
      <c r="K243" s="155" t="s">
        <v>1131</v>
      </c>
      <c r="L243" s="14" t="str">
        <f t="shared" si="35"/>
        <v>Blank</v>
      </c>
      <c r="N243" s="14" t="str">
        <f t="shared" si="37"/>
        <v/>
      </c>
      <c r="O243" s="14" t="str">
        <f t="shared" si="38"/>
        <v/>
      </c>
      <c r="P243" s="14" t="str">
        <f t="shared" si="39"/>
        <v>Comment is required</v>
      </c>
      <c r="Q243" s="14" t="str">
        <f t="shared" si="40"/>
        <v>Blank</v>
      </c>
      <c r="R243" s="14" t="str">
        <f t="shared" si="41"/>
        <v>No Override</v>
      </c>
      <c r="S243" s="14">
        <f t="shared" si="42"/>
        <v>4</v>
      </c>
      <c r="T243" s="14" t="str">
        <f t="shared" si="43"/>
        <v/>
      </c>
    </row>
    <row r="244" spans="1:20" ht="22.8" x14ac:dyDescent="0.3">
      <c r="A244" s="224">
        <v>4</v>
      </c>
      <c r="C244" s="14">
        <f t="shared" si="36"/>
        <v>4</v>
      </c>
      <c r="D244" s="14" t="s">
        <v>1140</v>
      </c>
      <c r="E244" s="58" t="s">
        <v>987</v>
      </c>
      <c r="F244" s="82" t="s">
        <v>989</v>
      </c>
      <c r="G244" s="170" t="s">
        <v>990</v>
      </c>
      <c r="H244" s="170" t="str">
        <f>'16. System Data Protection'!$J5</f>
        <v>Comment is required</v>
      </c>
      <c r="I244" s="14">
        <f>'16. System Data Protection'!$I5</f>
        <v>0</v>
      </c>
      <c r="J244" s="14" t="str">
        <f t="shared" si="44"/>
        <v>Blank</v>
      </c>
      <c r="K244" s="155" t="s">
        <v>1131</v>
      </c>
      <c r="L244" s="14" t="str">
        <f t="shared" si="35"/>
        <v>Blank</v>
      </c>
      <c r="N244" s="14" t="str">
        <f t="shared" si="37"/>
        <v/>
      </c>
      <c r="O244" s="14" t="str">
        <f t="shared" si="38"/>
        <v/>
      </c>
      <c r="P244" s="14" t="str">
        <f t="shared" si="39"/>
        <v>Comment is required</v>
      </c>
      <c r="Q244" s="14" t="str">
        <f t="shared" si="40"/>
        <v>Blank</v>
      </c>
      <c r="R244" s="14" t="str">
        <f t="shared" si="41"/>
        <v>No Override</v>
      </c>
      <c r="S244" s="14">
        <f t="shared" si="42"/>
        <v>4</v>
      </c>
      <c r="T244" s="14" t="str">
        <f t="shared" si="43"/>
        <v/>
      </c>
    </row>
    <row r="245" spans="1:20" x14ac:dyDescent="0.3">
      <c r="A245" s="224">
        <v>4</v>
      </c>
      <c r="C245" s="14">
        <f t="shared" si="36"/>
        <v>4</v>
      </c>
      <c r="D245" s="14" t="s">
        <v>1140</v>
      </c>
      <c r="E245" s="58" t="s">
        <v>991</v>
      </c>
      <c r="F245" s="82" t="s">
        <v>993</v>
      </c>
      <c r="G245" s="176" t="s">
        <v>994</v>
      </c>
      <c r="H245" s="170" t="str">
        <f>'16. System Data Protection'!$J6</f>
        <v>Comment is required</v>
      </c>
      <c r="I245" s="14">
        <f>'16. System Data Protection'!$I6</f>
        <v>0</v>
      </c>
      <c r="J245" s="14" t="str">
        <f t="shared" si="44"/>
        <v>Blank</v>
      </c>
      <c r="K245" s="155" t="s">
        <v>1131</v>
      </c>
      <c r="L245" s="14" t="str">
        <f t="shared" si="35"/>
        <v>Blank</v>
      </c>
      <c r="N245" s="14" t="str">
        <f t="shared" si="37"/>
        <v/>
      </c>
      <c r="O245" s="14" t="str">
        <f t="shared" si="38"/>
        <v/>
      </c>
      <c r="P245" s="14" t="str">
        <f t="shared" si="39"/>
        <v>Comment is required</v>
      </c>
      <c r="Q245" s="14" t="str">
        <f t="shared" si="40"/>
        <v>Blank</v>
      </c>
      <c r="R245" s="14" t="str">
        <f t="shared" si="41"/>
        <v>No Override</v>
      </c>
      <c r="S245" s="14">
        <f t="shared" si="42"/>
        <v>4</v>
      </c>
      <c r="T245" s="14" t="str">
        <f t="shared" si="43"/>
        <v/>
      </c>
    </row>
    <row r="246" spans="1:20" x14ac:dyDescent="0.3">
      <c r="A246" s="224">
        <v>4</v>
      </c>
      <c r="C246" s="14">
        <f t="shared" si="36"/>
        <v>4</v>
      </c>
      <c r="D246" s="14" t="s">
        <v>1140</v>
      </c>
      <c r="E246" s="58" t="s">
        <v>995</v>
      </c>
      <c r="F246" s="82" t="s">
        <v>997</v>
      </c>
      <c r="G246" s="170" t="s">
        <v>998</v>
      </c>
      <c r="H246" s="170" t="str">
        <f>'16. System Data Protection'!$J7</f>
        <v>Comment is required</v>
      </c>
      <c r="I246" s="14">
        <f>'16. System Data Protection'!$I7</f>
        <v>0</v>
      </c>
      <c r="J246" s="14" t="str">
        <f t="shared" si="44"/>
        <v>Blank</v>
      </c>
      <c r="K246" s="155" t="s">
        <v>1131</v>
      </c>
      <c r="L246" s="14" t="str">
        <f t="shared" si="35"/>
        <v>Blank</v>
      </c>
      <c r="N246" s="14" t="str">
        <f t="shared" si="37"/>
        <v/>
      </c>
      <c r="O246" s="14" t="str">
        <f t="shared" si="38"/>
        <v/>
      </c>
      <c r="P246" s="14" t="str">
        <f t="shared" si="39"/>
        <v>Comment is required</v>
      </c>
      <c r="Q246" s="14" t="str">
        <f t="shared" si="40"/>
        <v>Blank</v>
      </c>
      <c r="R246" s="14" t="str">
        <f t="shared" si="41"/>
        <v>No Override</v>
      </c>
      <c r="S246" s="14">
        <f t="shared" si="42"/>
        <v>4</v>
      </c>
      <c r="T246" s="14" t="str">
        <f t="shared" si="43"/>
        <v/>
      </c>
    </row>
    <row r="247" spans="1:20" ht="22.8" x14ac:dyDescent="0.3">
      <c r="A247" s="224">
        <v>3</v>
      </c>
      <c r="C247" s="14">
        <f t="shared" si="36"/>
        <v>3</v>
      </c>
      <c r="D247" s="14" t="s">
        <v>1140</v>
      </c>
      <c r="E247" s="58" t="s">
        <v>999</v>
      </c>
      <c r="F247" s="82" t="s">
        <v>1001</v>
      </c>
      <c r="G247" s="176" t="s">
        <v>1002</v>
      </c>
      <c r="H247" s="170" t="str">
        <f>'16. System Data Protection'!$J8</f>
        <v>Comment is required</v>
      </c>
      <c r="I247" s="14">
        <f>'16. System Data Protection'!$I8</f>
        <v>0</v>
      </c>
      <c r="J247" s="14" t="str">
        <f t="shared" si="44"/>
        <v>Blank</v>
      </c>
      <c r="K247" s="155" t="s">
        <v>1131</v>
      </c>
      <c r="L247" s="14" t="str">
        <f t="shared" si="35"/>
        <v>Blank</v>
      </c>
      <c r="N247" s="14" t="str">
        <f t="shared" si="37"/>
        <v/>
      </c>
      <c r="O247" s="14" t="str">
        <f t="shared" si="38"/>
        <v/>
      </c>
      <c r="P247" s="14" t="str">
        <f t="shared" si="39"/>
        <v>Comment is required</v>
      </c>
      <c r="Q247" s="14" t="str">
        <f t="shared" si="40"/>
        <v>Blank</v>
      </c>
      <c r="R247" s="14" t="str">
        <f t="shared" si="41"/>
        <v>No Override</v>
      </c>
      <c r="S247" s="14">
        <f t="shared" si="42"/>
        <v>3</v>
      </c>
      <c r="T247" s="14" t="str">
        <f t="shared" si="43"/>
        <v/>
      </c>
    </row>
    <row r="248" spans="1:20" ht="22.8" x14ac:dyDescent="0.3">
      <c r="A248" s="224">
        <v>3</v>
      </c>
      <c r="C248" s="14">
        <f t="shared" si="36"/>
        <v>3</v>
      </c>
      <c r="D248" s="14" t="s">
        <v>1140</v>
      </c>
      <c r="E248" s="58" t="s">
        <v>1003</v>
      </c>
      <c r="F248" s="82" t="s">
        <v>1001</v>
      </c>
      <c r="G248" s="176" t="s">
        <v>1004</v>
      </c>
      <c r="H248" s="170" t="str">
        <f>'16. System Data Protection'!$J9</f>
        <v>Comment is required</v>
      </c>
      <c r="I248" s="14">
        <f>'16. System Data Protection'!$I9</f>
        <v>0</v>
      </c>
      <c r="J248" s="14" t="str">
        <f t="shared" si="44"/>
        <v>Blank</v>
      </c>
      <c r="K248" s="155" t="s">
        <v>1131</v>
      </c>
      <c r="L248" s="14" t="str">
        <f t="shared" si="35"/>
        <v>Blank</v>
      </c>
      <c r="N248" s="14" t="str">
        <f t="shared" si="37"/>
        <v/>
      </c>
      <c r="O248" s="14" t="str">
        <f t="shared" si="38"/>
        <v/>
      </c>
      <c r="P248" s="14" t="str">
        <f t="shared" si="39"/>
        <v>Comment is required</v>
      </c>
      <c r="Q248" s="14" t="str">
        <f t="shared" si="40"/>
        <v>Blank</v>
      </c>
      <c r="R248" s="14" t="str">
        <f t="shared" si="41"/>
        <v>No Override</v>
      </c>
      <c r="S248" s="14">
        <f t="shared" si="42"/>
        <v>3</v>
      </c>
      <c r="T248" s="14" t="str">
        <f t="shared" si="43"/>
        <v/>
      </c>
    </row>
    <row r="249" spans="1:20" ht="22.8" x14ac:dyDescent="0.3">
      <c r="A249" s="224">
        <v>3</v>
      </c>
      <c r="C249" s="14">
        <f t="shared" si="36"/>
        <v>3</v>
      </c>
      <c r="D249" s="14" t="s">
        <v>1140</v>
      </c>
      <c r="E249" s="58" t="s">
        <v>1005</v>
      </c>
      <c r="F249" s="82" t="s">
        <v>1001</v>
      </c>
      <c r="G249" s="176" t="s">
        <v>1006</v>
      </c>
      <c r="H249" s="170" t="str">
        <f>'16. System Data Protection'!$J10</f>
        <v>Comment is required</v>
      </c>
      <c r="I249" s="14">
        <f>'16. System Data Protection'!$I10</f>
        <v>0</v>
      </c>
      <c r="J249" s="14" t="str">
        <f t="shared" si="44"/>
        <v>Blank</v>
      </c>
      <c r="K249" s="155" t="s">
        <v>1131</v>
      </c>
      <c r="L249" s="14" t="str">
        <f t="shared" si="35"/>
        <v>Blank</v>
      </c>
      <c r="N249" s="14" t="str">
        <f t="shared" si="37"/>
        <v/>
      </c>
      <c r="O249" s="14" t="str">
        <f t="shared" si="38"/>
        <v/>
      </c>
      <c r="P249" s="14" t="str">
        <f t="shared" si="39"/>
        <v>Comment is required</v>
      </c>
      <c r="Q249" s="14" t="str">
        <f t="shared" si="40"/>
        <v>Blank</v>
      </c>
      <c r="R249" s="14" t="str">
        <f t="shared" si="41"/>
        <v>No Override</v>
      </c>
      <c r="S249" s="14">
        <f t="shared" si="42"/>
        <v>3</v>
      </c>
      <c r="T249" s="14" t="str">
        <f t="shared" si="43"/>
        <v/>
      </c>
    </row>
    <row r="250" spans="1:20" ht="22.8" x14ac:dyDescent="0.3">
      <c r="A250" s="224">
        <v>3</v>
      </c>
      <c r="C250" s="14">
        <f t="shared" si="36"/>
        <v>3</v>
      </c>
      <c r="D250" s="14" t="s">
        <v>1140</v>
      </c>
      <c r="E250" s="58" t="s">
        <v>1007</v>
      </c>
      <c r="F250" s="82" t="s">
        <v>1001</v>
      </c>
      <c r="G250" s="176" t="s">
        <v>1008</v>
      </c>
      <c r="H250" s="170" t="str">
        <f>'16. System Data Protection'!$J11</f>
        <v>Comment is required</v>
      </c>
      <c r="I250" s="14">
        <f>'16. System Data Protection'!$I11</f>
        <v>0</v>
      </c>
      <c r="J250" s="14" t="str">
        <f t="shared" si="44"/>
        <v>Blank</v>
      </c>
      <c r="K250" s="155" t="s">
        <v>1131</v>
      </c>
      <c r="L250" s="14" t="str">
        <f t="shared" si="35"/>
        <v>Blank</v>
      </c>
      <c r="N250" s="14" t="str">
        <f t="shared" si="37"/>
        <v/>
      </c>
      <c r="O250" s="14" t="str">
        <f t="shared" si="38"/>
        <v/>
      </c>
      <c r="P250" s="14" t="str">
        <f t="shared" si="39"/>
        <v>Comment is required</v>
      </c>
      <c r="Q250" s="14" t="str">
        <f t="shared" si="40"/>
        <v>Blank</v>
      </c>
      <c r="R250" s="14" t="str">
        <f t="shared" si="41"/>
        <v>No Override</v>
      </c>
      <c r="S250" s="14">
        <f t="shared" si="42"/>
        <v>3</v>
      </c>
      <c r="T250" s="14" t="str">
        <f t="shared" si="43"/>
        <v/>
      </c>
    </row>
    <row r="251" spans="1:20" ht="22.8" x14ac:dyDescent="0.3">
      <c r="A251" s="224">
        <v>3</v>
      </c>
      <c r="C251" s="14">
        <f t="shared" si="36"/>
        <v>3</v>
      </c>
      <c r="D251" s="14" t="s">
        <v>1140</v>
      </c>
      <c r="E251" s="58" t="s">
        <v>1009</v>
      </c>
      <c r="F251" s="82" t="s">
        <v>1001</v>
      </c>
      <c r="G251" s="176" t="s">
        <v>1010</v>
      </c>
      <c r="H251" s="170" t="str">
        <f>'16. System Data Protection'!$J12</f>
        <v>Comment is required</v>
      </c>
      <c r="I251" s="14">
        <f>'16. System Data Protection'!$I12</f>
        <v>0</v>
      </c>
      <c r="J251" s="14" t="str">
        <f t="shared" si="44"/>
        <v>Blank</v>
      </c>
      <c r="K251" s="155" t="s">
        <v>1131</v>
      </c>
      <c r="L251" s="14" t="str">
        <f t="shared" si="35"/>
        <v>Blank</v>
      </c>
      <c r="N251" s="14" t="str">
        <f t="shared" si="37"/>
        <v/>
      </c>
      <c r="O251" s="14" t="str">
        <f t="shared" si="38"/>
        <v/>
      </c>
      <c r="P251" s="14" t="str">
        <f t="shared" si="39"/>
        <v>Comment is required</v>
      </c>
      <c r="Q251" s="14" t="str">
        <f t="shared" si="40"/>
        <v>Blank</v>
      </c>
      <c r="R251" s="14" t="str">
        <f t="shared" si="41"/>
        <v>No Override</v>
      </c>
      <c r="S251" s="14">
        <f t="shared" si="42"/>
        <v>3</v>
      </c>
      <c r="T251" s="14" t="str">
        <f t="shared" si="43"/>
        <v/>
      </c>
    </row>
    <row r="252" spans="1:20" ht="22.8" x14ac:dyDescent="0.3">
      <c r="A252" s="224">
        <v>1</v>
      </c>
      <c r="C252" s="14">
        <f t="shared" si="36"/>
        <v>1</v>
      </c>
      <c r="D252" s="14" t="s">
        <v>1140</v>
      </c>
      <c r="E252" s="62" t="s">
        <v>1011</v>
      </c>
      <c r="F252" s="82" t="s">
        <v>1014</v>
      </c>
      <c r="G252" s="176" t="s">
        <v>1336</v>
      </c>
      <c r="H252" s="170" t="str">
        <f>'16. System Data Protection'!$J13</f>
        <v>Comment is required</v>
      </c>
      <c r="I252" s="14">
        <f>'16. System Data Protection'!$I13</f>
        <v>0</v>
      </c>
      <c r="J252" s="14" t="str">
        <f t="shared" si="44"/>
        <v>Blank</v>
      </c>
      <c r="K252" s="155" t="s">
        <v>1131</v>
      </c>
      <c r="L252" s="14" t="str">
        <f t="shared" si="35"/>
        <v>Blank</v>
      </c>
      <c r="N252" s="14" t="str">
        <f t="shared" si="37"/>
        <v/>
      </c>
      <c r="O252" s="14" t="str">
        <f t="shared" si="38"/>
        <v/>
      </c>
      <c r="P252" s="14" t="str">
        <f t="shared" si="39"/>
        <v>Comment is required</v>
      </c>
      <c r="Q252" s="14" t="str">
        <f t="shared" si="40"/>
        <v>Blank</v>
      </c>
      <c r="R252" s="14" t="str">
        <f t="shared" si="41"/>
        <v>No Override</v>
      </c>
      <c r="S252" s="14">
        <f t="shared" si="42"/>
        <v>1</v>
      </c>
      <c r="T252" s="14" t="str">
        <f t="shared" si="43"/>
        <v/>
      </c>
    </row>
    <row r="253" spans="1:20" ht="22.8" x14ac:dyDescent="0.3">
      <c r="A253" s="224">
        <v>1</v>
      </c>
      <c r="C253" s="14">
        <f t="shared" si="36"/>
        <v>1</v>
      </c>
      <c r="D253" s="14" t="s">
        <v>1140</v>
      </c>
      <c r="E253" s="62" t="s">
        <v>1015</v>
      </c>
      <c r="F253" s="82" t="s">
        <v>1014</v>
      </c>
      <c r="G253" s="176" t="s">
        <v>1016</v>
      </c>
      <c r="H253" s="170" t="str">
        <f>'16. System Data Protection'!$J14</f>
        <v>Comment is required</v>
      </c>
      <c r="I253" s="14">
        <f>'16. System Data Protection'!$I14</f>
        <v>0</v>
      </c>
      <c r="J253" s="14" t="str">
        <f t="shared" si="44"/>
        <v>Blank</v>
      </c>
      <c r="K253" s="155" t="s">
        <v>1131</v>
      </c>
      <c r="L253" s="14" t="str">
        <f t="shared" si="35"/>
        <v>Blank</v>
      </c>
      <c r="N253" s="14" t="str">
        <f t="shared" si="37"/>
        <v/>
      </c>
      <c r="O253" s="14" t="str">
        <f t="shared" si="38"/>
        <v/>
      </c>
      <c r="P253" s="14" t="str">
        <f t="shared" si="39"/>
        <v>Comment is required</v>
      </c>
      <c r="Q253" s="14" t="str">
        <f t="shared" si="40"/>
        <v>Blank</v>
      </c>
      <c r="R253" s="14" t="str">
        <f t="shared" si="41"/>
        <v>No Override</v>
      </c>
      <c r="S253" s="14">
        <f t="shared" si="42"/>
        <v>1</v>
      </c>
      <c r="T253" s="14" t="str">
        <f t="shared" si="43"/>
        <v/>
      </c>
    </row>
    <row r="254" spans="1:20" ht="22.8" x14ac:dyDescent="0.3">
      <c r="A254" s="224">
        <v>4</v>
      </c>
      <c r="C254" s="14">
        <f t="shared" si="36"/>
        <v>4</v>
      </c>
      <c r="D254" s="14" t="s">
        <v>1140</v>
      </c>
      <c r="E254" s="58" t="s">
        <v>1017</v>
      </c>
      <c r="F254" s="82" t="s">
        <v>1019</v>
      </c>
      <c r="G254" s="176" t="s">
        <v>1020</v>
      </c>
      <c r="H254" s="170" t="str">
        <f>'16. System Data Protection'!$J15</f>
        <v>Comment is required</v>
      </c>
      <c r="I254" s="14">
        <f>'16. System Data Protection'!$I15</f>
        <v>0</v>
      </c>
      <c r="J254" s="14" t="str">
        <f t="shared" si="44"/>
        <v>Blank</v>
      </c>
      <c r="K254" s="155" t="s">
        <v>1131</v>
      </c>
      <c r="L254" s="14" t="str">
        <f t="shared" si="35"/>
        <v>Blank</v>
      </c>
      <c r="N254" s="14" t="str">
        <f t="shared" si="37"/>
        <v/>
      </c>
      <c r="O254" s="14" t="str">
        <f t="shared" si="38"/>
        <v/>
      </c>
      <c r="P254" s="14" t="str">
        <f t="shared" si="39"/>
        <v>Comment is required</v>
      </c>
      <c r="Q254" s="14" t="str">
        <f t="shared" si="40"/>
        <v>Blank</v>
      </c>
      <c r="R254" s="14" t="str">
        <f t="shared" si="41"/>
        <v>No Override</v>
      </c>
      <c r="S254" s="14">
        <f t="shared" si="42"/>
        <v>4</v>
      </c>
      <c r="T254" s="14" t="str">
        <f t="shared" si="43"/>
        <v/>
      </c>
    </row>
    <row r="255" spans="1:20" x14ac:dyDescent="0.3">
      <c r="A255" s="224">
        <v>4</v>
      </c>
      <c r="C255" s="14">
        <f t="shared" si="36"/>
        <v>4</v>
      </c>
      <c r="D255" s="14" t="s">
        <v>1140</v>
      </c>
      <c r="E255" s="58" t="s">
        <v>1021</v>
      </c>
      <c r="F255" s="82" t="s">
        <v>1024</v>
      </c>
      <c r="G255" s="176" t="s">
        <v>1025</v>
      </c>
      <c r="H255" s="170" t="str">
        <f>'16. System Data Protection'!$J16</f>
        <v>Comment is required</v>
      </c>
      <c r="I255" s="14">
        <f>'16. System Data Protection'!$I16</f>
        <v>0</v>
      </c>
      <c r="J255" s="14" t="str">
        <f t="shared" si="44"/>
        <v>Blank</v>
      </c>
      <c r="K255" s="155" t="s">
        <v>1131</v>
      </c>
      <c r="L255" s="14" t="str">
        <f t="shared" si="35"/>
        <v>Blank</v>
      </c>
      <c r="N255" s="14" t="str">
        <f t="shared" si="37"/>
        <v/>
      </c>
      <c r="O255" s="14" t="str">
        <f t="shared" si="38"/>
        <v/>
      </c>
      <c r="P255" s="14" t="str">
        <f t="shared" si="39"/>
        <v>Comment is required</v>
      </c>
      <c r="Q255" s="14" t="str">
        <f t="shared" si="40"/>
        <v>Blank</v>
      </c>
      <c r="R255" s="14" t="str">
        <f t="shared" si="41"/>
        <v>No Override</v>
      </c>
      <c r="S255" s="14">
        <f t="shared" si="42"/>
        <v>4</v>
      </c>
      <c r="T255" s="14" t="str">
        <f t="shared" si="43"/>
        <v/>
      </c>
    </row>
    <row r="256" spans="1:20" ht="22.8" x14ac:dyDescent="0.3">
      <c r="A256" s="224">
        <v>4</v>
      </c>
      <c r="C256" s="14">
        <f t="shared" si="36"/>
        <v>4</v>
      </c>
      <c r="D256" s="14" t="s">
        <v>1140</v>
      </c>
      <c r="E256" s="58" t="s">
        <v>1026</v>
      </c>
      <c r="F256" s="82" t="s">
        <v>1028</v>
      </c>
      <c r="G256" s="176" t="s">
        <v>1338</v>
      </c>
      <c r="H256" s="170" t="str">
        <f>'16. System Data Protection'!$J17</f>
        <v>Comment is required</v>
      </c>
      <c r="I256" s="14">
        <f>'16. System Data Protection'!$I17</f>
        <v>0</v>
      </c>
      <c r="J256" s="14" t="str">
        <f t="shared" si="44"/>
        <v>Blank</v>
      </c>
      <c r="K256" s="155" t="s">
        <v>1131</v>
      </c>
      <c r="L256" s="14" t="str">
        <f t="shared" si="35"/>
        <v>Blank</v>
      </c>
      <c r="N256" s="14" t="str">
        <f t="shared" si="37"/>
        <v/>
      </c>
      <c r="O256" s="14" t="str">
        <f t="shared" si="38"/>
        <v/>
      </c>
      <c r="P256" s="14" t="str">
        <f t="shared" si="39"/>
        <v>Comment is required</v>
      </c>
      <c r="Q256" s="14" t="str">
        <f t="shared" si="40"/>
        <v>Blank</v>
      </c>
      <c r="R256" s="14" t="str">
        <f t="shared" si="41"/>
        <v>No Override</v>
      </c>
      <c r="S256" s="14">
        <f t="shared" si="42"/>
        <v>4</v>
      </c>
      <c r="T256" s="14" t="str">
        <f t="shared" si="43"/>
        <v/>
      </c>
    </row>
    <row r="257" spans="1:20" ht="22.8" x14ac:dyDescent="0.3">
      <c r="A257" s="224">
        <v>4</v>
      </c>
      <c r="C257" s="14">
        <f t="shared" si="36"/>
        <v>4</v>
      </c>
      <c r="D257" s="14" t="s">
        <v>1140</v>
      </c>
      <c r="E257" s="58" t="s">
        <v>1029</v>
      </c>
      <c r="F257" s="82" t="s">
        <v>1031</v>
      </c>
      <c r="G257" s="176" t="s">
        <v>1032</v>
      </c>
      <c r="H257" s="170" t="str">
        <f>'16. System Data Protection'!$J18</f>
        <v>Comment is required</v>
      </c>
      <c r="I257" s="14">
        <f>'16. System Data Protection'!$I18</f>
        <v>0</v>
      </c>
      <c r="J257" s="48" t="str">
        <f>IF(AND($I257="Yes",$I258="Yes",$I259="Yes"),"Adequate",IF(AND($I257="Yes",OR(NOT($I258="Yes"),NOT($I259="Yes"))),"Inadequate",IF($I257="No","N/A",IF($I257="Partial","Inadequate",IF($I257="N/A","N/A",IF(OR($I257="",$I257=0),"Blank","Error"))))))</f>
        <v>Blank</v>
      </c>
      <c r="K257" s="155" t="s">
        <v>1131</v>
      </c>
      <c r="L257" s="14" t="str">
        <f t="shared" si="35"/>
        <v>Blank</v>
      </c>
      <c r="N257" s="14" t="str">
        <f t="shared" si="37"/>
        <v/>
      </c>
      <c r="O257" s="14" t="str">
        <f t="shared" si="38"/>
        <v/>
      </c>
      <c r="P257" s="14" t="str">
        <f t="shared" si="39"/>
        <v>Comment is required</v>
      </c>
      <c r="Q257" s="14" t="str">
        <f t="shared" si="40"/>
        <v>Blank</v>
      </c>
      <c r="R257" s="14" t="str">
        <f t="shared" si="41"/>
        <v>No Override</v>
      </c>
      <c r="S257" s="14">
        <f t="shared" si="42"/>
        <v>4</v>
      </c>
      <c r="T257" s="14" t="str">
        <f t="shared" si="43"/>
        <v/>
      </c>
    </row>
    <row r="258" spans="1:20" x14ac:dyDescent="0.3">
      <c r="A258" s="224">
        <v>2</v>
      </c>
      <c r="C258" s="14">
        <f t="shared" si="36"/>
        <v>2</v>
      </c>
      <c r="D258" s="14" t="s">
        <v>1140</v>
      </c>
      <c r="E258" s="58" t="s">
        <v>1033</v>
      </c>
      <c r="F258" s="82" t="s">
        <v>1031</v>
      </c>
      <c r="G258" s="176" t="s">
        <v>1034</v>
      </c>
      <c r="H258" s="170" t="str">
        <f>'16. System Data Protection'!$J19</f>
        <v>Comment is required</v>
      </c>
      <c r="I258" s="14">
        <f>'16. System Data Protection'!$I19</f>
        <v>0</v>
      </c>
      <c r="J258" s="60" t="str">
        <f>IF(OR($I257="N/A",$I257="No"),"N/A",IF($I258="Yes","Adequate",IF($I258="No","Inadequate",IF($I258="Partial","Inadequate",IF(AND($I258="N/A",NOT($I257="No"),NOT($I257="N/A")),"Inadequate",IF(OR($I258="",$I258=0),"Blank","Error"))))))</f>
        <v>Blank</v>
      </c>
      <c r="K258" s="155" t="s">
        <v>1131</v>
      </c>
      <c r="L258" s="14" t="str">
        <f t="shared" si="35"/>
        <v>Blank</v>
      </c>
      <c r="N258" s="14" t="str">
        <f t="shared" si="37"/>
        <v/>
      </c>
      <c r="O258" s="14" t="str">
        <f t="shared" si="38"/>
        <v/>
      </c>
      <c r="P258" s="14" t="str">
        <f t="shared" si="39"/>
        <v>Comment is required</v>
      </c>
      <c r="Q258" s="14" t="str">
        <f t="shared" si="40"/>
        <v>Blank</v>
      </c>
      <c r="R258" s="14" t="str">
        <f t="shared" si="41"/>
        <v>No Override</v>
      </c>
      <c r="S258" s="14">
        <f t="shared" si="42"/>
        <v>2</v>
      </c>
      <c r="T258" s="14" t="str">
        <f t="shared" si="43"/>
        <v/>
      </c>
    </row>
    <row r="259" spans="1:20" ht="22.8" x14ac:dyDescent="0.3">
      <c r="A259" s="224">
        <v>2</v>
      </c>
      <c r="C259" s="14">
        <f t="shared" si="36"/>
        <v>2</v>
      </c>
      <c r="D259" s="14" t="s">
        <v>1140</v>
      </c>
      <c r="E259" s="58" t="s">
        <v>1035</v>
      </c>
      <c r="F259" s="82" t="s">
        <v>1031</v>
      </c>
      <c r="G259" s="176" t="s">
        <v>1036</v>
      </c>
      <c r="H259" s="170" t="str">
        <f>'16. System Data Protection'!$J20</f>
        <v>Comment is required</v>
      </c>
      <c r="I259" s="14">
        <f>'16. System Data Protection'!$I20</f>
        <v>0</v>
      </c>
      <c r="J259" s="60" t="str">
        <f>IF(OR($I257="N/A",$I257="No"),"N/A",IF($I259="Yes","Adequate",IF($I259="No","Inadequate",IF($I259="Partial","Inadequate",IF(AND($I259="N/A",NOT($I257="No"),NOT($I257="N/A")),"Inadequate",IF(OR($I259="",$I259=0),"Blank","Error"))))))</f>
        <v>Blank</v>
      </c>
      <c r="K259" s="155" t="s">
        <v>1131</v>
      </c>
      <c r="L259" s="14" t="str">
        <f t="shared" si="35"/>
        <v>Blank</v>
      </c>
      <c r="N259" s="14" t="str">
        <f t="shared" si="37"/>
        <v/>
      </c>
      <c r="O259" s="14" t="str">
        <f t="shared" si="38"/>
        <v/>
      </c>
      <c r="P259" s="14" t="str">
        <f t="shared" si="39"/>
        <v>Comment is required</v>
      </c>
      <c r="Q259" s="14" t="str">
        <f t="shared" si="40"/>
        <v>Blank</v>
      </c>
      <c r="R259" s="14" t="str">
        <f t="shared" si="41"/>
        <v>No Override</v>
      </c>
      <c r="S259" s="14">
        <f t="shared" si="42"/>
        <v>2</v>
      </c>
      <c r="T259" s="14" t="str">
        <f t="shared" si="43"/>
        <v/>
      </c>
    </row>
    <row r="260" spans="1:20" ht="22.8" x14ac:dyDescent="0.3">
      <c r="A260" s="224">
        <v>2</v>
      </c>
      <c r="C260" s="14">
        <f t="shared" si="36"/>
        <v>2</v>
      </c>
      <c r="D260" s="14" t="s">
        <v>1140</v>
      </c>
      <c r="E260" s="58" t="s">
        <v>1037</v>
      </c>
      <c r="F260" s="82" t="s">
        <v>1039</v>
      </c>
      <c r="G260" s="176" t="s">
        <v>1040</v>
      </c>
      <c r="H260" s="170" t="str">
        <f>'16. System Data Protection'!$J21</f>
        <v>Comment is required</v>
      </c>
      <c r="I260" s="14">
        <f>'16. System Data Protection'!$I21</f>
        <v>0</v>
      </c>
      <c r="J260" s="14" t="str">
        <f t="shared" si="44"/>
        <v>Blank</v>
      </c>
      <c r="K260" s="155" t="s">
        <v>1131</v>
      </c>
      <c r="L260" s="14" t="str">
        <f t="shared" si="35"/>
        <v>Blank</v>
      </c>
      <c r="N260" s="14" t="str">
        <f t="shared" si="37"/>
        <v/>
      </c>
      <c r="O260" s="14" t="str">
        <f t="shared" si="38"/>
        <v/>
      </c>
      <c r="P260" s="14" t="str">
        <f t="shared" si="39"/>
        <v>Comment is required</v>
      </c>
      <c r="Q260" s="14" t="str">
        <f t="shared" si="40"/>
        <v>Blank</v>
      </c>
      <c r="R260" s="14" t="str">
        <f t="shared" si="41"/>
        <v>No Override</v>
      </c>
      <c r="S260" s="14">
        <f t="shared" si="42"/>
        <v>2</v>
      </c>
      <c r="T260" s="14" t="str">
        <f t="shared" si="43"/>
        <v/>
      </c>
    </row>
    <row r="261" spans="1:20" ht="34.200000000000003" x14ac:dyDescent="0.3">
      <c r="A261" s="224">
        <v>1</v>
      </c>
      <c r="C261" s="14">
        <f t="shared" si="36"/>
        <v>1</v>
      </c>
      <c r="D261" s="14" t="s">
        <v>1140</v>
      </c>
      <c r="E261" s="58" t="s">
        <v>1041</v>
      </c>
      <c r="F261" s="82" t="s">
        <v>1043</v>
      </c>
      <c r="G261" s="176" t="s">
        <v>1044</v>
      </c>
      <c r="H261" s="170" t="str">
        <f>'16. System Data Protection'!$J22</f>
        <v>Comment is required</v>
      </c>
      <c r="I261" s="14">
        <f>'16. System Data Protection'!$I22</f>
        <v>0</v>
      </c>
      <c r="J261" s="14" t="str">
        <f t="shared" si="44"/>
        <v>Blank</v>
      </c>
      <c r="K261" s="155" t="s">
        <v>1131</v>
      </c>
      <c r="L261" s="14" t="str">
        <f t="shared" si="35"/>
        <v>Blank</v>
      </c>
      <c r="N261" s="14" t="str">
        <f t="shared" si="37"/>
        <v/>
      </c>
      <c r="O261" s="14" t="str">
        <f t="shared" si="38"/>
        <v/>
      </c>
      <c r="P261" s="14" t="str">
        <f t="shared" si="39"/>
        <v>Comment is required</v>
      </c>
      <c r="Q261" s="14" t="str">
        <f t="shared" si="40"/>
        <v>Blank</v>
      </c>
      <c r="R261" s="14" t="str">
        <f t="shared" si="41"/>
        <v>No Override</v>
      </c>
      <c r="S261" s="14">
        <f t="shared" si="42"/>
        <v>1</v>
      </c>
      <c r="T261" s="14" t="str">
        <f t="shared" si="43"/>
        <v/>
      </c>
    </row>
    <row r="262" spans="1:20" ht="22.8" x14ac:dyDescent="0.3">
      <c r="A262" s="224">
        <v>4</v>
      </c>
      <c r="C262" s="14">
        <f t="shared" si="36"/>
        <v>4</v>
      </c>
      <c r="D262" s="14" t="s">
        <v>1140</v>
      </c>
      <c r="E262" s="58" t="s">
        <v>1045</v>
      </c>
      <c r="F262" s="82" t="s">
        <v>1047</v>
      </c>
      <c r="G262" s="176" t="s">
        <v>1048</v>
      </c>
      <c r="H262" s="170" t="str">
        <f>'16. System Data Protection'!$J23</f>
        <v>Comment is required</v>
      </c>
      <c r="I262" s="14">
        <f>'16. System Data Protection'!$I23</f>
        <v>0</v>
      </c>
      <c r="J262" s="14" t="str">
        <f t="shared" si="44"/>
        <v>Blank</v>
      </c>
      <c r="K262" s="155" t="s">
        <v>1131</v>
      </c>
      <c r="L262" s="14" t="str">
        <f t="shared" si="35"/>
        <v>Blank</v>
      </c>
      <c r="N262" s="14" t="str">
        <f t="shared" si="37"/>
        <v/>
      </c>
      <c r="O262" s="14" t="str">
        <f t="shared" si="38"/>
        <v/>
      </c>
      <c r="P262" s="14" t="str">
        <f t="shared" si="39"/>
        <v>Comment is required</v>
      </c>
      <c r="Q262" s="14" t="str">
        <f t="shared" si="40"/>
        <v>Blank</v>
      </c>
      <c r="R262" s="14" t="str">
        <f t="shared" si="41"/>
        <v>No Override</v>
      </c>
      <c r="S262" s="14">
        <f t="shared" si="42"/>
        <v>4</v>
      </c>
      <c r="T262" s="14" t="str">
        <f t="shared" si="43"/>
        <v/>
      </c>
    </row>
    <row r="263" spans="1:20" ht="22.8" x14ac:dyDescent="0.3">
      <c r="A263" s="224">
        <v>4</v>
      </c>
      <c r="C263" s="14">
        <f t="shared" si="36"/>
        <v>4</v>
      </c>
      <c r="D263" s="14" t="s">
        <v>1140</v>
      </c>
      <c r="E263" s="58" t="s">
        <v>1049</v>
      </c>
      <c r="F263" s="82" t="s">
        <v>1051</v>
      </c>
      <c r="G263" s="176" t="s">
        <v>1052</v>
      </c>
      <c r="H263" s="170" t="str">
        <f>'16. System Data Protection'!$J24</f>
        <v>Comment is required</v>
      </c>
      <c r="I263" s="14">
        <f>'16. System Data Protection'!$I24</f>
        <v>0</v>
      </c>
      <c r="J263" s="14" t="str">
        <f t="shared" si="44"/>
        <v>Blank</v>
      </c>
      <c r="K263" s="155" t="s">
        <v>1131</v>
      </c>
      <c r="L263" s="14" t="str">
        <f t="shared" si="35"/>
        <v>Blank</v>
      </c>
      <c r="N263" s="14" t="str">
        <f t="shared" si="37"/>
        <v/>
      </c>
      <c r="O263" s="14" t="str">
        <f t="shared" si="38"/>
        <v/>
      </c>
      <c r="P263" s="14" t="str">
        <f t="shared" si="39"/>
        <v>Comment is required</v>
      </c>
      <c r="Q263" s="14" t="str">
        <f t="shared" si="40"/>
        <v>Blank</v>
      </c>
      <c r="R263" s="14" t="str">
        <f t="shared" si="41"/>
        <v>No Override</v>
      </c>
      <c r="S263" s="14">
        <f t="shared" si="42"/>
        <v>4</v>
      </c>
      <c r="T263" s="14" t="str">
        <f t="shared" si="43"/>
        <v/>
      </c>
    </row>
    <row r="264" spans="1:20" ht="22.8" x14ac:dyDescent="0.3">
      <c r="A264" s="224">
        <v>4</v>
      </c>
      <c r="C264" s="14">
        <f t="shared" si="36"/>
        <v>4</v>
      </c>
      <c r="D264" s="14" t="s">
        <v>1140</v>
      </c>
      <c r="E264" s="58" t="s">
        <v>1053</v>
      </c>
      <c r="F264" s="82" t="s">
        <v>1055</v>
      </c>
      <c r="G264" s="176" t="s">
        <v>1056</v>
      </c>
      <c r="H264" s="170" t="str">
        <f>'16. System Data Protection'!$J25</f>
        <v>Comment is required</v>
      </c>
      <c r="I264" s="14">
        <f>'16. System Data Protection'!$I25</f>
        <v>0</v>
      </c>
      <c r="J264" s="14" t="str">
        <f t="shared" si="44"/>
        <v>Blank</v>
      </c>
      <c r="K264" s="155" t="s">
        <v>1131</v>
      </c>
      <c r="L264" s="14" t="str">
        <f t="shared" si="35"/>
        <v>Blank</v>
      </c>
      <c r="N264" s="14" t="str">
        <f t="shared" si="37"/>
        <v/>
      </c>
      <c r="O264" s="14" t="str">
        <f t="shared" si="38"/>
        <v/>
      </c>
      <c r="P264" s="14" t="str">
        <f t="shared" si="39"/>
        <v>Comment is required</v>
      </c>
      <c r="Q264" s="14" t="str">
        <f t="shared" si="40"/>
        <v>Blank</v>
      </c>
      <c r="R264" s="14" t="str">
        <f t="shared" si="41"/>
        <v>No Override</v>
      </c>
      <c r="S264" s="14">
        <f t="shared" si="42"/>
        <v>4</v>
      </c>
      <c r="T264" s="14" t="str">
        <f t="shared" si="43"/>
        <v/>
      </c>
    </row>
    <row r="265" spans="1:20" ht="22.8" x14ac:dyDescent="0.3">
      <c r="A265" s="224">
        <v>4</v>
      </c>
      <c r="C265" s="14">
        <f t="shared" si="36"/>
        <v>4</v>
      </c>
      <c r="D265" s="14" t="s">
        <v>1140</v>
      </c>
      <c r="E265" s="58" t="s">
        <v>1057</v>
      </c>
      <c r="F265" s="82" t="s">
        <v>1059</v>
      </c>
      <c r="G265" s="176" t="s">
        <v>1060</v>
      </c>
      <c r="H265" s="170" t="str">
        <f>'16. System Data Protection'!$J26</f>
        <v>Comment is required</v>
      </c>
      <c r="I265" s="14">
        <f>'16. System Data Protection'!$I26</f>
        <v>0</v>
      </c>
      <c r="J265" s="14" t="str">
        <f t="shared" si="44"/>
        <v>Blank</v>
      </c>
      <c r="K265" s="155" t="s">
        <v>1131</v>
      </c>
      <c r="L265" s="14" t="str">
        <f t="shared" si="35"/>
        <v>Blank</v>
      </c>
      <c r="N265" s="14" t="str">
        <f t="shared" si="37"/>
        <v/>
      </c>
      <c r="O265" s="14" t="str">
        <f t="shared" si="38"/>
        <v/>
      </c>
      <c r="P265" s="14" t="str">
        <f t="shared" si="39"/>
        <v>Comment is required</v>
      </c>
      <c r="Q265" s="14" t="str">
        <f t="shared" si="40"/>
        <v>Blank</v>
      </c>
      <c r="R265" s="14" t="str">
        <f t="shared" si="41"/>
        <v>No Override</v>
      </c>
      <c r="S265" s="14">
        <f t="shared" si="42"/>
        <v>4</v>
      </c>
      <c r="T265" s="14" t="str">
        <f t="shared" si="43"/>
        <v/>
      </c>
    </row>
    <row r="266" spans="1:20" x14ac:dyDescent="0.3">
      <c r="A266" s="224">
        <v>3</v>
      </c>
      <c r="C266" s="14">
        <f t="shared" si="36"/>
        <v>3</v>
      </c>
      <c r="D266" s="14" t="s">
        <v>1140</v>
      </c>
      <c r="E266" s="58" t="s">
        <v>1061</v>
      </c>
      <c r="F266" s="82" t="s">
        <v>1063</v>
      </c>
      <c r="G266" s="176" t="s">
        <v>1064</v>
      </c>
      <c r="H266" s="170" t="str">
        <f>'16. System Data Protection'!$J27</f>
        <v>Comment is required</v>
      </c>
      <c r="I266" s="14">
        <f>'16. System Data Protection'!$I27</f>
        <v>0</v>
      </c>
      <c r="J266" s="14" t="str">
        <f t="shared" si="44"/>
        <v>Blank</v>
      </c>
      <c r="K266" s="155" t="s">
        <v>1131</v>
      </c>
      <c r="L266" s="14" t="str">
        <f t="shared" si="35"/>
        <v>Blank</v>
      </c>
      <c r="N266" s="14" t="str">
        <f t="shared" si="37"/>
        <v/>
      </c>
      <c r="O266" s="14" t="str">
        <f t="shared" si="38"/>
        <v/>
      </c>
      <c r="P266" s="14" t="str">
        <f t="shared" si="39"/>
        <v>Comment is required</v>
      </c>
      <c r="Q266" s="14" t="str">
        <f t="shared" si="40"/>
        <v>Blank</v>
      </c>
      <c r="R266" s="14" t="str">
        <f t="shared" si="41"/>
        <v>No Override</v>
      </c>
      <c r="S266" s="14">
        <f t="shared" si="42"/>
        <v>3</v>
      </c>
      <c r="T266" s="14" t="str">
        <f t="shared" si="43"/>
        <v/>
      </c>
    </row>
    <row r="267" spans="1:20" ht="22.8" x14ac:dyDescent="0.3">
      <c r="A267" s="224">
        <v>1</v>
      </c>
      <c r="C267" s="14">
        <f t="shared" si="36"/>
        <v>1</v>
      </c>
      <c r="D267" s="14" t="s">
        <v>1140</v>
      </c>
      <c r="E267" s="58" t="s">
        <v>1065</v>
      </c>
      <c r="F267" s="82" t="s">
        <v>1067</v>
      </c>
      <c r="G267" s="176" t="s">
        <v>1339</v>
      </c>
      <c r="H267" s="170" t="str">
        <f>'16. System Data Protection'!$J28</f>
        <v>Comment is required</v>
      </c>
      <c r="I267" s="14">
        <f>'16. System Data Protection'!$I28</f>
        <v>0</v>
      </c>
      <c r="J267" s="14" t="str">
        <f t="shared" si="44"/>
        <v>Blank</v>
      </c>
      <c r="K267" s="155" t="s">
        <v>1131</v>
      </c>
      <c r="L267" s="14" t="str">
        <f t="shared" si="35"/>
        <v>Blank</v>
      </c>
      <c r="N267" s="14" t="str">
        <f t="shared" si="37"/>
        <v/>
      </c>
      <c r="O267" s="14" t="str">
        <f t="shared" si="38"/>
        <v/>
      </c>
      <c r="P267" s="14" t="str">
        <f t="shared" si="39"/>
        <v>Comment is required</v>
      </c>
      <c r="Q267" s="14" t="str">
        <f t="shared" si="40"/>
        <v>Blank</v>
      </c>
      <c r="R267" s="14" t="str">
        <f t="shared" si="41"/>
        <v>No Override</v>
      </c>
      <c r="S267" s="14">
        <f t="shared" si="42"/>
        <v>1</v>
      </c>
      <c r="T267" s="14" t="str">
        <f t="shared" si="43"/>
        <v/>
      </c>
    </row>
    <row r="268" spans="1:20" ht="22.8" x14ac:dyDescent="0.3">
      <c r="A268" s="224">
        <v>2</v>
      </c>
      <c r="C268" s="14">
        <f t="shared" si="36"/>
        <v>2</v>
      </c>
      <c r="D268" s="14" t="s">
        <v>1140</v>
      </c>
      <c r="E268" s="58" t="s">
        <v>1068</v>
      </c>
      <c r="F268" s="82" t="s">
        <v>1070</v>
      </c>
      <c r="G268" s="170" t="s">
        <v>1309</v>
      </c>
      <c r="H268" s="170" t="str">
        <f>'16. System Data Protection'!$J29</f>
        <v>Comment is required</v>
      </c>
      <c r="I268" s="14">
        <f>'16. System Data Protection'!$I29</f>
        <v>0</v>
      </c>
      <c r="J268" s="14" t="str">
        <f t="shared" si="44"/>
        <v>Blank</v>
      </c>
      <c r="K268" s="155" t="s">
        <v>1131</v>
      </c>
      <c r="L268" s="14" t="str">
        <f t="shared" si="35"/>
        <v>Blank</v>
      </c>
      <c r="N268" s="14" t="str">
        <f t="shared" si="37"/>
        <v/>
      </c>
      <c r="O268" s="14" t="str">
        <f t="shared" si="38"/>
        <v/>
      </c>
      <c r="P268" s="14" t="str">
        <f t="shared" si="39"/>
        <v>Comment is required</v>
      </c>
      <c r="Q268" s="14" t="str">
        <f t="shared" si="40"/>
        <v>Blank</v>
      </c>
      <c r="R268" s="14" t="str">
        <f t="shared" si="41"/>
        <v>No Override</v>
      </c>
      <c r="S268" s="14">
        <f t="shared" si="42"/>
        <v>2</v>
      </c>
      <c r="T268" s="14" t="str">
        <f t="shared" si="43"/>
        <v/>
      </c>
    </row>
    <row r="269" spans="1:20" ht="22.8" x14ac:dyDescent="0.3">
      <c r="A269" s="224">
        <v>4</v>
      </c>
      <c r="C269" s="14">
        <f t="shared" si="36"/>
        <v>4</v>
      </c>
      <c r="D269" s="14" t="s">
        <v>1141</v>
      </c>
      <c r="E269" s="58" t="s">
        <v>1072</v>
      </c>
      <c r="F269" s="82" t="s">
        <v>1075</v>
      </c>
      <c r="G269" s="170" t="s">
        <v>1076</v>
      </c>
      <c r="H269" s="176" t="str">
        <f>'17. System Data Integrity'!$J3</f>
        <v>Comment is required</v>
      </c>
      <c r="I269" s="14">
        <f>'17. System Data Integrity'!$I3</f>
        <v>0</v>
      </c>
      <c r="J269" s="14" t="str">
        <f t="shared" si="44"/>
        <v>Blank</v>
      </c>
      <c r="K269" s="155" t="s">
        <v>1131</v>
      </c>
      <c r="L269" s="14" t="str">
        <f t="shared" si="35"/>
        <v>Blank</v>
      </c>
      <c r="N269" s="14" t="str">
        <f t="shared" si="37"/>
        <v/>
      </c>
      <c r="O269" s="14" t="str">
        <f t="shared" si="38"/>
        <v/>
      </c>
      <c r="P269" s="14" t="str">
        <f t="shared" si="39"/>
        <v>Comment is required</v>
      </c>
      <c r="Q269" s="14" t="str">
        <f t="shared" si="40"/>
        <v>Blank</v>
      </c>
      <c r="R269" s="14" t="str">
        <f t="shared" si="41"/>
        <v>No Override</v>
      </c>
      <c r="S269" s="14">
        <f t="shared" si="42"/>
        <v>4</v>
      </c>
      <c r="T269" s="14" t="str">
        <f t="shared" si="43"/>
        <v/>
      </c>
    </row>
    <row r="270" spans="1:20" ht="22.8" x14ac:dyDescent="0.3">
      <c r="A270" s="224">
        <v>1</v>
      </c>
      <c r="C270" s="14">
        <f t="shared" si="36"/>
        <v>1</v>
      </c>
      <c r="D270" s="14" t="s">
        <v>1141</v>
      </c>
      <c r="E270" s="58" t="s">
        <v>199</v>
      </c>
      <c r="F270" s="82" t="s">
        <v>1078</v>
      </c>
      <c r="G270" s="176" t="s">
        <v>1079</v>
      </c>
      <c r="H270" s="176" t="str">
        <f>'17. System Data Integrity'!$J4</f>
        <v>Comment is required</v>
      </c>
      <c r="I270" s="14">
        <f>'17. System Data Integrity'!$I4</f>
        <v>0</v>
      </c>
      <c r="J270" s="14" t="str">
        <f t="shared" si="44"/>
        <v>Blank</v>
      </c>
      <c r="K270" s="155" t="s">
        <v>1131</v>
      </c>
      <c r="L270" s="14" t="str">
        <f t="shared" si="35"/>
        <v>Blank</v>
      </c>
      <c r="N270" s="14" t="str">
        <f t="shared" si="37"/>
        <v/>
      </c>
      <c r="O270" s="14" t="str">
        <f t="shared" si="38"/>
        <v/>
      </c>
      <c r="P270" s="14" t="str">
        <f t="shared" si="39"/>
        <v>Comment is required</v>
      </c>
      <c r="Q270" s="14" t="str">
        <f t="shared" si="40"/>
        <v>Blank</v>
      </c>
      <c r="R270" s="14" t="str">
        <f t="shared" si="41"/>
        <v>No Override</v>
      </c>
      <c r="S270" s="14">
        <f t="shared" si="42"/>
        <v>1</v>
      </c>
      <c r="T270" s="14" t="str">
        <f t="shared" si="43"/>
        <v/>
      </c>
    </row>
    <row r="271" spans="1:20" x14ac:dyDescent="0.3">
      <c r="A271" s="224">
        <v>1</v>
      </c>
      <c r="C271" s="14">
        <f t="shared" si="36"/>
        <v>1</v>
      </c>
      <c r="D271" s="14" t="s">
        <v>1141</v>
      </c>
      <c r="E271" s="58" t="s">
        <v>1080</v>
      </c>
      <c r="F271" s="82" t="s">
        <v>1078</v>
      </c>
      <c r="G271" s="176" t="s">
        <v>1081</v>
      </c>
      <c r="H271" s="176" t="str">
        <f>'17. System Data Integrity'!$J5</f>
        <v>Comment is required</v>
      </c>
      <c r="I271" s="14">
        <f>'17. System Data Integrity'!$I5</f>
        <v>0</v>
      </c>
      <c r="J271" s="14" t="str">
        <f t="shared" si="44"/>
        <v>Blank</v>
      </c>
      <c r="K271" s="155" t="s">
        <v>1131</v>
      </c>
      <c r="L271" s="14" t="str">
        <f t="shared" si="35"/>
        <v>Blank</v>
      </c>
      <c r="N271" s="14" t="str">
        <f t="shared" si="37"/>
        <v/>
      </c>
      <c r="O271" s="14" t="str">
        <f t="shared" si="38"/>
        <v/>
      </c>
      <c r="P271" s="14" t="str">
        <f t="shared" si="39"/>
        <v>Comment is required</v>
      </c>
      <c r="Q271" s="14" t="str">
        <f t="shared" si="40"/>
        <v>Blank</v>
      </c>
      <c r="R271" s="14" t="str">
        <f t="shared" si="41"/>
        <v>No Override</v>
      </c>
      <c r="S271" s="14">
        <f t="shared" si="42"/>
        <v>1</v>
      </c>
      <c r="T271" s="14" t="str">
        <f t="shared" si="43"/>
        <v/>
      </c>
    </row>
    <row r="272" spans="1:20" x14ac:dyDescent="0.3">
      <c r="A272" s="224">
        <v>1</v>
      </c>
      <c r="C272" s="14">
        <f t="shared" si="36"/>
        <v>1</v>
      </c>
      <c r="D272" s="14" t="s">
        <v>1141</v>
      </c>
      <c r="E272" s="58" t="s">
        <v>1082</v>
      </c>
      <c r="F272" s="82" t="s">
        <v>1078</v>
      </c>
      <c r="G272" s="176" t="s">
        <v>1083</v>
      </c>
      <c r="H272" s="176" t="str">
        <f>'17. System Data Integrity'!$J6</f>
        <v>Comment is required</v>
      </c>
      <c r="I272" s="14">
        <f>'17. System Data Integrity'!$I6</f>
        <v>0</v>
      </c>
      <c r="J272" s="14" t="str">
        <f t="shared" si="44"/>
        <v>Blank</v>
      </c>
      <c r="K272" s="155" t="s">
        <v>1131</v>
      </c>
      <c r="L272" s="14" t="str">
        <f t="shared" si="35"/>
        <v>Blank</v>
      </c>
      <c r="N272" s="14" t="str">
        <f t="shared" si="37"/>
        <v/>
      </c>
      <c r="O272" s="14" t="str">
        <f t="shared" si="38"/>
        <v/>
      </c>
      <c r="P272" s="14" t="str">
        <f t="shared" si="39"/>
        <v>Comment is required</v>
      </c>
      <c r="Q272" s="14" t="str">
        <f t="shared" si="40"/>
        <v>Blank</v>
      </c>
      <c r="R272" s="14" t="str">
        <f t="shared" si="41"/>
        <v>No Override</v>
      </c>
      <c r="S272" s="14">
        <f t="shared" si="42"/>
        <v>1</v>
      </c>
      <c r="T272" s="14" t="str">
        <f t="shared" si="43"/>
        <v/>
      </c>
    </row>
    <row r="273" spans="1:20" ht="22.8" x14ac:dyDescent="0.3">
      <c r="A273" s="224">
        <v>1</v>
      </c>
      <c r="C273" s="14">
        <f t="shared" si="36"/>
        <v>1</v>
      </c>
      <c r="D273" s="14" t="s">
        <v>1141</v>
      </c>
      <c r="E273" s="62" t="s">
        <v>1084</v>
      </c>
      <c r="F273" s="86" t="s">
        <v>1086</v>
      </c>
      <c r="G273" s="176" t="s">
        <v>1307</v>
      </c>
      <c r="H273" s="176" t="str">
        <f>'17. System Data Integrity'!$J7</f>
        <v>Comment is required</v>
      </c>
      <c r="I273" s="14">
        <f>'17. System Data Integrity'!$I7</f>
        <v>0</v>
      </c>
      <c r="J273" s="14" t="str">
        <f t="shared" si="44"/>
        <v>Blank</v>
      </c>
      <c r="K273" s="155" t="s">
        <v>1131</v>
      </c>
      <c r="L273" s="14" t="str">
        <f t="shared" si="35"/>
        <v>Blank</v>
      </c>
      <c r="N273" s="14" t="str">
        <f t="shared" si="37"/>
        <v/>
      </c>
      <c r="O273" s="14" t="str">
        <f t="shared" si="38"/>
        <v/>
      </c>
      <c r="P273" s="14" t="str">
        <f t="shared" si="39"/>
        <v>Comment is required</v>
      </c>
      <c r="Q273" s="14" t="str">
        <f t="shared" si="40"/>
        <v>Blank</v>
      </c>
      <c r="R273" s="14" t="str">
        <f t="shared" si="41"/>
        <v>No Override</v>
      </c>
      <c r="S273" s="14">
        <f t="shared" si="42"/>
        <v>1</v>
      </c>
      <c r="T273" s="14" t="str">
        <f t="shared" si="43"/>
        <v/>
      </c>
    </row>
    <row r="274" spans="1:20" x14ac:dyDescent="0.3">
      <c r="A274" s="224">
        <v>1</v>
      </c>
      <c r="C274" s="14">
        <f t="shared" si="36"/>
        <v>1</v>
      </c>
      <c r="D274" s="14" t="s">
        <v>1141</v>
      </c>
      <c r="E274" s="62" t="s">
        <v>1087</v>
      </c>
      <c r="F274" s="86" t="s">
        <v>1086</v>
      </c>
      <c r="G274" s="176" t="s">
        <v>1088</v>
      </c>
      <c r="H274" s="176" t="str">
        <f>'17. System Data Integrity'!$J8</f>
        <v>Comment is required</v>
      </c>
      <c r="I274" s="14">
        <f>'17. System Data Integrity'!$I8</f>
        <v>0</v>
      </c>
      <c r="J274" s="14" t="str">
        <f t="shared" si="44"/>
        <v>Blank</v>
      </c>
      <c r="K274" s="155" t="s">
        <v>1131</v>
      </c>
      <c r="L274" s="14" t="str">
        <f t="shared" ref="L274:L282" si="45">IF($K274="No Override",$J274,$K274)</f>
        <v>Blank</v>
      </c>
      <c r="N274" s="14" t="str">
        <f t="shared" si="37"/>
        <v/>
      </c>
      <c r="O274" s="14" t="str">
        <f t="shared" si="38"/>
        <v/>
      </c>
      <c r="P274" s="14" t="str">
        <f t="shared" si="39"/>
        <v>Comment is required</v>
      </c>
      <c r="Q274" s="14" t="str">
        <f t="shared" si="40"/>
        <v>Blank</v>
      </c>
      <c r="R274" s="14" t="str">
        <f t="shared" si="41"/>
        <v>No Override</v>
      </c>
      <c r="S274" s="14">
        <f t="shared" si="42"/>
        <v>1</v>
      </c>
      <c r="T274" s="14" t="str">
        <f t="shared" si="43"/>
        <v/>
      </c>
    </row>
    <row r="275" spans="1:20" x14ac:dyDescent="0.3">
      <c r="A275" s="224">
        <v>1</v>
      </c>
      <c r="C275" s="14">
        <f t="shared" ref="C275:C282" si="46">IF($B275="",$A275,$B275)</f>
        <v>1</v>
      </c>
      <c r="D275" s="14" t="s">
        <v>1141</v>
      </c>
      <c r="E275" s="62" t="s">
        <v>1089</v>
      </c>
      <c r="F275" s="86" t="s">
        <v>1086</v>
      </c>
      <c r="G275" s="176" t="s">
        <v>1090</v>
      </c>
      <c r="H275" s="176" t="str">
        <f>'17. System Data Integrity'!$J9</f>
        <v>Comment is required</v>
      </c>
      <c r="I275" s="14">
        <f>'17. System Data Integrity'!$I9</f>
        <v>0</v>
      </c>
      <c r="J275" s="14" t="str">
        <f t="shared" si="44"/>
        <v>Blank</v>
      </c>
      <c r="K275" s="155" t="s">
        <v>1131</v>
      </c>
      <c r="L275" s="14" t="str">
        <f t="shared" si="45"/>
        <v>Blank</v>
      </c>
      <c r="N275" s="14" t="str">
        <f t="shared" ref="N275:N282" si="47">IF($J275=$L275,"","***")</f>
        <v/>
      </c>
      <c r="O275" s="14" t="str">
        <f t="shared" ref="O275:O282" si="48">IF(OR($I275="",$I275=0),"",$I275)</f>
        <v/>
      </c>
      <c r="P275" s="14" t="str">
        <f t="shared" ref="P275:P282" si="49">IF(OR($H275="",$H275=0),"",$H275)</f>
        <v>Comment is required</v>
      </c>
      <c r="Q275" s="14" t="str">
        <f t="shared" ref="Q275:Q282" si="50">$L275</f>
        <v>Blank</v>
      </c>
      <c r="R275" s="14" t="str">
        <f t="shared" ref="R275:R282" si="51">$K275</f>
        <v>No Override</v>
      </c>
      <c r="S275" s="14">
        <f t="shared" ref="S275:S282" si="52">$C275</f>
        <v>1</v>
      </c>
      <c r="T275" s="14" t="str">
        <f t="shared" ref="T275:T282" si="53">IF($L275=$Q275,"","***")</f>
        <v/>
      </c>
    </row>
    <row r="276" spans="1:20" x14ac:dyDescent="0.3">
      <c r="A276" s="224">
        <v>1</v>
      </c>
      <c r="C276" s="14">
        <f t="shared" si="46"/>
        <v>1</v>
      </c>
      <c r="D276" s="14" t="s">
        <v>1141</v>
      </c>
      <c r="E276" s="62" t="s">
        <v>1091</v>
      </c>
      <c r="F276" s="86" t="s">
        <v>1086</v>
      </c>
      <c r="G276" s="176" t="s">
        <v>1092</v>
      </c>
      <c r="H276" s="176" t="str">
        <f>'17. System Data Integrity'!$J10</f>
        <v>Comment is required</v>
      </c>
      <c r="I276" s="14">
        <f>'17. System Data Integrity'!$I10</f>
        <v>0</v>
      </c>
      <c r="J276" s="14" t="str">
        <f t="shared" ref="J276:J282" si="54">IF($I276="Yes","Adequate",IF($I276="No","Inadequate",IF($I276="Partial","Inadequate",IF($I276="N/A","Inadequate",IF(OR($I276="",$I276=0),"Blank","Error")))))</f>
        <v>Blank</v>
      </c>
      <c r="K276" s="155" t="s">
        <v>1131</v>
      </c>
      <c r="L276" s="14" t="str">
        <f t="shared" si="45"/>
        <v>Blank</v>
      </c>
      <c r="N276" s="14" t="str">
        <f t="shared" si="47"/>
        <v/>
      </c>
      <c r="O276" s="14" t="str">
        <f t="shared" si="48"/>
        <v/>
      </c>
      <c r="P276" s="14" t="str">
        <f t="shared" si="49"/>
        <v>Comment is required</v>
      </c>
      <c r="Q276" s="14" t="str">
        <f t="shared" si="50"/>
        <v>Blank</v>
      </c>
      <c r="R276" s="14" t="str">
        <f t="shared" si="51"/>
        <v>No Override</v>
      </c>
      <c r="S276" s="14">
        <f t="shared" si="52"/>
        <v>1</v>
      </c>
      <c r="T276" s="14" t="str">
        <f t="shared" si="53"/>
        <v/>
      </c>
    </row>
    <row r="277" spans="1:20" ht="22.8" x14ac:dyDescent="0.3">
      <c r="A277" s="224">
        <v>1</v>
      </c>
      <c r="C277" s="14">
        <f t="shared" si="46"/>
        <v>1</v>
      </c>
      <c r="D277" s="14" t="s">
        <v>1141</v>
      </c>
      <c r="E277" s="58" t="s">
        <v>1093</v>
      </c>
      <c r="F277" s="82" t="s">
        <v>1096</v>
      </c>
      <c r="G277" s="176" t="s">
        <v>1097</v>
      </c>
      <c r="H277" s="176" t="str">
        <f>'17. System Data Integrity'!$J11</f>
        <v>Comment is required</v>
      </c>
      <c r="I277" s="14">
        <f>'17. System Data Integrity'!$I11</f>
        <v>0</v>
      </c>
      <c r="J277" s="14" t="str">
        <f t="shared" si="54"/>
        <v>Blank</v>
      </c>
      <c r="K277" s="155" t="s">
        <v>1131</v>
      </c>
      <c r="L277" s="14" t="str">
        <f t="shared" si="45"/>
        <v>Blank</v>
      </c>
      <c r="N277" s="14" t="str">
        <f t="shared" si="47"/>
        <v/>
      </c>
      <c r="O277" s="14" t="str">
        <f t="shared" si="48"/>
        <v/>
      </c>
      <c r="P277" s="14" t="str">
        <f t="shared" si="49"/>
        <v>Comment is required</v>
      </c>
      <c r="Q277" s="14" t="str">
        <f t="shared" si="50"/>
        <v>Blank</v>
      </c>
      <c r="R277" s="14" t="str">
        <f t="shared" si="51"/>
        <v>No Override</v>
      </c>
      <c r="S277" s="14">
        <f t="shared" si="52"/>
        <v>1</v>
      </c>
      <c r="T277" s="14" t="str">
        <f t="shared" si="53"/>
        <v/>
      </c>
    </row>
    <row r="278" spans="1:20" ht="22.8" x14ac:dyDescent="0.3">
      <c r="A278" s="224">
        <v>4</v>
      </c>
      <c r="C278" s="14">
        <f t="shared" si="46"/>
        <v>4</v>
      </c>
      <c r="D278" s="14" t="s">
        <v>1141</v>
      </c>
      <c r="E278" s="62" t="s">
        <v>1098</v>
      </c>
      <c r="F278" s="86" t="s">
        <v>1100</v>
      </c>
      <c r="G278" s="176" t="s">
        <v>1101</v>
      </c>
      <c r="H278" s="176" t="str">
        <f>'17. System Data Integrity'!$J12</f>
        <v>Comment is required</v>
      </c>
      <c r="I278" s="14">
        <f>'17. System Data Integrity'!$I12</f>
        <v>0</v>
      </c>
      <c r="J278" s="14" t="str">
        <f t="shared" si="54"/>
        <v>Blank</v>
      </c>
      <c r="K278" s="155" t="s">
        <v>1131</v>
      </c>
      <c r="L278" s="14" t="str">
        <f t="shared" si="45"/>
        <v>Blank</v>
      </c>
      <c r="N278" s="14" t="str">
        <f t="shared" si="47"/>
        <v/>
      </c>
      <c r="O278" s="14" t="str">
        <f t="shared" si="48"/>
        <v/>
      </c>
      <c r="P278" s="14" t="str">
        <f t="shared" si="49"/>
        <v>Comment is required</v>
      </c>
      <c r="Q278" s="14" t="str">
        <f t="shared" si="50"/>
        <v>Blank</v>
      </c>
      <c r="R278" s="14" t="str">
        <f t="shared" si="51"/>
        <v>No Override</v>
      </c>
      <c r="S278" s="14">
        <f t="shared" si="52"/>
        <v>4</v>
      </c>
      <c r="T278" s="14" t="str">
        <f t="shared" si="53"/>
        <v/>
      </c>
    </row>
    <row r="279" spans="1:20" x14ac:dyDescent="0.3">
      <c r="A279" s="224">
        <v>4</v>
      </c>
      <c r="C279" s="14">
        <f t="shared" si="46"/>
        <v>4</v>
      </c>
      <c r="D279" s="14" t="s">
        <v>1141</v>
      </c>
      <c r="E279" s="62" t="s">
        <v>1102</v>
      </c>
      <c r="F279" s="86" t="s">
        <v>1100</v>
      </c>
      <c r="G279" s="176" t="s">
        <v>1103</v>
      </c>
      <c r="H279" s="176" t="str">
        <f>'17. System Data Integrity'!$J13</f>
        <v>Comment is required</v>
      </c>
      <c r="I279" s="14">
        <f>'17. System Data Integrity'!$I13</f>
        <v>0</v>
      </c>
      <c r="J279" s="14" t="str">
        <f t="shared" si="54"/>
        <v>Blank</v>
      </c>
      <c r="K279" s="155" t="s">
        <v>1131</v>
      </c>
      <c r="L279" s="14" t="str">
        <f t="shared" si="45"/>
        <v>Blank</v>
      </c>
      <c r="N279" s="14" t="str">
        <f t="shared" si="47"/>
        <v/>
      </c>
      <c r="O279" s="14" t="str">
        <f t="shared" si="48"/>
        <v/>
      </c>
      <c r="P279" s="14" t="str">
        <f t="shared" si="49"/>
        <v>Comment is required</v>
      </c>
      <c r="Q279" s="14" t="str">
        <f t="shared" si="50"/>
        <v>Blank</v>
      </c>
      <c r="R279" s="14" t="str">
        <f t="shared" si="51"/>
        <v>No Override</v>
      </c>
      <c r="S279" s="14">
        <f t="shared" si="52"/>
        <v>4</v>
      </c>
      <c r="T279" s="14" t="str">
        <f t="shared" si="53"/>
        <v/>
      </c>
    </row>
    <row r="280" spans="1:20" ht="22.8" x14ac:dyDescent="0.3">
      <c r="A280" s="224">
        <v>1</v>
      </c>
      <c r="C280" s="14">
        <f t="shared" si="46"/>
        <v>1</v>
      </c>
      <c r="D280" s="14" t="s">
        <v>1141</v>
      </c>
      <c r="E280" s="58" t="s">
        <v>1104</v>
      </c>
      <c r="F280" s="82" t="s">
        <v>1107</v>
      </c>
      <c r="G280" s="176" t="s">
        <v>1108</v>
      </c>
      <c r="H280" s="176" t="str">
        <f>'17. System Data Integrity'!$J14</f>
        <v>Comment is required</v>
      </c>
      <c r="I280" s="14">
        <f>'17. System Data Integrity'!$I14</f>
        <v>0</v>
      </c>
      <c r="J280" s="14" t="str">
        <f t="shared" si="54"/>
        <v>Blank</v>
      </c>
      <c r="K280" s="155" t="s">
        <v>1131</v>
      </c>
      <c r="L280" s="14" t="str">
        <f t="shared" si="45"/>
        <v>Blank</v>
      </c>
      <c r="N280" s="14" t="str">
        <f t="shared" si="47"/>
        <v/>
      </c>
      <c r="O280" s="14" t="str">
        <f t="shared" si="48"/>
        <v/>
      </c>
      <c r="P280" s="14" t="str">
        <f t="shared" si="49"/>
        <v>Comment is required</v>
      </c>
      <c r="Q280" s="14" t="str">
        <f t="shared" si="50"/>
        <v>Blank</v>
      </c>
      <c r="R280" s="14" t="str">
        <f t="shared" si="51"/>
        <v>No Override</v>
      </c>
      <c r="S280" s="14">
        <f t="shared" si="52"/>
        <v>1</v>
      </c>
      <c r="T280" s="14" t="str">
        <f t="shared" si="53"/>
        <v/>
      </c>
    </row>
    <row r="281" spans="1:20" x14ac:dyDescent="0.3">
      <c r="A281" s="224">
        <v>2</v>
      </c>
      <c r="C281" s="14">
        <f t="shared" si="46"/>
        <v>2</v>
      </c>
      <c r="D281" s="14" t="s">
        <v>1141</v>
      </c>
      <c r="E281" s="58" t="s">
        <v>1109</v>
      </c>
      <c r="F281" s="82" t="s">
        <v>1111</v>
      </c>
      <c r="G281" s="176" t="s">
        <v>1308</v>
      </c>
      <c r="H281" s="176" t="str">
        <f>'17. System Data Integrity'!$J15</f>
        <v>Comment is required</v>
      </c>
      <c r="I281" s="14">
        <f>'17. System Data Integrity'!$I15</f>
        <v>0</v>
      </c>
      <c r="J281" s="14" t="str">
        <f t="shared" si="54"/>
        <v>Blank</v>
      </c>
      <c r="K281" s="155" t="s">
        <v>1131</v>
      </c>
      <c r="L281" s="14" t="str">
        <f t="shared" si="45"/>
        <v>Blank</v>
      </c>
      <c r="N281" s="14" t="str">
        <f t="shared" si="47"/>
        <v/>
      </c>
      <c r="O281" s="14" t="str">
        <f t="shared" si="48"/>
        <v/>
      </c>
      <c r="P281" s="14" t="str">
        <f t="shared" si="49"/>
        <v>Comment is required</v>
      </c>
      <c r="Q281" s="14" t="str">
        <f t="shared" si="50"/>
        <v>Blank</v>
      </c>
      <c r="R281" s="14" t="str">
        <f t="shared" si="51"/>
        <v>No Override</v>
      </c>
      <c r="S281" s="14">
        <f t="shared" si="52"/>
        <v>2</v>
      </c>
      <c r="T281" s="14" t="str">
        <f t="shared" si="53"/>
        <v/>
      </c>
    </row>
    <row r="282" spans="1:20" ht="22.8" x14ac:dyDescent="0.3">
      <c r="A282" s="224">
        <v>4</v>
      </c>
      <c r="C282" s="14">
        <f t="shared" si="46"/>
        <v>4</v>
      </c>
      <c r="D282" s="14" t="s">
        <v>1141</v>
      </c>
      <c r="E282" s="58" t="s">
        <v>1112</v>
      </c>
      <c r="F282" s="82" t="s">
        <v>1114</v>
      </c>
      <c r="G282" s="176" t="s">
        <v>1115</v>
      </c>
      <c r="H282" s="176" t="str">
        <f>'17. System Data Integrity'!$J16</f>
        <v>Comment is required</v>
      </c>
      <c r="I282" s="14">
        <f>'17. System Data Integrity'!$I16</f>
        <v>0</v>
      </c>
      <c r="J282" s="14" t="str">
        <f t="shared" si="54"/>
        <v>Blank</v>
      </c>
      <c r="K282" s="155" t="s">
        <v>1131</v>
      </c>
      <c r="L282" s="14" t="str">
        <f t="shared" si="45"/>
        <v>Blank</v>
      </c>
      <c r="N282" s="14" t="str">
        <f t="shared" si="47"/>
        <v/>
      </c>
      <c r="O282" s="14" t="str">
        <f t="shared" si="48"/>
        <v/>
      </c>
      <c r="P282" s="14" t="str">
        <f t="shared" si="49"/>
        <v>Comment is required</v>
      </c>
      <c r="Q282" s="14" t="str">
        <f t="shared" si="50"/>
        <v>Blank</v>
      </c>
      <c r="R282" s="14" t="str">
        <f t="shared" si="51"/>
        <v>No Override</v>
      </c>
      <c r="S282" s="14">
        <f t="shared" si="52"/>
        <v>4</v>
      </c>
      <c r="T282" s="14" t="str">
        <f t="shared" si="53"/>
        <v/>
      </c>
    </row>
  </sheetData>
  <sheetProtection selectLockedCells="1"/>
  <mergeCells count="1">
    <mergeCell ref="F1:J1"/>
  </mergeCells>
  <conditionalFormatting sqref="M9:M31 M33:M282">
    <cfRule type="expression" dxfId="19" priority="9">
      <formula>AND($I9="N/A",$H9&lt;&gt;0)</formula>
    </cfRule>
    <cfRule type="expression" dxfId="18" priority="10">
      <formula>AND($I9="N/A",$H9=0)</formula>
    </cfRule>
  </conditionalFormatting>
  <conditionalFormatting sqref="L9:L31 L104:L282 L33:L101">
    <cfRule type="expression" dxfId="17" priority="6">
      <formula>AND(AND($I9="Partial",$H9&lt;&gt;0),AND($I9="Partial",$H9&lt;&gt;"Comment is required"))</formula>
    </cfRule>
    <cfRule type="expression" dxfId="16" priority="7">
      <formula>AND(AND($I9="N/A",$H9&lt;&gt;0),AND($I9="N/A",$H9&lt;&gt;"Comment is required"))</formula>
    </cfRule>
    <cfRule type="expression" dxfId="15" priority="8">
      <formula>OR(AND($I9="N/A",OR($H9="Comment is required",$H9=0)),AND($I9="Partial",OR($H9="Comment is required",$H9=0)))</formula>
    </cfRule>
  </conditionalFormatting>
  <conditionalFormatting sqref="L102:L103">
    <cfRule type="expression" dxfId="14" priority="4">
      <formula>AND($I102="N/A",$H102&lt;&gt;0)</formula>
    </cfRule>
    <cfRule type="expression" dxfId="13" priority="5">
      <formula>AND($I102="N/A",$H102=0)</formula>
    </cfRule>
  </conditionalFormatting>
  <pageMargins left="0.7" right="0.7" top="0.75" bottom="0.75" header="0.3" footer="0.3"/>
  <pageSetup orientation="portrait" verticalDpi="0" r:id="rId1"/>
  <legacyDrawing r:id="rId2"/>
  <extLst>
    <ext xmlns:x14="http://schemas.microsoft.com/office/spreadsheetml/2009/9/main" uri="{78C0D931-6437-407d-A8EE-F0AAD7539E65}">
      <x14:conditionalFormattings>
        <x14:conditionalFormatting xmlns:xm="http://schemas.microsoft.com/office/excel/2006/main">
          <x14:cfRule type="expression" priority="1" id="{8AB30BF8-1E05-4226-90DA-136B86031A15}">
            <xm:f>AND(AND('Override Control Env1'!$I32="Partial",'Override Control Env1'!$H32&lt;&gt;0),AND('Override Control Env1'!$I32="Partial",'Override Control Env1'!$H32&lt;&gt;"Comment is required"))</xm:f>
            <x14:dxf>
              <fill>
                <patternFill>
                  <bgColor theme="7" tint="0.39994506668294322"/>
                </patternFill>
              </fill>
            </x14:dxf>
          </x14:cfRule>
          <x14:cfRule type="expression" priority="2" id="{4C6FE17E-24E3-4E9E-B7D1-29EB96D02E73}">
            <xm:f>AND(AND('Override Control Env1'!$I32="N/A",'Override Control Env1'!$H32&lt;&gt;0),AND('Override Control Env1'!$I32="N/A",'Override Control Env1'!$H32&lt;&gt;"Comment is required"))</xm:f>
            <x14:dxf>
              <fill>
                <patternFill>
                  <bgColor theme="7" tint="0.39994506668294322"/>
                </patternFill>
              </fill>
            </x14:dxf>
          </x14:cfRule>
          <x14:cfRule type="expression" priority="3" id="{1754D638-6BBB-4BB0-93D6-9789BEE75D1E}">
            <xm:f>OR(AND('Override Control Env1'!$I32="N/A",OR('Override Control Env1'!$H32="Comment is required",'Override Control Env1'!$H32=0)),AND('Override Control Env1'!$I32="Partial",OR('Override Control Env1'!$H32="Comment is required",'Override Control Env1'!$H32=0)))</xm:f>
            <x14:dxf>
              <fill>
                <patternFill>
                  <bgColor theme="5" tint="0.39994506668294322"/>
                </patternFill>
              </fill>
            </x14:dxf>
          </x14:cfRule>
          <xm:sqref>L32</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1C00-000000000000}">
          <x14:formula1>
            <xm:f>'Data Validation Key'!$C$21:$C$24</xm:f>
          </x14:formula1>
          <xm:sqref>K9:K282</xm:sqref>
        </x14:dataValidation>
      </x14:dataValidations>
    </ext>
  </extLst>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T282"/>
  <sheetViews>
    <sheetView zoomScaleNormal="100" workbookViewId="0">
      <pane ySplit="8" topLeftCell="A18" activePane="bottomLeft" state="frozen"/>
      <selection activeCell="G32" sqref="G32"/>
      <selection pane="bottomLeft" activeCell="G32" sqref="G32"/>
    </sheetView>
  </sheetViews>
  <sheetFormatPr defaultColWidth="9" defaultRowHeight="14.4" x14ac:dyDescent="0.3"/>
  <cols>
    <col min="1" max="1" width="4.44140625" style="14" bestFit="1" customWidth="1"/>
    <col min="2" max="2" width="8.88671875" style="14" bestFit="1" customWidth="1"/>
    <col min="3" max="3" width="7.44140625" style="14" bestFit="1" customWidth="1"/>
    <col min="4" max="4" width="18.109375" style="14" customWidth="1"/>
    <col min="5" max="5" width="12.5546875" style="14" customWidth="1"/>
    <col min="6" max="6" width="26.44140625" style="83" customWidth="1"/>
    <col min="7" max="7" width="86.5546875" style="178" customWidth="1"/>
    <col min="8" max="8" width="27.44140625" style="178" customWidth="1"/>
    <col min="9" max="9" width="15.44140625" style="14" customWidth="1"/>
    <col min="10" max="10" width="18.88671875" style="14" customWidth="1"/>
    <col min="11" max="11" width="11.88671875" style="14" bestFit="1" customWidth="1"/>
    <col min="12" max="12" width="14.44140625" style="14" bestFit="1" customWidth="1"/>
    <col min="13" max="13" width="14.44140625" style="14" customWidth="1"/>
    <col min="14" max="14" width="20.44140625" style="14" customWidth="1"/>
    <col min="15" max="15" width="10.109375" style="14" customWidth="1"/>
    <col min="16" max="16" width="18" style="14" customWidth="1"/>
    <col min="17" max="17" width="14" style="14" customWidth="1"/>
    <col min="18" max="18" width="9.6640625" style="14" customWidth="1"/>
    <col min="19" max="19" width="12.33203125" style="14" customWidth="1"/>
    <col min="20" max="20" width="22" style="14" customWidth="1"/>
    <col min="21" max="16384" width="9" style="14"/>
  </cols>
  <sheetData>
    <row r="1" spans="1:20" x14ac:dyDescent="0.3">
      <c r="F1" s="312" t="s">
        <v>1368</v>
      </c>
      <c r="G1" s="312"/>
      <c r="H1" s="312"/>
      <c r="I1" s="312"/>
      <c r="J1" s="312"/>
    </row>
    <row r="2" spans="1:20" ht="24.9" customHeight="1" x14ac:dyDescent="0.3">
      <c r="F2" s="207" t="s">
        <v>1373</v>
      </c>
      <c r="G2" s="208" t="s">
        <v>1374</v>
      </c>
      <c r="H2" s="208" t="s">
        <v>1372</v>
      </c>
      <c r="I2" s="207" t="s">
        <v>1364</v>
      </c>
      <c r="J2" s="207" t="s">
        <v>1371</v>
      </c>
    </row>
    <row r="3" spans="1:20" x14ac:dyDescent="0.3">
      <c r="F3" s="204" t="str">
        <f>IF(Scope!F6="Yes",_xlfn.CONCAT("Service ")&amp;IF(Scope!F7="Yes",_xlfn.CONCAT("Product"),""),IF(Scope!F7="Yes",_xlfn.CONCAT("Product"),"Blank"))</f>
        <v>Blank</v>
      </c>
      <c r="G3" s="205" t="str">
        <f>IF(Scope!F17="Yes","PHI","No PHI")</f>
        <v>No PHI</v>
      </c>
      <c r="H3" s="205" t="str">
        <f>IF(OR(Scope!F23="Yes",NOT(Scope!G23="")),"Workstation"&amp;_xlfn.CONCAT(" ,",Scope!G23),"")</f>
        <v/>
      </c>
      <c r="I3" s="206" t="str">
        <f>IF(Scope!F36="Yes",_xlfn.CONCAT("SOC 1 Type 1 ")&amp;IF(Scope!F37="Yes",_xlfn.CONCAT("SOC 1 Type 2"),""),IF(Scope!F37="Yes",_xlfn.CONCAT("SOC 1 Type 2"),"No SOC 1"))</f>
        <v>No SOC 1</v>
      </c>
      <c r="J3" s="206" t="str">
        <f>IF(Scope!F10="Yes",_xlfn.CONCAT("Remote Access Client Network ")&amp;IF(Scope!F11="Yes",_xlfn.CONCAT("Onsite Network Access"),""),IF(Scope!F11="Yes",_xlfn.CONCAT("Onsite Network Access"),""))</f>
        <v/>
      </c>
    </row>
    <row r="4" spans="1:20" x14ac:dyDescent="0.3">
      <c r="F4" s="204" t="str">
        <f>IF(Scope!F6="Yes",Scope!G6,"")&amp; " "&amp;IF(Scope!F7="Yes",Scope!G7,"")</f>
        <v xml:space="preserve"> </v>
      </c>
      <c r="G4" s="205" t="str">
        <f>IF(Scope!F18="Yes","PII","No PII")</f>
        <v>No PII</v>
      </c>
      <c r="H4" s="205" t="str">
        <f>IF(OR(Scope!F24="Yes",NOT(Scope!G24="")),"Mobile Device"&amp;_xlfn.CONCAT(" ,",Scope!G24),"")</f>
        <v/>
      </c>
      <c r="I4" s="206" t="str">
        <f>IF(Scope!F38="Yes",_xlfn.CONCAT("SOC 2 Type 1 ")&amp;IF(Scope!F39="Yes",_xlfn.CONCAT("SOC 2 Type 2"),""),IF(Scope!F39="Yes",_xlfn.CONCAT("SOC 2 Type 2"),"No SOC 2"))</f>
        <v>No SOC 2</v>
      </c>
      <c r="J4" s="206" t="str">
        <f>IF(Scope!F12="Yes",_xlfn.CONCAT("Access Client Infrastructure ")&amp;IF(Scope!F13="Yes",_xlfn.CONCAT("Access Application/Database"),""),IF(Scope!F13="Yes",_xlfn.CONCAT("Access Application/Database"),""))</f>
        <v/>
      </c>
    </row>
    <row r="5" spans="1:20" x14ac:dyDescent="0.3">
      <c r="F5" s="204"/>
      <c r="G5" s="205" t="str">
        <f>IF(Scope!F19="Yes","PCI","No PCI")</f>
        <v>No PCI</v>
      </c>
      <c r="H5" s="205" t="str">
        <f>IF(OR(Scope!F25="Yes",NOT(Scope!G25="")),"Medical Device"&amp;_xlfn.CONCAT(" ,",Scope!G25),"")</f>
        <v/>
      </c>
      <c r="I5" s="206" t="str">
        <f>IF(Scope!F40="Yes",_xlfn.CONCAT("SOC 3 ")&amp;IF(Scope!F41="Yes",_xlfn.CONCAT("HITRUST"),""),IF(Scope!F41="Yes",_xlfn.CONCAT("HITRUST"),""))</f>
        <v/>
      </c>
      <c r="J5" s="206" t="str">
        <f>IF(Scope!F14="Yes",_xlfn.CONCAT("Receive Client Data ")&amp;IF(Scope!F15="Yes",_xlfn.CONCAT("No Access"),""),IF(Scope!F15="Yes",_xlfn.CONCAT("No Access"),""))</f>
        <v/>
      </c>
    </row>
    <row r="6" spans="1:20" x14ac:dyDescent="0.3">
      <c r="F6" s="204"/>
      <c r="G6" s="205" t="str">
        <f>IF(Scope!F20="Yes",_xlfn.CONCAT("Employee Information ")&amp;IF(Scope!F21="Yes",_xlfn.CONCAT(" Proprietary Information")),IF(Scope!F21="Yes",_xlfn.CONCAT("Proprietary Information"),"No Employee or Proprietary Informaiton"))</f>
        <v>No Employee or Proprietary Informaiton</v>
      </c>
      <c r="H6" s="205" t="str">
        <f>IF(OR(Scope!F26="Yes",NOT(Scope!G26="")),"Other"&amp;_xlfn.CONCAT(" ,",Scope!G26),"")</f>
        <v/>
      </c>
      <c r="I6" s="206" t="str">
        <f>IF(Scope!F42="Yes",_xlfn.CONCAT("PCI DSS ")&amp;IF(Scope!F42="Yes",_xlfn.CONCAT("ISO 27001"),""),IF(Scope!F42="Yes",_xlfn.CONCAT("ISO 27001"),""))</f>
        <v/>
      </c>
      <c r="J6" s="206"/>
    </row>
    <row r="7" spans="1:20" x14ac:dyDescent="0.3">
      <c r="F7" s="204"/>
      <c r="G7" s="205"/>
      <c r="H7" s="205"/>
      <c r="I7" s="206" t="str">
        <f>IF(Scope!F44="Yes",_xlfn.CONCAT("FedRamp ")&amp;IF(Scope!F45="Yes",_xlfn.CONCAT("HIPAA"),""),IF(Scope!F43="Yes",_xlfn.CONCAT("HIPAA"),""))</f>
        <v/>
      </c>
      <c r="J7" s="206"/>
    </row>
    <row r="8" spans="1:20" x14ac:dyDescent="0.3">
      <c r="A8" s="59" t="s">
        <v>1124</v>
      </c>
      <c r="B8" s="59" t="s">
        <v>1179</v>
      </c>
      <c r="C8" s="59" t="s">
        <v>1180</v>
      </c>
      <c r="D8" s="59" t="s">
        <v>1127</v>
      </c>
      <c r="E8" s="59" t="s">
        <v>77</v>
      </c>
      <c r="F8" s="81" t="s">
        <v>78</v>
      </c>
      <c r="G8" s="169" t="s">
        <v>1160</v>
      </c>
      <c r="H8" s="169" t="s">
        <v>1181</v>
      </c>
      <c r="I8" s="59" t="s">
        <v>80</v>
      </c>
      <c r="J8" s="59" t="s">
        <v>1129</v>
      </c>
      <c r="K8" s="59" t="s">
        <v>1125</v>
      </c>
      <c r="L8" s="59" t="s">
        <v>1126</v>
      </c>
      <c r="M8" s="59" t="s">
        <v>1363</v>
      </c>
      <c r="N8" s="95" t="s">
        <v>1182</v>
      </c>
      <c r="O8" s="95" t="s">
        <v>117</v>
      </c>
      <c r="P8" s="95" t="s">
        <v>118</v>
      </c>
      <c r="Q8" s="95" t="s">
        <v>1183</v>
      </c>
      <c r="R8" s="95" t="s">
        <v>1130</v>
      </c>
      <c r="S8" s="95" t="s">
        <v>1184</v>
      </c>
      <c r="T8" s="95" t="s">
        <v>1185</v>
      </c>
    </row>
    <row r="9" spans="1:20" x14ac:dyDescent="0.3">
      <c r="A9" s="224">
        <v>3</v>
      </c>
      <c r="C9" s="14">
        <f>IF($B9="",$A9,$B9)</f>
        <v>3</v>
      </c>
      <c r="D9" s="14" t="s">
        <v>1128</v>
      </c>
      <c r="E9" s="58" t="s">
        <v>203</v>
      </c>
      <c r="F9" s="82" t="s">
        <v>206</v>
      </c>
      <c r="G9" s="170" t="s">
        <v>207</v>
      </c>
      <c r="H9" s="170" t="str">
        <f>'1. Access Controls'!$L3</f>
        <v>Comment is required</v>
      </c>
      <c r="I9" s="14">
        <f>'1. Access Controls'!$K3</f>
        <v>0</v>
      </c>
      <c r="J9" s="14" t="str">
        <f t="shared" ref="J9:J20" si="0">IF($I9="Yes","Adequate",IF($I9="No","Inadequate",IF($I9="Partial","Inadequate",IF($I9="N/A","Inadequate",IF(OR($I9="",$I9=0),"Blank","Error")))))</f>
        <v>Blank</v>
      </c>
      <c r="K9" s="155" t="s">
        <v>1131</v>
      </c>
      <c r="L9" s="14" t="str">
        <f t="shared" ref="L9:L75" si="1">IF($K9="No Override",$J9,$K9)</f>
        <v>Blank</v>
      </c>
      <c r="N9" s="14" t="str">
        <f>IF($J9=$L9,"","***")</f>
        <v/>
      </c>
      <c r="O9" s="14" t="str">
        <f>IF(OR($I9="",$I9=0),"",$I9)</f>
        <v/>
      </c>
      <c r="P9" s="14" t="str">
        <f>IF(OR($H9="",$H9=0),"",$H9)</f>
        <v>Comment is required</v>
      </c>
      <c r="Q9" s="14" t="str">
        <f>$L9</f>
        <v>Blank</v>
      </c>
      <c r="R9" s="14" t="str">
        <f>$K9</f>
        <v>No Override</v>
      </c>
      <c r="S9" s="14">
        <f>$C9</f>
        <v>3</v>
      </c>
      <c r="T9" s="14" t="str">
        <f>IF($L9=$Q9,"","***")</f>
        <v/>
      </c>
    </row>
    <row r="10" spans="1:20" ht="22.8" x14ac:dyDescent="0.3">
      <c r="A10" s="224">
        <v>1</v>
      </c>
      <c r="C10" s="14">
        <f t="shared" ref="C10:C76" si="2">IF($B10="",$A10,$B10)</f>
        <v>1</v>
      </c>
      <c r="D10" s="14" t="s">
        <v>1128</v>
      </c>
      <c r="E10" s="58" t="s">
        <v>208</v>
      </c>
      <c r="F10" s="82" t="s">
        <v>211</v>
      </c>
      <c r="G10" s="170" t="s">
        <v>212</v>
      </c>
      <c r="H10" s="170" t="str">
        <f>'1. Access Controls'!$L4</f>
        <v>Comment is required</v>
      </c>
      <c r="I10" s="14">
        <f>'1. Access Controls'!$K4</f>
        <v>0</v>
      </c>
      <c r="J10" s="14" t="str">
        <f t="shared" si="0"/>
        <v>Blank</v>
      </c>
      <c r="K10" s="155" t="s">
        <v>1131</v>
      </c>
      <c r="L10" s="14" t="str">
        <f t="shared" si="1"/>
        <v>Blank</v>
      </c>
      <c r="N10" s="14" t="str">
        <f t="shared" ref="N10:N76" si="3">IF($J10=$L10,"","***")</f>
        <v/>
      </c>
      <c r="O10" s="14" t="str">
        <f t="shared" ref="O10:O76" si="4">IF(OR($I10="",$I10=0),"",$I10)</f>
        <v/>
      </c>
      <c r="P10" s="14" t="str">
        <f t="shared" ref="P10:P76" si="5">IF(OR($H10="",$H10=0),"",$H10)</f>
        <v>Comment is required</v>
      </c>
      <c r="Q10" s="14" t="str">
        <f t="shared" ref="Q10:Q76" si="6">$L10</f>
        <v>Blank</v>
      </c>
      <c r="R10" s="14" t="str">
        <f t="shared" ref="R10:R76" si="7">$K10</f>
        <v>No Override</v>
      </c>
      <c r="S10" s="14">
        <f t="shared" ref="S10:S76" si="8">$C10</f>
        <v>1</v>
      </c>
      <c r="T10" s="14" t="str">
        <f t="shared" ref="T10:T76" si="9">IF($L10=$Q10,"","***")</f>
        <v/>
      </c>
    </row>
    <row r="11" spans="1:20" x14ac:dyDescent="0.3">
      <c r="A11" s="224">
        <v>1</v>
      </c>
      <c r="C11" s="14">
        <f t="shared" si="2"/>
        <v>1</v>
      </c>
      <c r="D11" s="14" t="s">
        <v>1128</v>
      </c>
      <c r="E11" s="58" t="s">
        <v>213</v>
      </c>
      <c r="F11" s="82" t="s">
        <v>211</v>
      </c>
      <c r="G11" s="170" t="s">
        <v>214</v>
      </c>
      <c r="H11" s="170" t="str">
        <f>'1. Access Controls'!$L5</f>
        <v>Comment is required</v>
      </c>
      <c r="I11" s="14">
        <f>'1. Access Controls'!$K5</f>
        <v>0</v>
      </c>
      <c r="J11" s="14" t="str">
        <f t="shared" si="0"/>
        <v>Blank</v>
      </c>
      <c r="K11" s="155" t="s">
        <v>1131</v>
      </c>
      <c r="L11" s="14" t="str">
        <f t="shared" si="1"/>
        <v>Blank</v>
      </c>
      <c r="N11" s="14" t="str">
        <f t="shared" si="3"/>
        <v/>
      </c>
      <c r="O11" s="14" t="str">
        <f t="shared" si="4"/>
        <v/>
      </c>
      <c r="P11" s="14" t="str">
        <f t="shared" si="5"/>
        <v>Comment is required</v>
      </c>
      <c r="Q11" s="14" t="str">
        <f t="shared" si="6"/>
        <v>Blank</v>
      </c>
      <c r="R11" s="14" t="str">
        <f t="shared" si="7"/>
        <v>No Override</v>
      </c>
      <c r="S11" s="14">
        <f t="shared" si="8"/>
        <v>1</v>
      </c>
      <c r="T11" s="14" t="str">
        <f t="shared" si="9"/>
        <v/>
      </c>
    </row>
    <row r="12" spans="1:20" x14ac:dyDescent="0.3">
      <c r="A12" s="224">
        <v>1</v>
      </c>
      <c r="C12" s="14">
        <f t="shared" si="2"/>
        <v>1</v>
      </c>
      <c r="D12" s="14" t="s">
        <v>1128</v>
      </c>
      <c r="E12" s="58" t="s">
        <v>215</v>
      </c>
      <c r="F12" s="82" t="s">
        <v>211</v>
      </c>
      <c r="G12" s="170" t="s">
        <v>216</v>
      </c>
      <c r="H12" s="170" t="str">
        <f>'1. Access Controls'!$L6</f>
        <v>Comment is required</v>
      </c>
      <c r="I12" s="14">
        <f>'1. Access Controls'!$K6</f>
        <v>0</v>
      </c>
      <c r="J12" s="14" t="str">
        <f t="shared" si="0"/>
        <v>Blank</v>
      </c>
      <c r="K12" s="155" t="s">
        <v>1131</v>
      </c>
      <c r="L12" s="14" t="str">
        <f t="shared" si="1"/>
        <v>Blank</v>
      </c>
      <c r="N12" s="14" t="str">
        <f t="shared" si="3"/>
        <v/>
      </c>
      <c r="O12" s="14" t="str">
        <f t="shared" si="4"/>
        <v/>
      </c>
      <c r="P12" s="14" t="str">
        <f t="shared" si="5"/>
        <v>Comment is required</v>
      </c>
      <c r="Q12" s="14" t="str">
        <f t="shared" si="6"/>
        <v>Blank</v>
      </c>
      <c r="R12" s="14" t="str">
        <f t="shared" si="7"/>
        <v>No Override</v>
      </c>
      <c r="S12" s="14">
        <f t="shared" si="8"/>
        <v>1</v>
      </c>
      <c r="T12" s="14" t="str">
        <f t="shared" si="9"/>
        <v/>
      </c>
    </row>
    <row r="13" spans="1:20" ht="22.8" x14ac:dyDescent="0.3">
      <c r="A13" s="224">
        <v>1</v>
      </c>
      <c r="C13" s="14">
        <f t="shared" si="2"/>
        <v>1</v>
      </c>
      <c r="D13" s="14" t="s">
        <v>1128</v>
      </c>
      <c r="E13" s="58" t="s">
        <v>217</v>
      </c>
      <c r="F13" s="82" t="s">
        <v>211</v>
      </c>
      <c r="G13" s="170" t="s">
        <v>218</v>
      </c>
      <c r="H13" s="170" t="str">
        <f>'1. Access Controls'!$L7</f>
        <v>Comment is required</v>
      </c>
      <c r="I13" s="14">
        <f>'1. Access Controls'!$K7</f>
        <v>0</v>
      </c>
      <c r="J13" s="14" t="str">
        <f t="shared" si="0"/>
        <v>Blank</v>
      </c>
      <c r="K13" s="155" t="s">
        <v>1131</v>
      </c>
      <c r="L13" s="14" t="str">
        <f t="shared" si="1"/>
        <v>Blank</v>
      </c>
      <c r="N13" s="14" t="str">
        <f t="shared" si="3"/>
        <v/>
      </c>
      <c r="O13" s="14" t="str">
        <f t="shared" si="4"/>
        <v/>
      </c>
      <c r="P13" s="14" t="str">
        <f t="shared" si="5"/>
        <v>Comment is required</v>
      </c>
      <c r="Q13" s="14" t="str">
        <f t="shared" si="6"/>
        <v>Blank</v>
      </c>
      <c r="R13" s="14" t="str">
        <f t="shared" si="7"/>
        <v>No Override</v>
      </c>
      <c r="S13" s="14">
        <f t="shared" si="8"/>
        <v>1</v>
      </c>
      <c r="T13" s="14" t="str">
        <f t="shared" si="9"/>
        <v/>
      </c>
    </row>
    <row r="14" spans="1:20" x14ac:dyDescent="0.3">
      <c r="A14" s="224">
        <v>1</v>
      </c>
      <c r="C14" s="14">
        <f t="shared" si="2"/>
        <v>1</v>
      </c>
      <c r="D14" s="14" t="s">
        <v>1128</v>
      </c>
      <c r="E14" s="58" t="s">
        <v>219</v>
      </c>
      <c r="F14" s="82" t="s">
        <v>211</v>
      </c>
      <c r="G14" s="170" t="s">
        <v>220</v>
      </c>
      <c r="H14" s="170" t="str">
        <f>'1. Access Controls'!$L8</f>
        <v>Comment is required</v>
      </c>
      <c r="I14" s="14">
        <f>'1. Access Controls'!$K8</f>
        <v>0</v>
      </c>
      <c r="J14" s="14" t="str">
        <f t="shared" si="0"/>
        <v>Blank</v>
      </c>
      <c r="K14" s="155" t="s">
        <v>1131</v>
      </c>
      <c r="L14" s="14" t="str">
        <f t="shared" si="1"/>
        <v>Blank</v>
      </c>
      <c r="N14" s="14" t="str">
        <f t="shared" si="3"/>
        <v/>
      </c>
      <c r="O14" s="14" t="str">
        <f t="shared" si="4"/>
        <v/>
      </c>
      <c r="P14" s="14" t="str">
        <f t="shared" si="5"/>
        <v>Comment is required</v>
      </c>
      <c r="Q14" s="14" t="str">
        <f t="shared" si="6"/>
        <v>Blank</v>
      </c>
      <c r="R14" s="14" t="str">
        <f t="shared" si="7"/>
        <v>No Override</v>
      </c>
      <c r="S14" s="14">
        <f t="shared" si="8"/>
        <v>1</v>
      </c>
      <c r="T14" s="14" t="str">
        <f t="shared" si="9"/>
        <v/>
      </c>
    </row>
    <row r="15" spans="1:20" ht="22.8" x14ac:dyDescent="0.3">
      <c r="A15" s="224">
        <v>1</v>
      </c>
      <c r="C15" s="14">
        <f>IF($B15="",$A15,$B15)</f>
        <v>1</v>
      </c>
      <c r="D15" s="14" t="s">
        <v>1128</v>
      </c>
      <c r="E15" s="58" t="s">
        <v>221</v>
      </c>
      <c r="F15" s="82" t="s">
        <v>224</v>
      </c>
      <c r="G15" s="170" t="s">
        <v>225</v>
      </c>
      <c r="H15" s="170" t="str">
        <f>'1. Access Controls'!$L9</f>
        <v>Comment is required</v>
      </c>
      <c r="I15" s="14">
        <f>'1. Access Controls'!$K9</f>
        <v>0</v>
      </c>
      <c r="J15" s="14" t="str">
        <f t="shared" si="0"/>
        <v>Blank</v>
      </c>
      <c r="K15" s="155" t="s">
        <v>1131</v>
      </c>
      <c r="L15" s="14" t="str">
        <f t="shared" si="1"/>
        <v>Blank</v>
      </c>
      <c r="N15" s="14" t="str">
        <f t="shared" si="3"/>
        <v/>
      </c>
      <c r="O15" s="14" t="str">
        <f t="shared" si="4"/>
        <v/>
      </c>
      <c r="P15" s="14" t="str">
        <f t="shared" si="5"/>
        <v>Comment is required</v>
      </c>
      <c r="Q15" s="14" t="str">
        <f t="shared" si="6"/>
        <v>Blank</v>
      </c>
      <c r="R15" s="14" t="str">
        <f t="shared" si="7"/>
        <v>No Override</v>
      </c>
      <c r="S15" s="14">
        <f t="shared" si="8"/>
        <v>1</v>
      </c>
      <c r="T15" s="14" t="str">
        <f t="shared" si="9"/>
        <v/>
      </c>
    </row>
    <row r="16" spans="1:20" x14ac:dyDescent="0.3">
      <c r="A16" s="224">
        <v>3</v>
      </c>
      <c r="C16" s="14">
        <f>IF($B16="",$A16,$B16)</f>
        <v>3</v>
      </c>
      <c r="D16" s="14" t="s">
        <v>1128</v>
      </c>
      <c r="E16" s="58" t="s">
        <v>1289</v>
      </c>
      <c r="F16" s="82" t="s">
        <v>224</v>
      </c>
      <c r="G16" s="170" t="s">
        <v>1291</v>
      </c>
      <c r="H16" s="170" t="str">
        <f>'1. Access Controls'!$L10</f>
        <v>Comment is required</v>
      </c>
      <c r="I16" s="14">
        <f>'1. Access Controls'!$K10</f>
        <v>0</v>
      </c>
      <c r="J16" s="14" t="str">
        <f t="shared" si="0"/>
        <v>Blank</v>
      </c>
      <c r="K16" s="155" t="s">
        <v>1131</v>
      </c>
      <c r="L16" s="14" t="str">
        <f t="shared" si="1"/>
        <v>Blank</v>
      </c>
      <c r="N16" s="14" t="str">
        <f t="shared" si="3"/>
        <v/>
      </c>
      <c r="O16" s="14" t="str">
        <f t="shared" si="4"/>
        <v/>
      </c>
      <c r="P16" s="14" t="str">
        <f t="shared" si="5"/>
        <v>Comment is required</v>
      </c>
      <c r="Q16" s="14" t="str">
        <f t="shared" si="6"/>
        <v>Blank</v>
      </c>
      <c r="R16" s="14" t="str">
        <f t="shared" si="7"/>
        <v>No Override</v>
      </c>
      <c r="S16" s="14">
        <f t="shared" si="8"/>
        <v>3</v>
      </c>
      <c r="T16" s="14" t="str">
        <f t="shared" si="9"/>
        <v/>
      </c>
    </row>
    <row r="17" spans="1:20" x14ac:dyDescent="0.3">
      <c r="A17" s="224">
        <v>4</v>
      </c>
      <c r="C17" s="14">
        <f>IF($B17="",$A17,$B17)</f>
        <v>4</v>
      </c>
      <c r="D17" s="14" t="s">
        <v>1128</v>
      </c>
      <c r="E17" s="58" t="s">
        <v>1290</v>
      </c>
      <c r="F17" s="82" t="s">
        <v>224</v>
      </c>
      <c r="G17" s="170" t="s">
        <v>1292</v>
      </c>
      <c r="H17" s="170" t="str">
        <f>'1. Access Controls'!$L11</f>
        <v>Comment is required</v>
      </c>
      <c r="I17" s="14">
        <f>'1. Access Controls'!$K11</f>
        <v>0</v>
      </c>
      <c r="J17" s="14" t="str">
        <f t="shared" si="0"/>
        <v>Blank</v>
      </c>
      <c r="K17" s="155" t="s">
        <v>1131</v>
      </c>
      <c r="L17" s="14" t="str">
        <f t="shared" si="1"/>
        <v>Blank</v>
      </c>
      <c r="N17" s="14" t="str">
        <f t="shared" si="3"/>
        <v/>
      </c>
      <c r="O17" s="14" t="str">
        <f t="shared" si="4"/>
        <v/>
      </c>
      <c r="P17" s="14" t="str">
        <f t="shared" si="5"/>
        <v>Comment is required</v>
      </c>
      <c r="Q17" s="14" t="str">
        <f t="shared" si="6"/>
        <v>Blank</v>
      </c>
      <c r="R17" s="14" t="str">
        <f t="shared" si="7"/>
        <v>No Override</v>
      </c>
      <c r="S17" s="14">
        <f t="shared" si="8"/>
        <v>4</v>
      </c>
      <c r="T17" s="14" t="str">
        <f t="shared" si="9"/>
        <v/>
      </c>
    </row>
    <row r="18" spans="1:20" ht="22.8" x14ac:dyDescent="0.3">
      <c r="A18" s="224">
        <v>2</v>
      </c>
      <c r="C18" s="14">
        <f t="shared" si="2"/>
        <v>2</v>
      </c>
      <c r="D18" s="14" t="s">
        <v>1128</v>
      </c>
      <c r="E18" s="58" t="s">
        <v>226</v>
      </c>
      <c r="F18" s="82" t="s">
        <v>229</v>
      </c>
      <c r="G18" s="170" t="s">
        <v>230</v>
      </c>
      <c r="H18" s="170" t="str">
        <f>'1. Access Controls'!$L12</f>
        <v>Comment is required</v>
      </c>
      <c r="I18" s="14">
        <f>'1. Access Controls'!$K12</f>
        <v>0</v>
      </c>
      <c r="J18" s="14" t="str">
        <f t="shared" si="0"/>
        <v>Blank</v>
      </c>
      <c r="K18" s="155" t="s">
        <v>1131</v>
      </c>
      <c r="L18" s="14" t="str">
        <f t="shared" si="1"/>
        <v>Blank</v>
      </c>
      <c r="N18" s="14" t="str">
        <f t="shared" si="3"/>
        <v/>
      </c>
      <c r="O18" s="14" t="str">
        <f t="shared" si="4"/>
        <v/>
      </c>
      <c r="P18" s="14" t="str">
        <f t="shared" si="5"/>
        <v>Comment is required</v>
      </c>
      <c r="Q18" s="14" t="str">
        <f t="shared" si="6"/>
        <v>Blank</v>
      </c>
      <c r="R18" s="14" t="str">
        <f t="shared" si="7"/>
        <v>No Override</v>
      </c>
      <c r="S18" s="14">
        <f t="shared" si="8"/>
        <v>2</v>
      </c>
      <c r="T18" s="14" t="str">
        <f t="shared" si="9"/>
        <v/>
      </c>
    </row>
    <row r="19" spans="1:20" ht="22.8" x14ac:dyDescent="0.3">
      <c r="A19" s="224">
        <v>4</v>
      </c>
      <c r="C19" s="14">
        <f t="shared" si="2"/>
        <v>4</v>
      </c>
      <c r="D19" s="14" t="s">
        <v>1128</v>
      </c>
      <c r="E19" s="58" t="s">
        <v>231</v>
      </c>
      <c r="F19" s="82" t="s">
        <v>234</v>
      </c>
      <c r="G19" s="170" t="s">
        <v>235</v>
      </c>
      <c r="H19" s="170" t="str">
        <f>'1. Access Controls'!$L13</f>
        <v>Comment is required</v>
      </c>
      <c r="I19" s="14">
        <f>'1. Access Controls'!$K13</f>
        <v>0</v>
      </c>
      <c r="J19" s="14" t="str">
        <f t="shared" si="0"/>
        <v>Blank</v>
      </c>
      <c r="K19" s="155" t="s">
        <v>1131</v>
      </c>
      <c r="L19" s="14" t="str">
        <f t="shared" si="1"/>
        <v>Blank</v>
      </c>
      <c r="N19" s="14" t="str">
        <f t="shared" si="3"/>
        <v/>
      </c>
      <c r="O19" s="14" t="str">
        <f t="shared" si="4"/>
        <v/>
      </c>
      <c r="P19" s="14" t="str">
        <f t="shared" si="5"/>
        <v>Comment is required</v>
      </c>
      <c r="Q19" s="14" t="str">
        <f t="shared" si="6"/>
        <v>Blank</v>
      </c>
      <c r="R19" s="14" t="str">
        <f t="shared" si="7"/>
        <v>No Override</v>
      </c>
      <c r="S19" s="14">
        <f t="shared" si="8"/>
        <v>4</v>
      </c>
      <c r="T19" s="14" t="str">
        <f t="shared" si="9"/>
        <v/>
      </c>
    </row>
    <row r="20" spans="1:20" ht="22.8" x14ac:dyDescent="0.3">
      <c r="A20" s="224">
        <v>2</v>
      </c>
      <c r="C20" s="14">
        <f t="shared" si="2"/>
        <v>2</v>
      </c>
      <c r="D20" s="14" t="s">
        <v>1128</v>
      </c>
      <c r="E20" s="58" t="s">
        <v>236</v>
      </c>
      <c r="F20" s="82" t="s">
        <v>239</v>
      </c>
      <c r="G20" s="170" t="s">
        <v>240</v>
      </c>
      <c r="H20" s="170" t="str">
        <f>'1. Access Controls'!$L14</f>
        <v>Comment is required</v>
      </c>
      <c r="I20" s="14">
        <f>'1. Access Controls'!$K14</f>
        <v>0</v>
      </c>
      <c r="J20" s="14" t="str">
        <f t="shared" si="0"/>
        <v>Blank</v>
      </c>
      <c r="K20" s="155" t="s">
        <v>1131</v>
      </c>
      <c r="L20" s="14" t="str">
        <f t="shared" si="1"/>
        <v>Blank</v>
      </c>
      <c r="N20" s="14" t="str">
        <f t="shared" si="3"/>
        <v/>
      </c>
      <c r="O20" s="14" t="str">
        <f t="shared" si="4"/>
        <v/>
      </c>
      <c r="P20" s="14" t="str">
        <f t="shared" si="5"/>
        <v>Comment is required</v>
      </c>
      <c r="Q20" s="14" t="str">
        <f t="shared" si="6"/>
        <v>Blank</v>
      </c>
      <c r="R20" s="14" t="str">
        <f t="shared" si="7"/>
        <v>No Override</v>
      </c>
      <c r="S20" s="14">
        <f t="shared" si="8"/>
        <v>2</v>
      </c>
      <c r="T20" s="14" t="str">
        <f t="shared" si="9"/>
        <v/>
      </c>
    </row>
    <row r="21" spans="1:20" ht="22.8" x14ac:dyDescent="0.3">
      <c r="A21" s="224">
        <v>2</v>
      </c>
      <c r="C21" s="14">
        <f t="shared" si="2"/>
        <v>2</v>
      </c>
      <c r="D21" s="14" t="s">
        <v>1128</v>
      </c>
      <c r="E21" s="58" t="s">
        <v>241</v>
      </c>
      <c r="F21" s="82" t="s">
        <v>243</v>
      </c>
      <c r="G21" s="170" t="s">
        <v>1337</v>
      </c>
      <c r="H21" s="170" t="str">
        <f>'1. Access Controls'!$L15</f>
        <v>Comment is required</v>
      </c>
      <c r="I21" s="14">
        <f>'1. Access Controls'!$K15</f>
        <v>0</v>
      </c>
      <c r="J21" s="14" t="str">
        <f t="shared" ref="J21:J32" si="10">IF($I21="Yes","Adequate",IF($I21="No","Inadequate",IF($I21="Partial","Inadequate",IF($I21="N/A","Inadequate",IF(OR($I21="",$I21=0),"Blank","Error")))))</f>
        <v>Blank</v>
      </c>
      <c r="K21" s="155" t="s">
        <v>1131</v>
      </c>
      <c r="L21" s="14" t="str">
        <f t="shared" si="1"/>
        <v>Blank</v>
      </c>
      <c r="N21" s="14" t="str">
        <f t="shared" si="3"/>
        <v/>
      </c>
      <c r="O21" s="14" t="str">
        <f t="shared" si="4"/>
        <v/>
      </c>
      <c r="P21" s="14" t="str">
        <f t="shared" si="5"/>
        <v>Comment is required</v>
      </c>
      <c r="Q21" s="14" t="str">
        <f t="shared" si="6"/>
        <v>Blank</v>
      </c>
      <c r="R21" s="14" t="str">
        <f t="shared" si="7"/>
        <v>No Override</v>
      </c>
      <c r="S21" s="14">
        <f t="shared" si="8"/>
        <v>2</v>
      </c>
      <c r="T21" s="14" t="str">
        <f t="shared" si="9"/>
        <v/>
      </c>
    </row>
    <row r="22" spans="1:20" x14ac:dyDescent="0.3">
      <c r="A22" s="224">
        <v>4</v>
      </c>
      <c r="C22" s="14">
        <f t="shared" si="2"/>
        <v>4</v>
      </c>
      <c r="D22" s="14" t="s">
        <v>1128</v>
      </c>
      <c r="E22" s="58" t="s">
        <v>244</v>
      </c>
      <c r="F22" s="82" t="s">
        <v>246</v>
      </c>
      <c r="G22" s="170" t="s">
        <v>247</v>
      </c>
      <c r="H22" s="170" t="str">
        <f>'1. Access Controls'!$L16</f>
        <v>Comment is required</v>
      </c>
      <c r="I22" s="14">
        <f>'1. Access Controls'!$K16</f>
        <v>0</v>
      </c>
      <c r="J22" s="14" t="str">
        <f t="shared" si="10"/>
        <v>Blank</v>
      </c>
      <c r="K22" s="155" t="s">
        <v>1131</v>
      </c>
      <c r="L22" s="14" t="str">
        <f t="shared" si="1"/>
        <v>Blank</v>
      </c>
      <c r="N22" s="14" t="str">
        <f t="shared" si="3"/>
        <v/>
      </c>
      <c r="O22" s="14" t="str">
        <f t="shared" si="4"/>
        <v/>
      </c>
      <c r="P22" s="14" t="str">
        <f t="shared" si="5"/>
        <v>Comment is required</v>
      </c>
      <c r="Q22" s="14" t="str">
        <f t="shared" si="6"/>
        <v>Blank</v>
      </c>
      <c r="R22" s="14" t="str">
        <f t="shared" si="7"/>
        <v>No Override</v>
      </c>
      <c r="S22" s="14">
        <f t="shared" si="8"/>
        <v>4</v>
      </c>
      <c r="T22" s="14" t="str">
        <f t="shared" si="9"/>
        <v/>
      </c>
    </row>
    <row r="23" spans="1:20" x14ac:dyDescent="0.3">
      <c r="A23" s="224">
        <v>4</v>
      </c>
      <c r="C23" s="14">
        <f t="shared" si="2"/>
        <v>4</v>
      </c>
      <c r="D23" s="14" t="s">
        <v>1128</v>
      </c>
      <c r="E23" s="58" t="s">
        <v>248</v>
      </c>
      <c r="F23" s="82" t="s">
        <v>250</v>
      </c>
      <c r="G23" s="170" t="s">
        <v>251</v>
      </c>
      <c r="H23" s="170" t="str">
        <f>'1. Access Controls'!$L17</f>
        <v>Comment is required</v>
      </c>
      <c r="I23" s="14">
        <f>'1. Access Controls'!$K17</f>
        <v>0</v>
      </c>
      <c r="J23" s="14" t="str">
        <f t="shared" si="10"/>
        <v>Blank</v>
      </c>
      <c r="K23" s="155" t="s">
        <v>1131</v>
      </c>
      <c r="L23" s="14" t="str">
        <f t="shared" si="1"/>
        <v>Blank</v>
      </c>
      <c r="N23" s="14" t="str">
        <f t="shared" si="3"/>
        <v/>
      </c>
      <c r="O23" s="14" t="str">
        <f t="shared" si="4"/>
        <v/>
      </c>
      <c r="P23" s="14" t="str">
        <f t="shared" si="5"/>
        <v>Comment is required</v>
      </c>
      <c r="Q23" s="14" t="str">
        <f t="shared" si="6"/>
        <v>Blank</v>
      </c>
      <c r="R23" s="14" t="str">
        <f t="shared" si="7"/>
        <v>No Override</v>
      </c>
      <c r="S23" s="14">
        <f t="shared" si="8"/>
        <v>4</v>
      </c>
      <c r="T23" s="14" t="str">
        <f t="shared" si="9"/>
        <v/>
      </c>
    </row>
    <row r="24" spans="1:20" x14ac:dyDescent="0.3">
      <c r="A24" s="224">
        <v>4</v>
      </c>
      <c r="C24" s="14">
        <f t="shared" si="2"/>
        <v>4</v>
      </c>
      <c r="D24" s="14" t="s">
        <v>1128</v>
      </c>
      <c r="E24" s="58" t="s">
        <v>252</v>
      </c>
      <c r="F24" s="82" t="s">
        <v>254</v>
      </c>
      <c r="G24" s="170" t="s">
        <v>255</v>
      </c>
      <c r="H24" s="170" t="str">
        <f>'1. Access Controls'!$L18</f>
        <v>Comment is required</v>
      </c>
      <c r="I24" s="14">
        <f>'1. Access Controls'!$K18</f>
        <v>0</v>
      </c>
      <c r="J24" s="14" t="str">
        <f t="shared" si="10"/>
        <v>Blank</v>
      </c>
      <c r="K24" s="155" t="s">
        <v>1131</v>
      </c>
      <c r="L24" s="14" t="str">
        <f t="shared" si="1"/>
        <v>Blank</v>
      </c>
      <c r="N24" s="14" t="str">
        <f t="shared" si="3"/>
        <v/>
      </c>
      <c r="O24" s="14" t="str">
        <f t="shared" si="4"/>
        <v/>
      </c>
      <c r="P24" s="14" t="str">
        <f t="shared" si="5"/>
        <v>Comment is required</v>
      </c>
      <c r="Q24" s="14" t="str">
        <f t="shared" si="6"/>
        <v>Blank</v>
      </c>
      <c r="R24" s="14" t="str">
        <f t="shared" si="7"/>
        <v>No Override</v>
      </c>
      <c r="S24" s="14">
        <f t="shared" si="8"/>
        <v>4</v>
      </c>
      <c r="T24" s="14" t="str">
        <f t="shared" si="9"/>
        <v/>
      </c>
    </row>
    <row r="25" spans="1:20" x14ac:dyDescent="0.3">
      <c r="A25" s="224">
        <v>2</v>
      </c>
      <c r="C25" s="14">
        <f t="shared" si="2"/>
        <v>2</v>
      </c>
      <c r="D25" s="14" t="s">
        <v>1128</v>
      </c>
      <c r="E25" s="58" t="s">
        <v>256</v>
      </c>
      <c r="F25" s="82" t="s">
        <v>259</v>
      </c>
      <c r="G25" s="170" t="s">
        <v>260</v>
      </c>
      <c r="H25" s="170" t="str">
        <f>'1. Access Controls'!$L19</f>
        <v>Comment is required</v>
      </c>
      <c r="I25" s="14">
        <f>'1. Access Controls'!$K19</f>
        <v>0</v>
      </c>
      <c r="J25" s="14" t="str">
        <f t="shared" si="10"/>
        <v>Blank</v>
      </c>
      <c r="K25" s="155" t="s">
        <v>1131</v>
      </c>
      <c r="L25" s="14" t="str">
        <f t="shared" si="1"/>
        <v>Blank</v>
      </c>
      <c r="N25" s="14" t="str">
        <f t="shared" si="3"/>
        <v/>
      </c>
      <c r="O25" s="14" t="str">
        <f t="shared" si="4"/>
        <v/>
      </c>
      <c r="P25" s="14" t="str">
        <f t="shared" si="5"/>
        <v>Comment is required</v>
      </c>
      <c r="Q25" s="14" t="str">
        <f t="shared" si="6"/>
        <v>Blank</v>
      </c>
      <c r="R25" s="14" t="str">
        <f t="shared" si="7"/>
        <v>No Override</v>
      </c>
      <c r="S25" s="14">
        <f t="shared" si="8"/>
        <v>2</v>
      </c>
      <c r="T25" s="14" t="str">
        <f t="shared" si="9"/>
        <v/>
      </c>
    </row>
    <row r="26" spans="1:20" x14ac:dyDescent="0.3">
      <c r="A26" s="224">
        <v>2</v>
      </c>
      <c r="C26" s="14">
        <f t="shared" si="2"/>
        <v>2</v>
      </c>
      <c r="D26" s="14" t="s">
        <v>1128</v>
      </c>
      <c r="E26" s="58" t="s">
        <v>261</v>
      </c>
      <c r="F26" s="82" t="s">
        <v>263</v>
      </c>
      <c r="G26" s="170" t="s">
        <v>264</v>
      </c>
      <c r="H26" s="170" t="str">
        <f>'1. Access Controls'!$L20</f>
        <v>Comment is required</v>
      </c>
      <c r="I26" s="14">
        <f>'1. Access Controls'!$K20</f>
        <v>0</v>
      </c>
      <c r="J26" s="14" t="str">
        <f t="shared" si="10"/>
        <v>Blank</v>
      </c>
      <c r="K26" s="155" t="s">
        <v>1131</v>
      </c>
      <c r="L26" s="14" t="str">
        <f t="shared" si="1"/>
        <v>Blank</v>
      </c>
      <c r="N26" s="14" t="str">
        <f t="shared" si="3"/>
        <v/>
      </c>
      <c r="O26" s="14" t="str">
        <f t="shared" si="4"/>
        <v/>
      </c>
      <c r="P26" s="14" t="str">
        <f t="shared" si="5"/>
        <v>Comment is required</v>
      </c>
      <c r="Q26" s="14" t="str">
        <f t="shared" si="6"/>
        <v>Blank</v>
      </c>
      <c r="R26" s="14" t="str">
        <f t="shared" si="7"/>
        <v>No Override</v>
      </c>
      <c r="S26" s="14">
        <f t="shared" si="8"/>
        <v>2</v>
      </c>
      <c r="T26" s="14" t="str">
        <f t="shared" si="9"/>
        <v/>
      </c>
    </row>
    <row r="27" spans="1:20" x14ac:dyDescent="0.3">
      <c r="A27" s="224">
        <v>2</v>
      </c>
      <c r="C27" s="14">
        <f t="shared" si="2"/>
        <v>2</v>
      </c>
      <c r="D27" s="14" t="s">
        <v>1128</v>
      </c>
      <c r="E27" s="58" t="s">
        <v>265</v>
      </c>
      <c r="F27" s="82" t="s">
        <v>267</v>
      </c>
      <c r="G27" s="170" t="s">
        <v>268</v>
      </c>
      <c r="H27" s="170" t="str">
        <f>'1. Access Controls'!$L21</f>
        <v>Comment is required</v>
      </c>
      <c r="I27" s="14">
        <f>'1. Access Controls'!$K21</f>
        <v>0</v>
      </c>
      <c r="J27" s="14" t="str">
        <f t="shared" si="10"/>
        <v>Blank</v>
      </c>
      <c r="K27" s="155" t="s">
        <v>1131</v>
      </c>
      <c r="L27" s="14" t="str">
        <f t="shared" si="1"/>
        <v>Blank</v>
      </c>
      <c r="N27" s="14" t="str">
        <f t="shared" si="3"/>
        <v/>
      </c>
      <c r="O27" s="14" t="str">
        <f t="shared" si="4"/>
        <v/>
      </c>
      <c r="P27" s="14" t="str">
        <f t="shared" si="5"/>
        <v>Comment is required</v>
      </c>
      <c r="Q27" s="14" t="str">
        <f t="shared" si="6"/>
        <v>Blank</v>
      </c>
      <c r="R27" s="14" t="str">
        <f t="shared" si="7"/>
        <v>No Override</v>
      </c>
      <c r="S27" s="14">
        <f t="shared" si="8"/>
        <v>2</v>
      </c>
      <c r="T27" s="14" t="str">
        <f t="shared" si="9"/>
        <v/>
      </c>
    </row>
    <row r="28" spans="1:20" x14ac:dyDescent="0.3">
      <c r="A28" s="224">
        <v>2</v>
      </c>
      <c r="C28" s="14">
        <f t="shared" si="2"/>
        <v>2</v>
      </c>
      <c r="D28" s="14" t="s">
        <v>1128</v>
      </c>
      <c r="E28" s="58" t="s">
        <v>269</v>
      </c>
      <c r="F28" s="82" t="s">
        <v>272</v>
      </c>
      <c r="G28" s="170" t="s">
        <v>273</v>
      </c>
      <c r="H28" s="170" t="str">
        <f>'1. Access Controls'!$L22</f>
        <v>Comment is required</v>
      </c>
      <c r="I28" s="14">
        <f>'1. Access Controls'!$K22</f>
        <v>0</v>
      </c>
      <c r="J28" s="14" t="str">
        <f t="shared" si="10"/>
        <v>Blank</v>
      </c>
      <c r="K28" s="155" t="s">
        <v>1131</v>
      </c>
      <c r="L28" s="14" t="str">
        <f t="shared" si="1"/>
        <v>Blank</v>
      </c>
      <c r="N28" s="14" t="str">
        <f t="shared" si="3"/>
        <v/>
      </c>
      <c r="O28" s="14" t="str">
        <f t="shared" si="4"/>
        <v/>
      </c>
      <c r="P28" s="14" t="str">
        <f t="shared" si="5"/>
        <v>Comment is required</v>
      </c>
      <c r="Q28" s="14" t="str">
        <f t="shared" si="6"/>
        <v>Blank</v>
      </c>
      <c r="R28" s="14" t="str">
        <f t="shared" si="7"/>
        <v>No Override</v>
      </c>
      <c r="S28" s="14">
        <f t="shared" si="8"/>
        <v>2</v>
      </c>
      <c r="T28" s="14" t="str">
        <f t="shared" si="9"/>
        <v/>
      </c>
    </row>
    <row r="29" spans="1:20" x14ac:dyDescent="0.3">
      <c r="A29" s="224">
        <v>1</v>
      </c>
      <c r="C29" s="14">
        <f t="shared" si="2"/>
        <v>1</v>
      </c>
      <c r="D29" s="14" t="s">
        <v>1128</v>
      </c>
      <c r="E29" s="58" t="s">
        <v>274</v>
      </c>
      <c r="F29" s="82" t="s">
        <v>196</v>
      </c>
      <c r="G29" s="170" t="s">
        <v>275</v>
      </c>
      <c r="H29" s="170" t="str">
        <f>'1. Access Controls'!$L23</f>
        <v>Comment is required</v>
      </c>
      <c r="I29" s="14">
        <f>'1. Access Controls'!$K23</f>
        <v>0</v>
      </c>
      <c r="J29" s="14" t="str">
        <f t="shared" si="10"/>
        <v>Blank</v>
      </c>
      <c r="K29" s="155" t="s">
        <v>1131</v>
      </c>
      <c r="L29" s="14" t="str">
        <f t="shared" si="1"/>
        <v>Blank</v>
      </c>
      <c r="N29" s="14" t="str">
        <f t="shared" si="3"/>
        <v/>
      </c>
      <c r="O29" s="14" t="str">
        <f t="shared" si="4"/>
        <v/>
      </c>
      <c r="P29" s="14" t="str">
        <f t="shared" si="5"/>
        <v>Comment is required</v>
      </c>
      <c r="Q29" s="14" t="str">
        <f t="shared" si="6"/>
        <v>Blank</v>
      </c>
      <c r="R29" s="14" t="str">
        <f t="shared" si="7"/>
        <v>No Override</v>
      </c>
      <c r="S29" s="14">
        <f t="shared" si="8"/>
        <v>1</v>
      </c>
      <c r="T29" s="14" t="str">
        <f t="shared" si="9"/>
        <v/>
      </c>
    </row>
    <row r="30" spans="1:20" x14ac:dyDescent="0.3">
      <c r="A30" s="224">
        <v>1</v>
      </c>
      <c r="C30" s="14">
        <f t="shared" si="2"/>
        <v>1</v>
      </c>
      <c r="D30" s="14" t="s">
        <v>1128</v>
      </c>
      <c r="E30" s="58" t="s">
        <v>276</v>
      </c>
      <c r="F30" s="82" t="s">
        <v>196</v>
      </c>
      <c r="G30" s="170" t="s">
        <v>277</v>
      </c>
      <c r="H30" s="170" t="str">
        <f>'1. Access Controls'!$L24</f>
        <v>Comment is required</v>
      </c>
      <c r="I30" s="14">
        <f>'1. Access Controls'!$K24</f>
        <v>0</v>
      </c>
      <c r="J30" s="14" t="str">
        <f t="shared" si="10"/>
        <v>Blank</v>
      </c>
      <c r="K30" s="155" t="s">
        <v>1131</v>
      </c>
      <c r="L30" s="14" t="str">
        <f t="shared" si="1"/>
        <v>Blank</v>
      </c>
      <c r="N30" s="14" t="str">
        <f t="shared" si="3"/>
        <v/>
      </c>
      <c r="O30" s="14" t="str">
        <f t="shared" si="4"/>
        <v/>
      </c>
      <c r="P30" s="14" t="str">
        <f t="shared" si="5"/>
        <v>Comment is required</v>
      </c>
      <c r="Q30" s="14" t="str">
        <f t="shared" si="6"/>
        <v>Blank</v>
      </c>
      <c r="R30" s="14" t="str">
        <f t="shared" si="7"/>
        <v>No Override</v>
      </c>
      <c r="S30" s="14">
        <f t="shared" si="8"/>
        <v>1</v>
      </c>
      <c r="T30" s="14" t="str">
        <f t="shared" si="9"/>
        <v/>
      </c>
    </row>
    <row r="31" spans="1:20" x14ac:dyDescent="0.3">
      <c r="A31" s="224">
        <v>1</v>
      </c>
      <c r="C31" s="14">
        <f t="shared" si="2"/>
        <v>1</v>
      </c>
      <c r="D31" s="14" t="s">
        <v>1128</v>
      </c>
      <c r="E31" s="58" t="s">
        <v>278</v>
      </c>
      <c r="F31" s="82" t="s">
        <v>196</v>
      </c>
      <c r="G31" s="170" t="s">
        <v>279</v>
      </c>
      <c r="H31" s="170" t="str">
        <f>'1. Access Controls'!$L25</f>
        <v>Comment is required</v>
      </c>
      <c r="I31" s="14">
        <f>'1. Access Controls'!$K25</f>
        <v>0</v>
      </c>
      <c r="J31" s="14" t="str">
        <f t="shared" si="10"/>
        <v>Blank</v>
      </c>
      <c r="K31" s="155" t="s">
        <v>1131</v>
      </c>
      <c r="L31" s="14" t="str">
        <f t="shared" si="1"/>
        <v>Blank</v>
      </c>
      <c r="N31" s="14" t="str">
        <f t="shared" si="3"/>
        <v/>
      </c>
      <c r="O31" s="14" t="str">
        <f t="shared" si="4"/>
        <v/>
      </c>
      <c r="P31" s="14" t="str">
        <f t="shared" si="5"/>
        <v>Comment is required</v>
      </c>
      <c r="Q31" s="14" t="str">
        <f t="shared" si="6"/>
        <v>Blank</v>
      </c>
      <c r="R31" s="14" t="str">
        <f t="shared" si="7"/>
        <v>No Override</v>
      </c>
      <c r="S31" s="14">
        <f t="shared" si="8"/>
        <v>1</v>
      </c>
      <c r="T31" s="14" t="str">
        <f t="shared" si="9"/>
        <v/>
      </c>
    </row>
    <row r="32" spans="1:20" ht="45.6" x14ac:dyDescent="0.3">
      <c r="A32" s="224"/>
      <c r="B32" s="14">
        <v>1</v>
      </c>
      <c r="C32" s="14">
        <f t="shared" si="2"/>
        <v>1</v>
      </c>
      <c r="D32" s="14" t="s">
        <v>1128</v>
      </c>
      <c r="E32" s="58" t="s">
        <v>1398</v>
      </c>
      <c r="F32" s="82"/>
      <c r="G32" s="170" t="s">
        <v>1399</v>
      </c>
      <c r="H32" s="170" t="str">
        <f>'1. Access Controls'!$H26</f>
        <v>Comment is required</v>
      </c>
      <c r="I32" s="14">
        <f>'1. Access Controls'!$G26</f>
        <v>0</v>
      </c>
      <c r="J32" s="14" t="str">
        <f t="shared" si="10"/>
        <v>Blank</v>
      </c>
      <c r="K32" s="155" t="s">
        <v>1131</v>
      </c>
      <c r="L32" s="14" t="str">
        <f t="shared" si="1"/>
        <v>Blank</v>
      </c>
      <c r="N32" s="14" t="str">
        <f t="shared" si="3"/>
        <v/>
      </c>
      <c r="O32" s="14" t="str">
        <f t="shared" si="4"/>
        <v/>
      </c>
      <c r="P32" s="14" t="str">
        <f t="shared" si="5"/>
        <v>Comment is required</v>
      </c>
      <c r="Q32" s="14" t="str">
        <f t="shared" si="6"/>
        <v>Blank</v>
      </c>
      <c r="R32" s="14" t="str">
        <f t="shared" si="7"/>
        <v>No Override</v>
      </c>
      <c r="S32" s="14">
        <f t="shared" si="8"/>
        <v>1</v>
      </c>
      <c r="T32" s="14" t="str">
        <f t="shared" si="9"/>
        <v/>
      </c>
    </row>
    <row r="33" spans="1:20" ht="22.8" x14ac:dyDescent="0.3">
      <c r="A33" s="224">
        <v>1</v>
      </c>
      <c r="C33" s="14">
        <f t="shared" si="2"/>
        <v>1</v>
      </c>
      <c r="D33" s="14" t="s">
        <v>1128</v>
      </c>
      <c r="E33" s="58" t="s">
        <v>280</v>
      </c>
      <c r="F33" s="82" t="s">
        <v>282</v>
      </c>
      <c r="G33" s="170" t="s">
        <v>283</v>
      </c>
      <c r="H33" s="170" t="str">
        <f>'1. Access Controls'!$L27</f>
        <v>Comment is required</v>
      </c>
      <c r="I33" s="14">
        <f>'1. Access Controls'!$K27</f>
        <v>0</v>
      </c>
      <c r="J33" s="14" t="str">
        <f>IF($I33="Yes","Adequate",IF($I33="No","Adequate",IF($I33="Partial","Inadequate",IF($I33="N/A","Inadequate",IF(OR($I33="",$I33=0),"Blank","Error")))))</f>
        <v>Blank</v>
      </c>
      <c r="K33" s="155" t="s">
        <v>1131</v>
      </c>
      <c r="L33" s="14" t="str">
        <f t="shared" si="1"/>
        <v>Blank</v>
      </c>
      <c r="N33" s="14" t="str">
        <f t="shared" si="3"/>
        <v/>
      </c>
      <c r="O33" s="14" t="str">
        <f t="shared" si="4"/>
        <v/>
      </c>
      <c r="P33" s="14" t="str">
        <f t="shared" si="5"/>
        <v>Comment is required</v>
      </c>
      <c r="Q33" s="14" t="str">
        <f t="shared" si="6"/>
        <v>Blank</v>
      </c>
      <c r="R33" s="14" t="str">
        <f t="shared" si="7"/>
        <v>No Override</v>
      </c>
      <c r="S33" s="14">
        <f t="shared" si="8"/>
        <v>1</v>
      </c>
      <c r="T33" s="14" t="str">
        <f t="shared" si="9"/>
        <v/>
      </c>
    </row>
    <row r="34" spans="1:20" x14ac:dyDescent="0.3">
      <c r="A34" s="224">
        <v>4</v>
      </c>
      <c r="C34" s="14">
        <f t="shared" si="2"/>
        <v>4</v>
      </c>
      <c r="D34" s="14" t="s">
        <v>1128</v>
      </c>
      <c r="E34" s="58" t="s">
        <v>284</v>
      </c>
      <c r="F34" s="82" t="s">
        <v>286</v>
      </c>
      <c r="G34" s="170" t="s">
        <v>287</v>
      </c>
      <c r="H34" s="170" t="str">
        <f>'1. Access Controls'!$L28</f>
        <v>Comment is required</v>
      </c>
      <c r="I34" s="14">
        <f>'1. Access Controls'!$K28</f>
        <v>0</v>
      </c>
      <c r="J34" s="48" t="str">
        <f>IF(AND($I34="Yes",$I35="Yes",$I36="Yes"),"Adequate",IF(AND($I34="Yes",OR(NOT($I35="Yes"),NOT($I36="Yes"))),"Inadequate",IF($I34="No","N/A",IF($I34="Partial","Inadequate",IF($I34="N/A","N/A",IF(OR($I34="",$I34=0),"Blank","Error"))))))</f>
        <v>Blank</v>
      </c>
      <c r="K34" s="155" t="s">
        <v>1131</v>
      </c>
      <c r="L34" s="14" t="str">
        <f t="shared" si="1"/>
        <v>Blank</v>
      </c>
      <c r="N34" s="14" t="str">
        <f t="shared" si="3"/>
        <v/>
      </c>
      <c r="O34" s="14" t="str">
        <f t="shared" si="4"/>
        <v/>
      </c>
      <c r="P34" s="14" t="str">
        <f t="shared" si="5"/>
        <v>Comment is required</v>
      </c>
      <c r="Q34" s="14" t="str">
        <f t="shared" si="6"/>
        <v>Blank</v>
      </c>
      <c r="R34" s="14" t="str">
        <f t="shared" si="7"/>
        <v>No Override</v>
      </c>
      <c r="S34" s="14">
        <f t="shared" si="8"/>
        <v>4</v>
      </c>
      <c r="T34" s="14" t="str">
        <f t="shared" si="9"/>
        <v/>
      </c>
    </row>
    <row r="35" spans="1:20" x14ac:dyDescent="0.3">
      <c r="A35" s="224">
        <v>2</v>
      </c>
      <c r="C35" s="14">
        <f t="shared" si="2"/>
        <v>2</v>
      </c>
      <c r="D35" s="14" t="s">
        <v>1128</v>
      </c>
      <c r="E35" s="58" t="s">
        <v>288</v>
      </c>
      <c r="F35" s="82" t="s">
        <v>286</v>
      </c>
      <c r="G35" s="170" t="s">
        <v>277</v>
      </c>
      <c r="H35" s="170" t="str">
        <f>'1. Access Controls'!$L29</f>
        <v>Comment is required</v>
      </c>
      <c r="I35" s="14">
        <f>'1. Access Controls'!$K29</f>
        <v>0</v>
      </c>
      <c r="J35" s="60" t="str">
        <f>IF(OR($I34="N/A",$I34="No"),"N/A",IF($I35="Yes","Adequate",IF($I35="No","Inadequate",IF($I35="Partial","Inadequate",IF(AND($I35="N/A",NOT($I34="No"),NOT($I34="N/A")),"Inadequate",IF(OR($I35="",$I35=0),"Blank","Error"))))))</f>
        <v>Blank</v>
      </c>
      <c r="K35" s="155" t="s">
        <v>1131</v>
      </c>
      <c r="L35" s="14" t="str">
        <f t="shared" si="1"/>
        <v>Blank</v>
      </c>
      <c r="N35" s="14" t="str">
        <f t="shared" si="3"/>
        <v/>
      </c>
      <c r="O35" s="14" t="str">
        <f t="shared" si="4"/>
        <v/>
      </c>
      <c r="P35" s="14" t="str">
        <f t="shared" si="5"/>
        <v>Comment is required</v>
      </c>
      <c r="Q35" s="14" t="str">
        <f t="shared" si="6"/>
        <v>Blank</v>
      </c>
      <c r="R35" s="14" t="str">
        <f t="shared" si="7"/>
        <v>No Override</v>
      </c>
      <c r="S35" s="14">
        <f t="shared" si="8"/>
        <v>2</v>
      </c>
      <c r="T35" s="14" t="str">
        <f t="shared" si="9"/>
        <v/>
      </c>
    </row>
    <row r="36" spans="1:20" x14ac:dyDescent="0.3">
      <c r="A36" s="224">
        <v>2</v>
      </c>
      <c r="C36" s="14">
        <f t="shared" si="2"/>
        <v>2</v>
      </c>
      <c r="D36" s="14" t="s">
        <v>1128</v>
      </c>
      <c r="E36" s="58" t="s">
        <v>289</v>
      </c>
      <c r="F36" s="82" t="s">
        <v>286</v>
      </c>
      <c r="G36" s="170" t="s">
        <v>279</v>
      </c>
      <c r="H36" s="170" t="str">
        <f>'1. Access Controls'!$L30</f>
        <v>Comment is required</v>
      </c>
      <c r="I36" s="14">
        <f>'1. Access Controls'!$K30</f>
        <v>0</v>
      </c>
      <c r="J36" s="60" t="str">
        <f>IF(OR($I34="N/A",$I34="No"),"N/A",IF($I36="Yes","Adequate",IF($I36="No","Inadequate",IF($I36="Partial","Inadequate",IF(AND($I36="N/A",NOT($I34="No"),NOT($I34="N/A")),"Inadequate",IF(OR($I36="",$I36=0),"Blank","Error"))))))</f>
        <v>Blank</v>
      </c>
      <c r="K36" s="155" t="s">
        <v>1131</v>
      </c>
      <c r="L36" s="14" t="str">
        <f t="shared" si="1"/>
        <v>Blank</v>
      </c>
      <c r="N36" s="14" t="str">
        <f t="shared" si="3"/>
        <v/>
      </c>
      <c r="O36" s="14" t="str">
        <f t="shared" si="4"/>
        <v/>
      </c>
      <c r="P36" s="14" t="str">
        <f t="shared" si="5"/>
        <v>Comment is required</v>
      </c>
      <c r="Q36" s="14" t="str">
        <f t="shared" si="6"/>
        <v>Blank</v>
      </c>
      <c r="R36" s="14" t="str">
        <f t="shared" si="7"/>
        <v>No Override</v>
      </c>
      <c r="S36" s="14">
        <f t="shared" si="8"/>
        <v>2</v>
      </c>
      <c r="T36" s="14" t="str">
        <f t="shared" si="9"/>
        <v/>
      </c>
    </row>
    <row r="37" spans="1:20" ht="22.8" x14ac:dyDescent="0.3">
      <c r="A37" s="224">
        <v>4</v>
      </c>
      <c r="C37" s="14">
        <f t="shared" si="2"/>
        <v>4</v>
      </c>
      <c r="D37" s="14" t="s">
        <v>1128</v>
      </c>
      <c r="E37" s="58" t="s">
        <v>290</v>
      </c>
      <c r="F37" s="82" t="s">
        <v>292</v>
      </c>
      <c r="G37" s="170" t="s">
        <v>293</v>
      </c>
      <c r="H37" s="170" t="str">
        <f>'1. Access Controls'!$L31</f>
        <v>Comment is required</v>
      </c>
      <c r="I37" s="14">
        <f>'1. Access Controls'!$K31</f>
        <v>0</v>
      </c>
      <c r="J37" s="48" t="str">
        <f>IF(AND($I37="Yes",$I38="Yes"),"Adequate",IF(AND($I37="Yes",NOT($I38="Yes")),"Inadequate",IF($I37="No","N/A",IF($I37="Partial","Inadequate",IF($I37="N/A","N/A",IF(OR($I37="",$I37=0),"Blank","Error"))))))</f>
        <v>Blank</v>
      </c>
      <c r="K37" s="155" t="s">
        <v>1131</v>
      </c>
      <c r="L37" s="14" t="str">
        <f t="shared" si="1"/>
        <v>Blank</v>
      </c>
      <c r="N37" s="14" t="str">
        <f t="shared" si="3"/>
        <v/>
      </c>
      <c r="O37" s="14" t="str">
        <f t="shared" si="4"/>
        <v/>
      </c>
      <c r="P37" s="14" t="str">
        <f t="shared" si="5"/>
        <v>Comment is required</v>
      </c>
      <c r="Q37" s="14" t="str">
        <f t="shared" si="6"/>
        <v>Blank</v>
      </c>
      <c r="R37" s="14" t="str">
        <f t="shared" si="7"/>
        <v>No Override</v>
      </c>
      <c r="S37" s="14">
        <f t="shared" si="8"/>
        <v>4</v>
      </c>
      <c r="T37" s="14" t="str">
        <f t="shared" si="9"/>
        <v/>
      </c>
    </row>
    <row r="38" spans="1:20" ht="22.8" x14ac:dyDescent="0.3">
      <c r="A38" s="224">
        <v>2</v>
      </c>
      <c r="C38" s="14">
        <f t="shared" si="2"/>
        <v>2</v>
      </c>
      <c r="D38" s="14" t="s">
        <v>1128</v>
      </c>
      <c r="E38" s="58" t="s">
        <v>294</v>
      </c>
      <c r="F38" s="82" t="s">
        <v>292</v>
      </c>
      <c r="G38" s="170" t="s">
        <v>295</v>
      </c>
      <c r="H38" s="170" t="str">
        <f>'1. Access Controls'!$L32</f>
        <v>Comment is required</v>
      </c>
      <c r="I38" s="14">
        <f>'1. Access Controls'!$K32</f>
        <v>0</v>
      </c>
      <c r="J38" s="60" t="str">
        <f>IF(OR($I37="N/A",$I37="No"),"N/A",IF($I38="Yes","Adequate",IF($I38="No","Inadequate",IF($I38="Partial","Inadequate",IF(AND($I38="N/A",NOT($I37="No"),NOT($I37="N/A")),"Inadequate",IF(OR($I38="",$I38=0),"Blank","Error"))))))</f>
        <v>Blank</v>
      </c>
      <c r="K38" s="155" t="s">
        <v>1131</v>
      </c>
      <c r="L38" s="14" t="str">
        <f t="shared" si="1"/>
        <v>Blank</v>
      </c>
      <c r="N38" s="14" t="str">
        <f t="shared" si="3"/>
        <v/>
      </c>
      <c r="O38" s="14" t="str">
        <f t="shared" si="4"/>
        <v/>
      </c>
      <c r="P38" s="14" t="str">
        <f t="shared" si="5"/>
        <v>Comment is required</v>
      </c>
      <c r="Q38" s="14" t="str">
        <f t="shared" si="6"/>
        <v>Blank</v>
      </c>
      <c r="R38" s="14" t="str">
        <f t="shared" si="7"/>
        <v>No Override</v>
      </c>
      <c r="S38" s="14">
        <f t="shared" si="8"/>
        <v>2</v>
      </c>
      <c r="T38" s="14" t="str">
        <f t="shared" si="9"/>
        <v/>
      </c>
    </row>
    <row r="39" spans="1:20" ht="22.8" x14ac:dyDescent="0.3">
      <c r="A39" s="224">
        <v>4</v>
      </c>
      <c r="C39" s="14">
        <f t="shared" si="2"/>
        <v>4</v>
      </c>
      <c r="D39" s="14" t="s">
        <v>1128</v>
      </c>
      <c r="E39" s="58" t="s">
        <v>296</v>
      </c>
      <c r="F39" s="82" t="s">
        <v>298</v>
      </c>
      <c r="G39" s="170" t="s">
        <v>299</v>
      </c>
      <c r="H39" s="170" t="str">
        <f>'1. Access Controls'!$L33</f>
        <v>Comment is required</v>
      </c>
      <c r="I39" s="14">
        <f>'1. Access Controls'!$K33</f>
        <v>0</v>
      </c>
      <c r="J39" s="14" t="str">
        <f>IF($I39="Yes","Adequate",IF($I39="No","Inadequate",IF($I39="Partial","Inadequate",IF($I39="N/A","Inadequate",IF(OR($I39="",$I39=0),"Blank","Error")))))</f>
        <v>Blank</v>
      </c>
      <c r="K39" s="155" t="s">
        <v>1131</v>
      </c>
      <c r="L39" s="14" t="str">
        <f t="shared" si="1"/>
        <v>Blank</v>
      </c>
      <c r="N39" s="14" t="str">
        <f t="shared" si="3"/>
        <v/>
      </c>
      <c r="O39" s="14" t="str">
        <f t="shared" si="4"/>
        <v/>
      </c>
      <c r="P39" s="14" t="str">
        <f t="shared" si="5"/>
        <v>Comment is required</v>
      </c>
      <c r="Q39" s="14" t="str">
        <f t="shared" si="6"/>
        <v>Blank</v>
      </c>
      <c r="R39" s="14" t="str">
        <f t="shared" si="7"/>
        <v>No Override</v>
      </c>
      <c r="S39" s="14">
        <f t="shared" si="8"/>
        <v>4</v>
      </c>
      <c r="T39" s="14" t="str">
        <f t="shared" si="9"/>
        <v/>
      </c>
    </row>
    <row r="40" spans="1:20" x14ac:dyDescent="0.3">
      <c r="A40" s="224">
        <v>4</v>
      </c>
      <c r="C40" s="14">
        <f t="shared" si="2"/>
        <v>4</v>
      </c>
      <c r="D40" s="14" t="s">
        <v>1128</v>
      </c>
      <c r="E40" s="58" t="s">
        <v>300</v>
      </c>
      <c r="F40" s="82" t="s">
        <v>302</v>
      </c>
      <c r="G40" s="170" t="s">
        <v>303</v>
      </c>
      <c r="H40" s="170" t="str">
        <f>'1. Access Controls'!$L34</f>
        <v>Comment is required</v>
      </c>
      <c r="I40" s="14">
        <f>'1. Access Controls'!$K34</f>
        <v>0</v>
      </c>
      <c r="J40" s="48" t="str">
        <f>IF(AND($I40="Yes",$I41="Yes"),"Adequate",IF(AND($I40="Yes",Scope!$F$17="No",Scope!$F$21="No",Scope!$F$18="No",Scope!$F$19="No"),"Adequate",IF(AND($I40="Yes",NOT($I41="Yes")),"Inadequate",IF($I40="No","N/A",IF($I40="Partial","Inadequate",IF($I40="N/A","N/A",IF(OR($I40="",$I40=0),"Blank","Error")))))))</f>
        <v>Blank</v>
      </c>
      <c r="K40" s="155" t="s">
        <v>1131</v>
      </c>
      <c r="L40" s="14" t="str">
        <f t="shared" si="1"/>
        <v>Blank</v>
      </c>
      <c r="N40" s="14" t="str">
        <f t="shared" si="3"/>
        <v/>
      </c>
      <c r="O40" s="14" t="str">
        <f t="shared" si="4"/>
        <v/>
      </c>
      <c r="P40" s="14" t="str">
        <f t="shared" si="5"/>
        <v>Comment is required</v>
      </c>
      <c r="Q40" s="14" t="str">
        <f t="shared" si="6"/>
        <v>Blank</v>
      </c>
      <c r="R40" s="14" t="str">
        <f t="shared" si="7"/>
        <v>No Override</v>
      </c>
      <c r="S40" s="14">
        <f t="shared" si="8"/>
        <v>4</v>
      </c>
      <c r="T40" s="14" t="str">
        <f t="shared" si="9"/>
        <v/>
      </c>
    </row>
    <row r="41" spans="1:20" x14ac:dyDescent="0.3">
      <c r="A41" s="224">
        <v>4</v>
      </c>
      <c r="C41" s="14">
        <f t="shared" si="2"/>
        <v>4</v>
      </c>
      <c r="D41" s="14" t="s">
        <v>1128</v>
      </c>
      <c r="E41" s="58" t="s">
        <v>304</v>
      </c>
      <c r="F41" s="82" t="s">
        <v>302</v>
      </c>
      <c r="G41" s="170" t="s">
        <v>305</v>
      </c>
      <c r="H41" s="170" t="str">
        <f>'1. Access Controls'!$L35</f>
        <v>Comment is required</v>
      </c>
      <c r="I41" s="14">
        <f>'1. Access Controls'!$K35</f>
        <v>0</v>
      </c>
      <c r="J41" s="60" t="str">
        <f>IF(OR($I40="N/A",$I40="No"),"N/A",IF($I41="Yes","Adequate",IF($I41="No","Inadequate",IF($I41="Partial","Inadequate",IF(AND($I41="N/A",NOT($I40="No"),NOT($I40="N/A")),"Inadequate",IF(OR($I41="",$I41=0),"Blank","Error"))))))</f>
        <v>Blank</v>
      </c>
      <c r="K41" s="155" t="s">
        <v>1131</v>
      </c>
      <c r="L41" s="14" t="str">
        <f t="shared" si="1"/>
        <v>Blank</v>
      </c>
      <c r="N41" s="14" t="str">
        <f t="shared" si="3"/>
        <v/>
      </c>
      <c r="O41" s="14" t="str">
        <f t="shared" si="4"/>
        <v/>
      </c>
      <c r="P41" s="14" t="str">
        <f t="shared" si="5"/>
        <v>Comment is required</v>
      </c>
      <c r="Q41" s="14" t="str">
        <f t="shared" si="6"/>
        <v>Blank</v>
      </c>
      <c r="R41" s="14" t="str">
        <f t="shared" si="7"/>
        <v>No Override</v>
      </c>
      <c r="S41" s="14">
        <f t="shared" si="8"/>
        <v>4</v>
      </c>
      <c r="T41" s="14" t="str">
        <f t="shared" si="9"/>
        <v/>
      </c>
    </row>
    <row r="42" spans="1:20" ht="22.8" x14ac:dyDescent="0.3">
      <c r="A42" s="224">
        <v>2</v>
      </c>
      <c r="C42" s="14">
        <f t="shared" si="2"/>
        <v>2</v>
      </c>
      <c r="D42" s="14" t="s">
        <v>306</v>
      </c>
      <c r="E42" s="58" t="s">
        <v>307</v>
      </c>
      <c r="F42" s="82" t="s">
        <v>310</v>
      </c>
      <c r="G42" s="170" t="s">
        <v>311</v>
      </c>
      <c r="H42" s="170" t="str">
        <f>'2. Awareness and Training'!$L3</f>
        <v>Comment is required</v>
      </c>
      <c r="I42" s="14">
        <f>'2. Awareness and Training'!$K3</f>
        <v>0</v>
      </c>
      <c r="J42" s="14" t="str">
        <f>IF($I42="Yes","Adequate",IF($I42="No","Inadequate",IF($I42="Partial","Inadequate",IF($I42="N/A","Inadequate",IF(OR($I42="",$I42=0),"Blank","Error")))))</f>
        <v>Blank</v>
      </c>
      <c r="K42" s="155" t="s">
        <v>1131</v>
      </c>
      <c r="L42" s="14" t="str">
        <f t="shared" si="1"/>
        <v>Blank</v>
      </c>
      <c r="N42" s="14" t="str">
        <f t="shared" si="3"/>
        <v/>
      </c>
      <c r="O42" s="14" t="str">
        <f t="shared" si="4"/>
        <v/>
      </c>
      <c r="P42" s="14" t="str">
        <f t="shared" si="5"/>
        <v>Comment is required</v>
      </c>
      <c r="Q42" s="14" t="str">
        <f t="shared" si="6"/>
        <v>Blank</v>
      </c>
      <c r="R42" s="14" t="str">
        <f t="shared" si="7"/>
        <v>No Override</v>
      </c>
      <c r="S42" s="14">
        <f t="shared" si="8"/>
        <v>2</v>
      </c>
      <c r="T42" s="14" t="str">
        <f t="shared" si="9"/>
        <v/>
      </c>
    </row>
    <row r="43" spans="1:20" x14ac:dyDescent="0.3">
      <c r="A43" s="224">
        <v>2</v>
      </c>
      <c r="C43" s="14">
        <f t="shared" si="2"/>
        <v>2</v>
      </c>
      <c r="D43" s="14" t="s">
        <v>306</v>
      </c>
      <c r="E43" s="58" t="s">
        <v>312</v>
      </c>
      <c r="F43" s="84" t="s">
        <v>315</v>
      </c>
      <c r="G43" s="170" t="s">
        <v>316</v>
      </c>
      <c r="H43" s="170" t="str">
        <f>'2. Awareness and Training'!$L4</f>
        <v>Comment is required</v>
      </c>
      <c r="I43" s="14">
        <f>'2. Awareness and Training'!$K4</f>
        <v>0</v>
      </c>
      <c r="J43" s="14" t="str">
        <f>IF($I43="Yes","Adequate",IF($I43="No","Inadequate",IF($I43="Partial","Inadequate",IF($I43="N/A","Inadequate",IF(OR($I43="",$I43=0),"Blank","Error")))))</f>
        <v>Blank</v>
      </c>
      <c r="K43" s="155" t="s">
        <v>1131</v>
      </c>
      <c r="L43" s="14" t="str">
        <f t="shared" si="1"/>
        <v>Blank</v>
      </c>
      <c r="N43" s="14" t="str">
        <f t="shared" si="3"/>
        <v/>
      </c>
      <c r="O43" s="14" t="str">
        <f t="shared" si="4"/>
        <v/>
      </c>
      <c r="P43" s="14" t="str">
        <f t="shared" si="5"/>
        <v>Comment is required</v>
      </c>
      <c r="Q43" s="14" t="str">
        <f t="shared" si="6"/>
        <v>Blank</v>
      </c>
      <c r="R43" s="14" t="str">
        <f t="shared" si="7"/>
        <v>No Override</v>
      </c>
      <c r="S43" s="14">
        <f t="shared" si="8"/>
        <v>2</v>
      </c>
      <c r="T43" s="14" t="str">
        <f t="shared" si="9"/>
        <v/>
      </c>
    </row>
    <row r="44" spans="1:20" x14ac:dyDescent="0.3">
      <c r="A44" s="224">
        <v>2</v>
      </c>
      <c r="C44" s="14">
        <f t="shared" si="2"/>
        <v>2</v>
      </c>
      <c r="D44" s="14" t="s">
        <v>306</v>
      </c>
      <c r="E44" s="58" t="s">
        <v>317</v>
      </c>
      <c r="F44" s="84" t="s">
        <v>315</v>
      </c>
      <c r="G44" s="170" t="s">
        <v>318</v>
      </c>
      <c r="H44" s="170" t="str">
        <f>'2. Awareness and Training'!$L5</f>
        <v>Comment is required</v>
      </c>
      <c r="I44" s="14">
        <f>'2. Awareness and Training'!$K5</f>
        <v>0</v>
      </c>
      <c r="J44" s="14" t="str">
        <f>IF($I44="Yes","Adequate",IF($I44="No","Inadequate",IF($I44="Partial","Inadequate",IF($I44="N/A","Inadequate",IF(OR($I44="",$I44=0),"Blank","Error")))))</f>
        <v>Blank</v>
      </c>
      <c r="K44" s="155" t="s">
        <v>1131</v>
      </c>
      <c r="L44" s="14" t="str">
        <f t="shared" si="1"/>
        <v>Blank</v>
      </c>
      <c r="N44" s="14" t="str">
        <f t="shared" si="3"/>
        <v/>
      </c>
      <c r="O44" s="14" t="str">
        <f t="shared" si="4"/>
        <v/>
      </c>
      <c r="P44" s="14" t="str">
        <f t="shared" si="5"/>
        <v>Comment is required</v>
      </c>
      <c r="Q44" s="14" t="str">
        <f t="shared" si="6"/>
        <v>Blank</v>
      </c>
      <c r="R44" s="14" t="str">
        <f t="shared" si="7"/>
        <v>No Override</v>
      </c>
      <c r="S44" s="14">
        <f t="shared" si="8"/>
        <v>2</v>
      </c>
      <c r="T44" s="14" t="str">
        <f t="shared" si="9"/>
        <v/>
      </c>
    </row>
    <row r="45" spans="1:20" ht="22.8" x14ac:dyDescent="0.3">
      <c r="A45" s="224">
        <v>2</v>
      </c>
      <c r="C45" s="14">
        <f t="shared" si="2"/>
        <v>2</v>
      </c>
      <c r="D45" s="14" t="s">
        <v>306</v>
      </c>
      <c r="E45" s="58" t="s">
        <v>319</v>
      </c>
      <c r="F45" s="84" t="s">
        <v>321</v>
      </c>
      <c r="G45" s="171" t="s">
        <v>322</v>
      </c>
      <c r="H45" s="170" t="str">
        <f>'2. Awareness and Training'!$L6</f>
        <v>Comment is required</v>
      </c>
      <c r="I45" s="14">
        <f>'2. Awareness and Training'!$K6</f>
        <v>0</v>
      </c>
      <c r="J45" s="14" t="str">
        <f t="shared" ref="J45:J54" si="11">IF($I45="Yes","Adequate",IF($I45="No","Inadequate",IF($I45="Partial","Inadequate",IF($I45="N/A","Inadequate",IF(OR($I45="",$I45=0),"Blank","Error")))))</f>
        <v>Blank</v>
      </c>
      <c r="K45" s="155" t="s">
        <v>1131</v>
      </c>
      <c r="L45" s="14" t="str">
        <f t="shared" si="1"/>
        <v>Blank</v>
      </c>
      <c r="N45" s="14" t="str">
        <f t="shared" si="3"/>
        <v/>
      </c>
      <c r="O45" s="14" t="str">
        <f t="shared" si="4"/>
        <v/>
      </c>
      <c r="P45" s="14" t="str">
        <f t="shared" si="5"/>
        <v>Comment is required</v>
      </c>
      <c r="Q45" s="14" t="str">
        <f t="shared" si="6"/>
        <v>Blank</v>
      </c>
      <c r="R45" s="14" t="str">
        <f t="shared" si="7"/>
        <v>No Override</v>
      </c>
      <c r="S45" s="14">
        <f t="shared" si="8"/>
        <v>2</v>
      </c>
      <c r="T45" s="14" t="str">
        <f t="shared" si="9"/>
        <v/>
      </c>
    </row>
    <row r="46" spans="1:20" x14ac:dyDescent="0.3">
      <c r="A46" s="224">
        <v>2</v>
      </c>
      <c r="C46" s="14">
        <f t="shared" si="2"/>
        <v>2</v>
      </c>
      <c r="D46" s="14" t="s">
        <v>306</v>
      </c>
      <c r="E46" s="58" t="s">
        <v>323</v>
      </c>
      <c r="F46" s="84" t="s">
        <v>325</v>
      </c>
      <c r="G46" s="171" t="s">
        <v>326</v>
      </c>
      <c r="H46" s="170" t="str">
        <f>'2. Awareness and Training'!$L7</f>
        <v>Comment is required</v>
      </c>
      <c r="I46" s="14">
        <f>'2. Awareness and Training'!$K7</f>
        <v>0</v>
      </c>
      <c r="J46" s="14" t="str">
        <f t="shared" si="11"/>
        <v>Blank</v>
      </c>
      <c r="K46" s="155" t="s">
        <v>1131</v>
      </c>
      <c r="L46" s="14" t="str">
        <f t="shared" si="1"/>
        <v>Blank</v>
      </c>
      <c r="N46" s="14" t="str">
        <f t="shared" si="3"/>
        <v/>
      </c>
      <c r="O46" s="14" t="str">
        <f t="shared" si="4"/>
        <v/>
      </c>
      <c r="P46" s="14" t="str">
        <f t="shared" si="5"/>
        <v>Comment is required</v>
      </c>
      <c r="Q46" s="14" t="str">
        <f t="shared" si="6"/>
        <v>Blank</v>
      </c>
      <c r="R46" s="14" t="str">
        <f t="shared" si="7"/>
        <v>No Override</v>
      </c>
      <c r="S46" s="14">
        <f t="shared" si="8"/>
        <v>2</v>
      </c>
      <c r="T46" s="14" t="str">
        <f t="shared" si="9"/>
        <v/>
      </c>
    </row>
    <row r="47" spans="1:20" x14ac:dyDescent="0.3">
      <c r="A47" s="225">
        <v>1</v>
      </c>
      <c r="C47" s="14">
        <f t="shared" si="2"/>
        <v>1</v>
      </c>
      <c r="D47" s="14" t="s">
        <v>327</v>
      </c>
      <c r="E47" s="58" t="s">
        <v>328</v>
      </c>
      <c r="F47" s="84" t="s">
        <v>331</v>
      </c>
      <c r="G47" s="171" t="s">
        <v>332</v>
      </c>
      <c r="H47" s="170" t="str">
        <f>'3. Audit and Accountability'!$L3</f>
        <v>Comment is required</v>
      </c>
      <c r="I47" s="14">
        <f>'3. Audit and Accountability'!$K3</f>
        <v>0</v>
      </c>
      <c r="J47" s="14" t="str">
        <f t="shared" si="11"/>
        <v>Blank</v>
      </c>
      <c r="K47" s="155" t="s">
        <v>1131</v>
      </c>
      <c r="L47" s="14" t="str">
        <f t="shared" si="1"/>
        <v>Blank</v>
      </c>
      <c r="N47" s="14" t="str">
        <f t="shared" si="3"/>
        <v/>
      </c>
      <c r="O47" s="14" t="str">
        <f t="shared" si="4"/>
        <v/>
      </c>
      <c r="P47" s="14" t="str">
        <f t="shared" si="5"/>
        <v>Comment is required</v>
      </c>
      <c r="Q47" s="14" t="str">
        <f t="shared" si="6"/>
        <v>Blank</v>
      </c>
      <c r="R47" s="14" t="str">
        <f t="shared" si="7"/>
        <v>No Override</v>
      </c>
      <c r="S47" s="14">
        <f t="shared" si="8"/>
        <v>1</v>
      </c>
      <c r="T47" s="14" t="str">
        <f t="shared" si="9"/>
        <v/>
      </c>
    </row>
    <row r="48" spans="1:20" ht="22.8" x14ac:dyDescent="0.3">
      <c r="A48" s="224">
        <v>2</v>
      </c>
      <c r="C48" s="14">
        <f t="shared" si="2"/>
        <v>2</v>
      </c>
      <c r="D48" s="14" t="s">
        <v>327</v>
      </c>
      <c r="E48" s="58" t="s">
        <v>333</v>
      </c>
      <c r="F48" s="84" t="s">
        <v>336</v>
      </c>
      <c r="G48" s="172" t="s">
        <v>337</v>
      </c>
      <c r="H48" s="170" t="str">
        <f>'3. Audit and Accountability'!$L4</f>
        <v>Comment is required</v>
      </c>
      <c r="I48" s="14">
        <f>'3. Audit and Accountability'!$K4</f>
        <v>0</v>
      </c>
      <c r="J48" s="14" t="str">
        <f t="shared" si="11"/>
        <v>Blank</v>
      </c>
      <c r="K48" s="155" t="s">
        <v>1131</v>
      </c>
      <c r="L48" s="14" t="str">
        <f t="shared" si="1"/>
        <v>Blank</v>
      </c>
      <c r="N48" s="14" t="str">
        <f t="shared" si="3"/>
        <v/>
      </c>
      <c r="O48" s="14" t="str">
        <f t="shared" si="4"/>
        <v/>
      </c>
      <c r="P48" s="14" t="str">
        <f t="shared" si="5"/>
        <v>Comment is required</v>
      </c>
      <c r="Q48" s="14" t="str">
        <f t="shared" si="6"/>
        <v>Blank</v>
      </c>
      <c r="R48" s="14" t="str">
        <f t="shared" si="7"/>
        <v>No Override</v>
      </c>
      <c r="S48" s="14">
        <f t="shared" si="8"/>
        <v>2</v>
      </c>
      <c r="T48" s="14" t="str">
        <f t="shared" si="9"/>
        <v/>
      </c>
    </row>
    <row r="49" spans="1:20" x14ac:dyDescent="0.3">
      <c r="A49" s="224">
        <v>2</v>
      </c>
      <c r="C49" s="14">
        <f t="shared" si="2"/>
        <v>2</v>
      </c>
      <c r="D49" s="14" t="s">
        <v>327</v>
      </c>
      <c r="E49" s="58" t="s">
        <v>338</v>
      </c>
      <c r="F49" s="84" t="s">
        <v>336</v>
      </c>
      <c r="G49" s="172" t="s">
        <v>339</v>
      </c>
      <c r="H49" s="170" t="str">
        <f>'3. Audit and Accountability'!$L5</f>
        <v>Comment is required</v>
      </c>
      <c r="I49" s="14">
        <f>'3. Audit and Accountability'!$K5</f>
        <v>0</v>
      </c>
      <c r="J49" s="14" t="str">
        <f t="shared" si="11"/>
        <v>Blank</v>
      </c>
      <c r="K49" s="155" t="s">
        <v>1131</v>
      </c>
      <c r="L49" s="14" t="str">
        <f t="shared" si="1"/>
        <v>Blank</v>
      </c>
      <c r="N49" s="14" t="str">
        <f t="shared" si="3"/>
        <v/>
      </c>
      <c r="O49" s="14" t="str">
        <f t="shared" si="4"/>
        <v/>
      </c>
      <c r="P49" s="14" t="str">
        <f t="shared" si="5"/>
        <v>Comment is required</v>
      </c>
      <c r="Q49" s="14" t="str">
        <f t="shared" si="6"/>
        <v>Blank</v>
      </c>
      <c r="R49" s="14" t="str">
        <f t="shared" si="7"/>
        <v>No Override</v>
      </c>
      <c r="S49" s="14">
        <f t="shared" si="8"/>
        <v>2</v>
      </c>
      <c r="T49" s="14" t="str">
        <f t="shared" si="9"/>
        <v/>
      </c>
    </row>
    <row r="50" spans="1:20" ht="34.200000000000003" x14ac:dyDescent="0.3">
      <c r="A50" s="224">
        <v>2</v>
      </c>
      <c r="C50" s="14">
        <f t="shared" si="2"/>
        <v>2</v>
      </c>
      <c r="D50" s="14" t="s">
        <v>327</v>
      </c>
      <c r="E50" s="58" t="s">
        <v>340</v>
      </c>
      <c r="F50" s="84" t="s">
        <v>342</v>
      </c>
      <c r="G50" s="172" t="s">
        <v>343</v>
      </c>
      <c r="H50" s="170" t="str">
        <f>'3. Audit and Accountability'!$L6</f>
        <v>Comment is required</v>
      </c>
      <c r="I50" s="14">
        <f>'3. Audit and Accountability'!$K6</f>
        <v>0</v>
      </c>
      <c r="J50" s="14" t="str">
        <f t="shared" si="11"/>
        <v>Blank</v>
      </c>
      <c r="K50" s="155" t="s">
        <v>1131</v>
      </c>
      <c r="L50" s="14" t="str">
        <f t="shared" si="1"/>
        <v>Blank</v>
      </c>
      <c r="N50" s="14" t="str">
        <f t="shared" si="3"/>
        <v/>
      </c>
      <c r="O50" s="14" t="str">
        <f t="shared" si="4"/>
        <v/>
      </c>
      <c r="P50" s="14" t="str">
        <f t="shared" si="5"/>
        <v>Comment is required</v>
      </c>
      <c r="Q50" s="14" t="str">
        <f t="shared" si="6"/>
        <v>Blank</v>
      </c>
      <c r="R50" s="14" t="str">
        <f t="shared" si="7"/>
        <v>No Override</v>
      </c>
      <c r="S50" s="14">
        <f t="shared" si="8"/>
        <v>2</v>
      </c>
      <c r="T50" s="14" t="str">
        <f t="shared" si="9"/>
        <v/>
      </c>
    </row>
    <row r="51" spans="1:20" x14ac:dyDescent="0.3">
      <c r="A51" s="224">
        <v>3</v>
      </c>
      <c r="C51" s="14">
        <f t="shared" si="2"/>
        <v>3</v>
      </c>
      <c r="D51" s="14" t="s">
        <v>327</v>
      </c>
      <c r="E51" s="58" t="s">
        <v>344</v>
      </c>
      <c r="F51" s="84" t="s">
        <v>346</v>
      </c>
      <c r="G51" s="172" t="s">
        <v>347</v>
      </c>
      <c r="H51" s="170" t="str">
        <f>'3. Audit and Accountability'!$L7</f>
        <v>Comment is required</v>
      </c>
      <c r="I51" s="14">
        <f>'3. Audit and Accountability'!$K7</f>
        <v>0</v>
      </c>
      <c r="J51" s="14" t="str">
        <f t="shared" si="11"/>
        <v>Blank</v>
      </c>
      <c r="K51" s="155" t="s">
        <v>1131</v>
      </c>
      <c r="L51" s="14" t="str">
        <f t="shared" si="1"/>
        <v>Blank</v>
      </c>
      <c r="N51" s="14" t="str">
        <f t="shared" si="3"/>
        <v/>
      </c>
      <c r="O51" s="14" t="str">
        <f t="shared" si="4"/>
        <v/>
      </c>
      <c r="P51" s="14" t="str">
        <f t="shared" si="5"/>
        <v>Comment is required</v>
      </c>
      <c r="Q51" s="14" t="str">
        <f t="shared" si="6"/>
        <v>Blank</v>
      </c>
      <c r="R51" s="14" t="str">
        <f t="shared" si="7"/>
        <v>No Override</v>
      </c>
      <c r="S51" s="14">
        <f t="shared" si="8"/>
        <v>3</v>
      </c>
      <c r="T51" s="14" t="str">
        <f t="shared" si="9"/>
        <v/>
      </c>
    </row>
    <row r="52" spans="1:20" x14ac:dyDescent="0.3">
      <c r="A52" s="224">
        <v>3</v>
      </c>
      <c r="C52" s="14">
        <f t="shared" si="2"/>
        <v>3</v>
      </c>
      <c r="D52" s="14" t="s">
        <v>327</v>
      </c>
      <c r="E52" s="58" t="s">
        <v>348</v>
      </c>
      <c r="F52" s="84" t="s">
        <v>350</v>
      </c>
      <c r="G52" s="172" t="s">
        <v>351</v>
      </c>
      <c r="H52" s="170" t="str">
        <f>'3. Audit and Accountability'!$L8</f>
        <v>Comment is required</v>
      </c>
      <c r="I52" s="14">
        <f>'3. Audit and Accountability'!$K8</f>
        <v>0</v>
      </c>
      <c r="J52" s="14" t="str">
        <f t="shared" si="11"/>
        <v>Blank</v>
      </c>
      <c r="K52" s="155" t="s">
        <v>1131</v>
      </c>
      <c r="L52" s="14" t="str">
        <f t="shared" si="1"/>
        <v>Blank</v>
      </c>
      <c r="N52" s="14" t="str">
        <f t="shared" si="3"/>
        <v/>
      </c>
      <c r="O52" s="14" t="str">
        <f t="shared" si="4"/>
        <v/>
      </c>
      <c r="P52" s="14" t="str">
        <f t="shared" si="5"/>
        <v>Comment is required</v>
      </c>
      <c r="Q52" s="14" t="str">
        <f t="shared" si="6"/>
        <v>Blank</v>
      </c>
      <c r="R52" s="14" t="str">
        <f t="shared" si="7"/>
        <v>No Override</v>
      </c>
      <c r="S52" s="14">
        <f t="shared" si="8"/>
        <v>3</v>
      </c>
      <c r="T52" s="14" t="str">
        <f t="shared" si="9"/>
        <v/>
      </c>
    </row>
    <row r="53" spans="1:20" ht="22.8" x14ac:dyDescent="0.3">
      <c r="A53" s="224">
        <v>2</v>
      </c>
      <c r="C53" s="14">
        <f t="shared" si="2"/>
        <v>2</v>
      </c>
      <c r="D53" s="14" t="s">
        <v>327</v>
      </c>
      <c r="E53" s="58" t="s">
        <v>352</v>
      </c>
      <c r="F53" s="84" t="s">
        <v>355</v>
      </c>
      <c r="G53" s="172" t="s">
        <v>356</v>
      </c>
      <c r="H53" s="170" t="str">
        <f>'3. Audit and Accountability'!$L9</f>
        <v>Comment is required</v>
      </c>
      <c r="I53" s="14">
        <f>'3. Audit and Accountability'!$K9</f>
        <v>0</v>
      </c>
      <c r="J53" s="14" t="str">
        <f t="shared" si="11"/>
        <v>Blank</v>
      </c>
      <c r="K53" s="155" t="s">
        <v>1131</v>
      </c>
      <c r="L53" s="14" t="str">
        <f t="shared" si="1"/>
        <v>Blank</v>
      </c>
      <c r="N53" s="14" t="str">
        <f t="shared" si="3"/>
        <v/>
      </c>
      <c r="O53" s="14" t="str">
        <f t="shared" si="4"/>
        <v/>
      </c>
      <c r="P53" s="14" t="str">
        <f t="shared" si="5"/>
        <v>Comment is required</v>
      </c>
      <c r="Q53" s="14" t="str">
        <f t="shared" si="6"/>
        <v>Blank</v>
      </c>
      <c r="R53" s="14" t="str">
        <f t="shared" si="7"/>
        <v>No Override</v>
      </c>
      <c r="S53" s="14">
        <f t="shared" si="8"/>
        <v>2</v>
      </c>
      <c r="T53" s="14" t="str">
        <f t="shared" si="9"/>
        <v/>
      </c>
    </row>
    <row r="54" spans="1:20" x14ac:dyDescent="0.3">
      <c r="A54" s="224">
        <v>3</v>
      </c>
      <c r="C54" s="14">
        <f t="shared" si="2"/>
        <v>3</v>
      </c>
      <c r="D54" s="14" t="s">
        <v>327</v>
      </c>
      <c r="E54" s="58" t="s">
        <v>357</v>
      </c>
      <c r="F54" s="84" t="s">
        <v>360</v>
      </c>
      <c r="G54" s="172" t="s">
        <v>361</v>
      </c>
      <c r="H54" s="170" t="str">
        <f>'3. Audit and Accountability'!$L10</f>
        <v>Comment is required</v>
      </c>
      <c r="I54" s="14">
        <f>'3. Audit and Accountability'!$K10</f>
        <v>0</v>
      </c>
      <c r="J54" s="14" t="str">
        <f t="shared" si="11"/>
        <v>Blank</v>
      </c>
      <c r="K54" s="155" t="s">
        <v>1131</v>
      </c>
      <c r="L54" s="14" t="str">
        <f t="shared" si="1"/>
        <v>Blank</v>
      </c>
      <c r="N54" s="14" t="str">
        <f t="shared" si="3"/>
        <v/>
      </c>
      <c r="O54" s="14" t="str">
        <f t="shared" si="4"/>
        <v/>
      </c>
      <c r="P54" s="14" t="str">
        <f t="shared" si="5"/>
        <v>Comment is required</v>
      </c>
      <c r="Q54" s="14" t="str">
        <f t="shared" si="6"/>
        <v>Blank</v>
      </c>
      <c r="R54" s="14" t="str">
        <f t="shared" si="7"/>
        <v>No Override</v>
      </c>
      <c r="S54" s="14">
        <f t="shared" si="8"/>
        <v>3</v>
      </c>
      <c r="T54" s="14" t="str">
        <f t="shared" si="9"/>
        <v/>
      </c>
    </row>
    <row r="55" spans="1:20" x14ac:dyDescent="0.3">
      <c r="A55" s="224">
        <v>4</v>
      </c>
      <c r="C55" s="14">
        <f t="shared" si="2"/>
        <v>4</v>
      </c>
      <c r="D55" s="14" t="s">
        <v>327</v>
      </c>
      <c r="E55" s="58" t="s">
        <v>362</v>
      </c>
      <c r="F55" s="84" t="s">
        <v>360</v>
      </c>
      <c r="G55" s="173" t="s">
        <v>363</v>
      </c>
      <c r="H55" s="170" t="str">
        <f>'3. Audit and Accountability'!$L11</f>
        <v>Comment is required</v>
      </c>
      <c r="I55" s="14">
        <f>'3. Audit and Accountability'!$K11</f>
        <v>0</v>
      </c>
      <c r="J55" s="14" t="str">
        <f>IF($I55="Yes","Inadequate",IF($I55="No","Adequate",IF($I55="Partial","Inadequate",IF($I55="N/A","Inadequate",IF(OR($I55="",$I55=0),"Blank","Error")))))</f>
        <v>Blank</v>
      </c>
      <c r="K55" s="155" t="s">
        <v>1131</v>
      </c>
      <c r="L55" s="14" t="str">
        <f t="shared" si="1"/>
        <v>Blank</v>
      </c>
      <c r="N55" s="14" t="str">
        <f t="shared" si="3"/>
        <v/>
      </c>
      <c r="O55" s="14" t="str">
        <f t="shared" si="4"/>
        <v/>
      </c>
      <c r="P55" s="14" t="str">
        <f t="shared" si="5"/>
        <v>Comment is required</v>
      </c>
      <c r="Q55" s="14" t="str">
        <f t="shared" si="6"/>
        <v>Blank</v>
      </c>
      <c r="R55" s="14" t="str">
        <f t="shared" si="7"/>
        <v>No Override</v>
      </c>
      <c r="S55" s="14">
        <f t="shared" si="8"/>
        <v>4</v>
      </c>
      <c r="T55" s="14" t="str">
        <f t="shared" si="9"/>
        <v/>
      </c>
    </row>
    <row r="56" spans="1:20" x14ac:dyDescent="0.3">
      <c r="A56" s="224">
        <v>2</v>
      </c>
      <c r="C56" s="14">
        <f t="shared" si="2"/>
        <v>2</v>
      </c>
      <c r="D56" s="14" t="s">
        <v>327</v>
      </c>
      <c r="E56" s="58" t="s">
        <v>364</v>
      </c>
      <c r="F56" s="84" t="s">
        <v>366</v>
      </c>
      <c r="G56" s="172" t="s">
        <v>367</v>
      </c>
      <c r="H56" s="170" t="str">
        <f>'3. Audit and Accountability'!$L12</f>
        <v>Comment is required</v>
      </c>
      <c r="I56" s="14">
        <f>'3. Audit and Accountability'!$K12</f>
        <v>0</v>
      </c>
      <c r="J56" s="14" t="str">
        <f t="shared" ref="J56:J63" si="12">IF($I56="Yes","Adequate",IF($I56="No","Inadequate",IF($I56="Partial","Inadequate",IF($I56="N/A","Inadequate",IF(OR($I56="",$I56=0),"Blank","Error")))))</f>
        <v>Blank</v>
      </c>
      <c r="K56" s="155" t="s">
        <v>1131</v>
      </c>
      <c r="L56" s="14" t="str">
        <f t="shared" si="1"/>
        <v>Blank</v>
      </c>
      <c r="N56" s="14" t="str">
        <f t="shared" si="3"/>
        <v/>
      </c>
      <c r="O56" s="14" t="str">
        <f t="shared" si="4"/>
        <v/>
      </c>
      <c r="P56" s="14" t="str">
        <f t="shared" si="5"/>
        <v>Comment is required</v>
      </c>
      <c r="Q56" s="14" t="str">
        <f t="shared" si="6"/>
        <v>Blank</v>
      </c>
      <c r="R56" s="14" t="str">
        <f t="shared" si="7"/>
        <v>No Override</v>
      </c>
      <c r="S56" s="14">
        <f t="shared" si="8"/>
        <v>2</v>
      </c>
      <c r="T56" s="14" t="str">
        <f t="shared" si="9"/>
        <v/>
      </c>
    </row>
    <row r="57" spans="1:20" x14ac:dyDescent="0.3">
      <c r="A57" s="224">
        <v>2</v>
      </c>
      <c r="C57" s="14">
        <f t="shared" si="2"/>
        <v>2</v>
      </c>
      <c r="D57" s="14" t="s">
        <v>327</v>
      </c>
      <c r="E57" s="58" t="s">
        <v>368</v>
      </c>
      <c r="F57" s="84" t="s">
        <v>370</v>
      </c>
      <c r="G57" s="174" t="s">
        <v>371</v>
      </c>
      <c r="H57" s="170" t="str">
        <f>'3. Audit and Accountability'!$L13</f>
        <v>Comment is required</v>
      </c>
      <c r="I57" s="14">
        <f>'3. Audit and Accountability'!$K13</f>
        <v>0</v>
      </c>
      <c r="J57" s="14" t="str">
        <f t="shared" si="12"/>
        <v>Blank</v>
      </c>
      <c r="K57" s="155" t="s">
        <v>1131</v>
      </c>
      <c r="L57" s="14" t="str">
        <f t="shared" si="1"/>
        <v>Blank</v>
      </c>
      <c r="N57" s="14" t="str">
        <f t="shared" si="3"/>
        <v/>
      </c>
      <c r="O57" s="14" t="str">
        <f t="shared" si="4"/>
        <v/>
      </c>
      <c r="P57" s="14" t="str">
        <f t="shared" si="5"/>
        <v>Comment is required</v>
      </c>
      <c r="Q57" s="14" t="str">
        <f t="shared" si="6"/>
        <v>Blank</v>
      </c>
      <c r="R57" s="14" t="str">
        <f t="shared" si="7"/>
        <v>No Override</v>
      </c>
      <c r="S57" s="14">
        <f t="shared" si="8"/>
        <v>2</v>
      </c>
      <c r="T57" s="14" t="str">
        <f t="shared" si="9"/>
        <v/>
      </c>
    </row>
    <row r="58" spans="1:20" x14ac:dyDescent="0.3">
      <c r="A58" s="224">
        <v>3</v>
      </c>
      <c r="C58" s="14">
        <f t="shared" si="2"/>
        <v>3</v>
      </c>
      <c r="D58" s="14" t="s">
        <v>327</v>
      </c>
      <c r="E58" s="58" t="s">
        <v>372</v>
      </c>
      <c r="F58" s="84" t="s">
        <v>374</v>
      </c>
      <c r="G58" s="172" t="s">
        <v>375</v>
      </c>
      <c r="H58" s="170" t="str">
        <f>'3. Audit and Accountability'!$L14</f>
        <v>Comment is required</v>
      </c>
      <c r="I58" s="14">
        <f>'3. Audit and Accountability'!$K14</f>
        <v>0</v>
      </c>
      <c r="J58" s="14" t="str">
        <f t="shared" si="12"/>
        <v>Blank</v>
      </c>
      <c r="K58" s="155" t="s">
        <v>1131</v>
      </c>
      <c r="L58" s="14" t="str">
        <f t="shared" si="1"/>
        <v>Blank</v>
      </c>
      <c r="N58" s="14" t="str">
        <f t="shared" si="3"/>
        <v/>
      </c>
      <c r="O58" s="14" t="str">
        <f t="shared" si="4"/>
        <v/>
      </c>
      <c r="P58" s="14" t="str">
        <f t="shared" si="5"/>
        <v>Comment is required</v>
      </c>
      <c r="Q58" s="14" t="str">
        <f t="shared" si="6"/>
        <v>Blank</v>
      </c>
      <c r="R58" s="14" t="str">
        <f t="shared" si="7"/>
        <v>No Override</v>
      </c>
      <c r="S58" s="14">
        <f t="shared" si="8"/>
        <v>3</v>
      </c>
      <c r="T58" s="14" t="str">
        <f t="shared" si="9"/>
        <v/>
      </c>
    </row>
    <row r="59" spans="1:20" x14ac:dyDescent="0.3">
      <c r="A59" s="224">
        <v>3</v>
      </c>
      <c r="C59" s="14">
        <f t="shared" si="2"/>
        <v>3</v>
      </c>
      <c r="D59" s="14" t="s">
        <v>327</v>
      </c>
      <c r="E59" s="58" t="s">
        <v>376</v>
      </c>
      <c r="F59" s="84" t="s">
        <v>378</v>
      </c>
      <c r="G59" s="172" t="s">
        <v>379</v>
      </c>
      <c r="H59" s="170" t="str">
        <f>'3. Audit and Accountability'!$L15</f>
        <v>Comment is required</v>
      </c>
      <c r="I59" s="14">
        <f>'3. Audit and Accountability'!$K15</f>
        <v>0</v>
      </c>
      <c r="J59" s="14" t="str">
        <f t="shared" si="12"/>
        <v>Blank</v>
      </c>
      <c r="K59" s="155" t="s">
        <v>1131</v>
      </c>
      <c r="L59" s="14" t="str">
        <f t="shared" si="1"/>
        <v>Blank</v>
      </c>
      <c r="N59" s="14" t="str">
        <f t="shared" si="3"/>
        <v/>
      </c>
      <c r="O59" s="14" t="str">
        <f t="shared" si="4"/>
        <v/>
      </c>
      <c r="P59" s="14" t="str">
        <f t="shared" si="5"/>
        <v>Comment is required</v>
      </c>
      <c r="Q59" s="14" t="str">
        <f t="shared" si="6"/>
        <v>Blank</v>
      </c>
      <c r="R59" s="14" t="str">
        <f t="shared" si="7"/>
        <v>No Override</v>
      </c>
      <c r="S59" s="14">
        <f t="shared" si="8"/>
        <v>3</v>
      </c>
      <c r="T59" s="14" t="str">
        <f t="shared" si="9"/>
        <v/>
      </c>
    </row>
    <row r="60" spans="1:20" ht="24" x14ac:dyDescent="0.3">
      <c r="A60" s="224">
        <v>4</v>
      </c>
      <c r="C60" s="14">
        <f t="shared" si="2"/>
        <v>4</v>
      </c>
      <c r="D60" s="14" t="s">
        <v>1134</v>
      </c>
      <c r="E60" s="58" t="s">
        <v>381</v>
      </c>
      <c r="F60" s="82" t="s">
        <v>384</v>
      </c>
      <c r="G60" s="175" t="s">
        <v>385</v>
      </c>
      <c r="H60" s="175" t="str">
        <f>'4. Security Assessment'!$L3</f>
        <v>Comment is required</v>
      </c>
      <c r="I60" s="14">
        <f>'4. Security Assessment'!$K3</f>
        <v>0</v>
      </c>
      <c r="J60" s="14" t="str">
        <f t="shared" si="12"/>
        <v>Blank</v>
      </c>
      <c r="K60" s="155" t="s">
        <v>1131</v>
      </c>
      <c r="L60" s="14" t="str">
        <f t="shared" si="1"/>
        <v>Blank</v>
      </c>
      <c r="N60" s="14" t="str">
        <f t="shared" si="3"/>
        <v/>
      </c>
      <c r="O60" s="14" t="str">
        <f t="shared" si="4"/>
        <v/>
      </c>
      <c r="P60" s="14" t="str">
        <f t="shared" si="5"/>
        <v>Comment is required</v>
      </c>
      <c r="Q60" s="14" t="str">
        <f t="shared" si="6"/>
        <v>Blank</v>
      </c>
      <c r="R60" s="14" t="str">
        <f t="shared" si="7"/>
        <v>No Override</v>
      </c>
      <c r="S60" s="14">
        <f t="shared" si="8"/>
        <v>4</v>
      </c>
      <c r="T60" s="14" t="str">
        <f t="shared" si="9"/>
        <v/>
      </c>
    </row>
    <row r="61" spans="1:20" ht="34.200000000000003" x14ac:dyDescent="0.3">
      <c r="A61" s="224">
        <v>3</v>
      </c>
      <c r="C61" s="14">
        <f t="shared" si="2"/>
        <v>3</v>
      </c>
      <c r="D61" s="14" t="s">
        <v>1134</v>
      </c>
      <c r="E61" s="58" t="s">
        <v>386</v>
      </c>
      <c r="F61" s="82" t="s">
        <v>389</v>
      </c>
      <c r="G61" s="176" t="s">
        <v>390</v>
      </c>
      <c r="H61" s="175" t="str">
        <f>'4. Security Assessment'!$L4</f>
        <v>Comment is required</v>
      </c>
      <c r="I61" s="14">
        <f>'4. Security Assessment'!$K4</f>
        <v>0</v>
      </c>
      <c r="J61" s="14" t="str">
        <f t="shared" si="12"/>
        <v>Blank</v>
      </c>
      <c r="K61" s="155" t="s">
        <v>1131</v>
      </c>
      <c r="L61" s="14" t="str">
        <f t="shared" si="1"/>
        <v>Blank</v>
      </c>
      <c r="N61" s="14" t="str">
        <f t="shared" si="3"/>
        <v/>
      </c>
      <c r="O61" s="14" t="str">
        <f t="shared" si="4"/>
        <v/>
      </c>
      <c r="P61" s="14" t="str">
        <f t="shared" si="5"/>
        <v>Comment is required</v>
      </c>
      <c r="Q61" s="14" t="str">
        <f t="shared" si="6"/>
        <v>Blank</v>
      </c>
      <c r="R61" s="14" t="str">
        <f t="shared" si="7"/>
        <v>No Override</v>
      </c>
      <c r="S61" s="14">
        <f t="shared" si="8"/>
        <v>3</v>
      </c>
      <c r="T61" s="14" t="str">
        <f t="shared" si="9"/>
        <v/>
      </c>
    </row>
    <row r="62" spans="1:20" ht="34.200000000000003" x14ac:dyDescent="0.3">
      <c r="A62" s="224">
        <v>3</v>
      </c>
      <c r="C62" s="14">
        <f t="shared" si="2"/>
        <v>3</v>
      </c>
      <c r="D62" s="14" t="s">
        <v>1134</v>
      </c>
      <c r="E62" s="58" t="s">
        <v>391</v>
      </c>
      <c r="F62" s="82" t="s">
        <v>389</v>
      </c>
      <c r="G62" s="176" t="s">
        <v>392</v>
      </c>
      <c r="H62" s="175" t="str">
        <f>'4. Security Assessment'!$L5</f>
        <v>Comment is required</v>
      </c>
      <c r="I62" s="14">
        <f>'4. Security Assessment'!$K5</f>
        <v>0</v>
      </c>
      <c r="J62" s="14" t="str">
        <f t="shared" si="12"/>
        <v>Blank</v>
      </c>
      <c r="K62" s="155" t="s">
        <v>1131</v>
      </c>
      <c r="L62" s="14" t="str">
        <f t="shared" si="1"/>
        <v>Blank</v>
      </c>
      <c r="N62" s="14" t="str">
        <f t="shared" si="3"/>
        <v/>
      </c>
      <c r="O62" s="14" t="str">
        <f t="shared" si="4"/>
        <v/>
      </c>
      <c r="P62" s="14" t="str">
        <f t="shared" si="5"/>
        <v>Comment is required</v>
      </c>
      <c r="Q62" s="14" t="str">
        <f t="shared" si="6"/>
        <v>Blank</v>
      </c>
      <c r="R62" s="14" t="str">
        <f t="shared" si="7"/>
        <v>No Override</v>
      </c>
      <c r="S62" s="14">
        <f t="shared" si="8"/>
        <v>3</v>
      </c>
      <c r="T62" s="14" t="str">
        <f t="shared" si="9"/>
        <v/>
      </c>
    </row>
    <row r="63" spans="1:20" ht="22.8" x14ac:dyDescent="0.3">
      <c r="A63" s="224">
        <v>3</v>
      </c>
      <c r="C63" s="14">
        <f t="shared" si="2"/>
        <v>3</v>
      </c>
      <c r="D63" s="14" t="s">
        <v>1134</v>
      </c>
      <c r="E63" s="58" t="s">
        <v>393</v>
      </c>
      <c r="F63" s="82" t="s">
        <v>389</v>
      </c>
      <c r="G63" s="176" t="s">
        <v>394</v>
      </c>
      <c r="H63" s="175" t="str">
        <f>'4. Security Assessment'!$L6</f>
        <v>Comment is required</v>
      </c>
      <c r="I63" s="14">
        <f>'4. Security Assessment'!$K6</f>
        <v>0</v>
      </c>
      <c r="J63" s="14" t="str">
        <f t="shared" si="12"/>
        <v>Blank</v>
      </c>
      <c r="K63" s="155" t="s">
        <v>1131</v>
      </c>
      <c r="L63" s="14" t="str">
        <f t="shared" si="1"/>
        <v>Blank</v>
      </c>
      <c r="N63" s="14" t="str">
        <f t="shared" si="3"/>
        <v/>
      </c>
      <c r="O63" s="14" t="str">
        <f t="shared" si="4"/>
        <v/>
      </c>
      <c r="P63" s="14" t="str">
        <f t="shared" si="5"/>
        <v>Comment is required</v>
      </c>
      <c r="Q63" s="14" t="str">
        <f t="shared" si="6"/>
        <v>Blank</v>
      </c>
      <c r="R63" s="14" t="str">
        <f t="shared" si="7"/>
        <v>No Override</v>
      </c>
      <c r="S63" s="14">
        <f t="shared" si="8"/>
        <v>3</v>
      </c>
      <c r="T63" s="14" t="str">
        <f t="shared" si="9"/>
        <v/>
      </c>
    </row>
    <row r="64" spans="1:20" x14ac:dyDescent="0.3">
      <c r="A64" s="224">
        <v>4</v>
      </c>
      <c r="C64" s="14">
        <f t="shared" si="2"/>
        <v>4</v>
      </c>
      <c r="D64" s="14" t="s">
        <v>1134</v>
      </c>
      <c r="E64" s="58" t="s">
        <v>395</v>
      </c>
      <c r="F64" s="82" t="s">
        <v>398</v>
      </c>
      <c r="G64" s="170" t="s">
        <v>399</v>
      </c>
      <c r="H64" s="175" t="str">
        <f>'4. Security Assessment'!$L7</f>
        <v>Comment is required</v>
      </c>
      <c r="I64" s="14">
        <f>'4. Security Assessment'!$K7</f>
        <v>0</v>
      </c>
      <c r="J64" s="48" t="str">
        <f>IF(AND($I64="Yes",$I65="Yes",$I66="Yes"),"Adequate",IF(AND($I64="Yes",OR(NOT($I65="Yes"),NOT($I66="Yes"))),"Inadequate",IF($I64="No","N/A",IF($I64="Partial","Inadequate",IF($I64="N/A","N/A",IF(OR($I64="",$I64=0),"Blank","Error"))))))</f>
        <v>Blank</v>
      </c>
      <c r="K64" s="155" t="s">
        <v>1131</v>
      </c>
      <c r="L64" s="14" t="str">
        <f t="shared" si="1"/>
        <v>Blank</v>
      </c>
      <c r="N64" s="14" t="str">
        <f t="shared" si="3"/>
        <v/>
      </c>
      <c r="O64" s="14" t="str">
        <f t="shared" si="4"/>
        <v/>
      </c>
      <c r="P64" s="14" t="str">
        <f t="shared" si="5"/>
        <v>Comment is required</v>
      </c>
      <c r="Q64" s="14" t="str">
        <f t="shared" si="6"/>
        <v>Blank</v>
      </c>
      <c r="R64" s="14" t="str">
        <f t="shared" si="7"/>
        <v>No Override</v>
      </c>
      <c r="S64" s="14">
        <f t="shared" si="8"/>
        <v>4</v>
      </c>
      <c r="T64" s="14" t="str">
        <f t="shared" si="9"/>
        <v/>
      </c>
    </row>
    <row r="65" spans="1:20" x14ac:dyDescent="0.3">
      <c r="A65" s="224">
        <v>1</v>
      </c>
      <c r="C65" s="14">
        <f t="shared" si="2"/>
        <v>1</v>
      </c>
      <c r="D65" s="14" t="s">
        <v>1134</v>
      </c>
      <c r="E65" s="58" t="s">
        <v>400</v>
      </c>
      <c r="F65" s="82" t="s">
        <v>398</v>
      </c>
      <c r="G65" s="170" t="s">
        <v>401</v>
      </c>
      <c r="H65" s="175" t="str">
        <f>'4. Security Assessment'!$L8</f>
        <v>Comment is required</v>
      </c>
      <c r="I65" s="14">
        <f>'4. Security Assessment'!$K8</f>
        <v>0</v>
      </c>
      <c r="J65" s="60" t="str">
        <f>IF(OR($I64="N/A",$I64="No"),"N/A",IF($I65="Yes","Adequate",IF($I65="No","Inadequate",IF($I65="Partial","Inadequate",IF(AND($I65="N/A",NOT($I64="No"),NOT($I64="N/A")),"Inadequate",IF(OR($I65="",$I65=0),"Blank","Error"))))))</f>
        <v>Blank</v>
      </c>
      <c r="K65" s="155" t="s">
        <v>1131</v>
      </c>
      <c r="L65" s="14" t="str">
        <f t="shared" si="1"/>
        <v>Blank</v>
      </c>
      <c r="N65" s="14" t="str">
        <f t="shared" si="3"/>
        <v/>
      </c>
      <c r="O65" s="14" t="str">
        <f t="shared" si="4"/>
        <v/>
      </c>
      <c r="P65" s="14" t="str">
        <f t="shared" si="5"/>
        <v>Comment is required</v>
      </c>
      <c r="Q65" s="14" t="str">
        <f t="shared" si="6"/>
        <v>Blank</v>
      </c>
      <c r="R65" s="14" t="str">
        <f t="shared" si="7"/>
        <v>No Override</v>
      </c>
      <c r="S65" s="14">
        <f t="shared" si="8"/>
        <v>1</v>
      </c>
      <c r="T65" s="14" t="str">
        <f t="shared" si="9"/>
        <v/>
      </c>
    </row>
    <row r="66" spans="1:20" ht="22.8" x14ac:dyDescent="0.3">
      <c r="A66" s="224">
        <v>1</v>
      </c>
      <c r="C66" s="14">
        <f t="shared" si="2"/>
        <v>1</v>
      </c>
      <c r="D66" s="14" t="s">
        <v>1134</v>
      </c>
      <c r="E66" s="58" t="s">
        <v>402</v>
      </c>
      <c r="F66" s="82" t="s">
        <v>398</v>
      </c>
      <c r="G66" s="170" t="s">
        <v>403</v>
      </c>
      <c r="H66" s="175" t="str">
        <f>'4. Security Assessment'!$L9</f>
        <v>Comment is required</v>
      </c>
      <c r="I66" s="14">
        <f>'4. Security Assessment'!$K9</f>
        <v>0</v>
      </c>
      <c r="J66" s="60" t="str">
        <f>IF(OR($I64="N/A",$I64="No"),"N/A",IF($I66="Yes","Adequate",IF($I66="No","Inadequate",IF($I66="Partial","Inadequate",IF(AND($I66="N/A",NOT($I64="No"),NOT($I64="N/A")),"Inadequate",IF(OR($I66="",$I66=0),"Blank","Error"))))))</f>
        <v>Blank</v>
      </c>
      <c r="K66" s="155" t="s">
        <v>1131</v>
      </c>
      <c r="L66" s="14" t="str">
        <f t="shared" si="1"/>
        <v>Blank</v>
      </c>
      <c r="N66" s="14" t="str">
        <f t="shared" si="3"/>
        <v/>
      </c>
      <c r="O66" s="14" t="str">
        <f t="shared" si="4"/>
        <v/>
      </c>
      <c r="P66" s="14" t="str">
        <f t="shared" si="5"/>
        <v>Comment is required</v>
      </c>
      <c r="Q66" s="14" t="str">
        <f t="shared" si="6"/>
        <v>Blank</v>
      </c>
      <c r="R66" s="14" t="str">
        <f t="shared" si="7"/>
        <v>No Override</v>
      </c>
      <c r="S66" s="14">
        <f t="shared" si="8"/>
        <v>1</v>
      </c>
      <c r="T66" s="14" t="str">
        <f t="shared" si="9"/>
        <v/>
      </c>
    </row>
    <row r="67" spans="1:20" x14ac:dyDescent="0.3">
      <c r="A67" s="224">
        <v>2</v>
      </c>
      <c r="C67" s="14">
        <f t="shared" si="2"/>
        <v>2</v>
      </c>
      <c r="D67" s="14" t="s">
        <v>1134</v>
      </c>
      <c r="E67" s="58" t="s">
        <v>404</v>
      </c>
      <c r="F67" s="82" t="s">
        <v>406</v>
      </c>
      <c r="G67" s="176" t="s">
        <v>407</v>
      </c>
      <c r="H67" s="175" t="str">
        <f>'4. Security Assessment'!$L10</f>
        <v>Comment is required</v>
      </c>
      <c r="I67" s="14">
        <f>'4. Security Assessment'!$K10</f>
        <v>0</v>
      </c>
      <c r="J67" s="14" t="str">
        <f>IF($I67="Yes","Adequate",IF($I67="No","Inadequate",IF($I67="Partial","Inadequate",IF($I67="N/A","Inadequate",IF(OR($I67="",$I67=0),"Blank","Error")))))</f>
        <v>Blank</v>
      </c>
      <c r="K67" s="155" t="s">
        <v>1131</v>
      </c>
      <c r="L67" s="14" t="str">
        <f t="shared" si="1"/>
        <v>Blank</v>
      </c>
      <c r="N67" s="14" t="str">
        <f t="shared" si="3"/>
        <v/>
      </c>
      <c r="O67" s="14" t="str">
        <f t="shared" si="4"/>
        <v/>
      </c>
      <c r="P67" s="14" t="str">
        <f t="shared" si="5"/>
        <v>Comment is required</v>
      </c>
      <c r="Q67" s="14" t="str">
        <f t="shared" si="6"/>
        <v>Blank</v>
      </c>
      <c r="R67" s="14" t="str">
        <f t="shared" si="7"/>
        <v>No Override</v>
      </c>
      <c r="S67" s="14">
        <f t="shared" si="8"/>
        <v>2</v>
      </c>
      <c r="T67" s="14" t="str">
        <f t="shared" si="9"/>
        <v/>
      </c>
    </row>
    <row r="68" spans="1:20" ht="22.8" x14ac:dyDescent="0.3">
      <c r="A68" s="224">
        <v>3</v>
      </c>
      <c r="C68" s="14">
        <f t="shared" si="2"/>
        <v>3</v>
      </c>
      <c r="D68" s="14" t="s">
        <v>1134</v>
      </c>
      <c r="E68" s="58" t="s">
        <v>408</v>
      </c>
      <c r="F68" s="82" t="s">
        <v>411</v>
      </c>
      <c r="G68" s="176" t="s">
        <v>412</v>
      </c>
      <c r="H68" s="175" t="str">
        <f>'4. Security Assessment'!$L11</f>
        <v>Comment is required</v>
      </c>
      <c r="I68" s="14">
        <f>'4. Security Assessment'!$K11</f>
        <v>0</v>
      </c>
      <c r="J68" s="48" t="str">
        <f>IF(AND($I68="Yes",$I69="Yes"),"Adequate",IF(AND($I68="Yes",NOT($I69="Yes")),"Inadequate",IF($I68="No","Inadequate",IF($I68="Partial","Inadequate",IF($I68="N/A","Inadequate",IF(OR($I68="",$I68=0),"Blank","Error"))))))</f>
        <v>Blank</v>
      </c>
      <c r="K68" s="155" t="s">
        <v>1131</v>
      </c>
      <c r="L68" s="14" t="str">
        <f t="shared" si="1"/>
        <v>Blank</v>
      </c>
      <c r="N68" s="14" t="str">
        <f t="shared" si="3"/>
        <v/>
      </c>
      <c r="O68" s="14" t="str">
        <f t="shared" si="4"/>
        <v/>
      </c>
      <c r="P68" s="14" t="str">
        <f t="shared" si="5"/>
        <v>Comment is required</v>
      </c>
      <c r="Q68" s="14" t="str">
        <f t="shared" si="6"/>
        <v>Blank</v>
      </c>
      <c r="R68" s="14" t="str">
        <f t="shared" si="7"/>
        <v>No Override</v>
      </c>
      <c r="S68" s="14">
        <f t="shared" si="8"/>
        <v>3</v>
      </c>
      <c r="T68" s="14" t="str">
        <f t="shared" si="9"/>
        <v/>
      </c>
    </row>
    <row r="69" spans="1:20" ht="22.8" x14ac:dyDescent="0.3">
      <c r="A69" s="224">
        <v>3</v>
      </c>
      <c r="C69" s="14">
        <f t="shared" si="2"/>
        <v>3</v>
      </c>
      <c r="D69" s="14" t="s">
        <v>1134</v>
      </c>
      <c r="E69" s="58" t="s">
        <v>413</v>
      </c>
      <c r="F69" s="82" t="s">
        <v>411</v>
      </c>
      <c r="G69" s="176" t="s">
        <v>414</v>
      </c>
      <c r="H69" s="175" t="str">
        <f>'4. Security Assessment'!$L12</f>
        <v>Comment is required</v>
      </c>
      <c r="I69" s="14">
        <f>'4. Security Assessment'!$K12</f>
        <v>0</v>
      </c>
      <c r="J69" s="60" t="str">
        <f>IF($I69="Yes","Adequate",IF($I69="No","Inadequate",IF($I69="Partial","Inadequate",IF(AND($I69="N/A",$I68="No"),"N/A",IF(AND($I69="N/A",NOT($I68="No")),"Inadequate",IF(OR($I69="",$I69=0),"Blank","Error"))))))</f>
        <v>Blank</v>
      </c>
      <c r="K69" s="155" t="s">
        <v>1131</v>
      </c>
      <c r="L69" s="14" t="str">
        <f t="shared" si="1"/>
        <v>Blank</v>
      </c>
      <c r="N69" s="14" t="str">
        <f t="shared" si="3"/>
        <v/>
      </c>
      <c r="O69" s="14" t="str">
        <f t="shared" si="4"/>
        <v/>
      </c>
      <c r="P69" s="14" t="str">
        <f t="shared" si="5"/>
        <v>Comment is required</v>
      </c>
      <c r="Q69" s="14" t="str">
        <f t="shared" si="6"/>
        <v>Blank</v>
      </c>
      <c r="R69" s="14" t="str">
        <f t="shared" si="7"/>
        <v>No Override</v>
      </c>
      <c r="S69" s="14">
        <f t="shared" si="8"/>
        <v>3</v>
      </c>
      <c r="T69" s="14" t="str">
        <f t="shared" si="9"/>
        <v/>
      </c>
    </row>
    <row r="70" spans="1:20" x14ac:dyDescent="0.3">
      <c r="A70" s="224">
        <v>1</v>
      </c>
      <c r="C70" s="14">
        <f t="shared" si="2"/>
        <v>1</v>
      </c>
      <c r="D70" s="14" t="s">
        <v>1134</v>
      </c>
      <c r="E70" s="58" t="s">
        <v>415</v>
      </c>
      <c r="F70" s="82" t="s">
        <v>418</v>
      </c>
      <c r="G70" s="170" t="s">
        <v>419</v>
      </c>
      <c r="H70" s="175" t="str">
        <f>'4. Security Assessment'!$L13</f>
        <v>Comment is required</v>
      </c>
      <c r="I70" s="14">
        <f>'4. Security Assessment'!$K13</f>
        <v>0</v>
      </c>
      <c r="J70" s="14" t="str">
        <f>IF($I70="Yes","Adequate",IF($I70="No","Inadequate",IF($I70="Partial","Inadequate",IF($I70="N/A","Inadequate",IF(OR($I70="",$I70=0),"Blank","Error")))))</f>
        <v>Blank</v>
      </c>
      <c r="K70" s="155" t="s">
        <v>1131</v>
      </c>
      <c r="L70" s="14" t="str">
        <f t="shared" si="1"/>
        <v>Blank</v>
      </c>
      <c r="N70" s="14" t="str">
        <f t="shared" si="3"/>
        <v/>
      </c>
      <c r="O70" s="14" t="str">
        <f t="shared" si="4"/>
        <v/>
      </c>
      <c r="P70" s="14" t="str">
        <f t="shared" si="5"/>
        <v>Comment is required</v>
      </c>
      <c r="Q70" s="14" t="str">
        <f t="shared" si="6"/>
        <v>Blank</v>
      </c>
      <c r="R70" s="14" t="str">
        <f t="shared" si="7"/>
        <v>No Override</v>
      </c>
      <c r="S70" s="14">
        <f t="shared" si="8"/>
        <v>1</v>
      </c>
      <c r="T70" s="14" t="str">
        <f t="shared" si="9"/>
        <v/>
      </c>
    </row>
    <row r="71" spans="1:20" x14ac:dyDescent="0.3">
      <c r="A71" s="224">
        <v>1</v>
      </c>
      <c r="C71" s="14">
        <f t="shared" si="2"/>
        <v>1</v>
      </c>
      <c r="D71" s="14" t="s">
        <v>1134</v>
      </c>
      <c r="E71" s="58" t="s">
        <v>420</v>
      </c>
      <c r="F71" s="82" t="s">
        <v>418</v>
      </c>
      <c r="G71" s="170" t="s">
        <v>421</v>
      </c>
      <c r="H71" s="175" t="str">
        <f>'4. Security Assessment'!$L14</f>
        <v>Comment is required</v>
      </c>
      <c r="I71" s="14">
        <f>'4. Security Assessment'!$K14</f>
        <v>0</v>
      </c>
      <c r="J71" s="14" t="str">
        <f>IF($I71="Yes","Adequate",IF($I71="No","Inadequate",IF($I71="Partial","Inadequate",IF($I71="N/A","Inadequate",IF(OR($I71="",$I71=0),"Blank","Error")))))</f>
        <v>Blank</v>
      </c>
      <c r="K71" s="155" t="s">
        <v>1131</v>
      </c>
      <c r="L71" s="14" t="str">
        <f t="shared" si="1"/>
        <v>Blank</v>
      </c>
      <c r="N71" s="14" t="str">
        <f t="shared" si="3"/>
        <v/>
      </c>
      <c r="O71" s="14" t="str">
        <f t="shared" si="4"/>
        <v/>
      </c>
      <c r="P71" s="14" t="str">
        <f t="shared" si="5"/>
        <v>Comment is required</v>
      </c>
      <c r="Q71" s="14" t="str">
        <f t="shared" si="6"/>
        <v>Blank</v>
      </c>
      <c r="R71" s="14" t="str">
        <f t="shared" si="7"/>
        <v>No Override</v>
      </c>
      <c r="S71" s="14">
        <f t="shared" si="8"/>
        <v>1</v>
      </c>
      <c r="T71" s="14" t="str">
        <f t="shared" si="9"/>
        <v/>
      </c>
    </row>
    <row r="72" spans="1:20" x14ac:dyDescent="0.3">
      <c r="A72" s="224">
        <v>1</v>
      </c>
      <c r="C72" s="14">
        <f t="shared" si="2"/>
        <v>1</v>
      </c>
      <c r="D72" s="14" t="s">
        <v>1134</v>
      </c>
      <c r="E72" s="58" t="s">
        <v>422</v>
      </c>
      <c r="F72" s="82" t="s">
        <v>418</v>
      </c>
      <c r="G72" s="170" t="s">
        <v>423</v>
      </c>
      <c r="H72" s="175" t="str">
        <f>'4. Security Assessment'!$L15</f>
        <v>Comment is required</v>
      </c>
      <c r="I72" s="14">
        <f>'4. Security Assessment'!$K15</f>
        <v>0</v>
      </c>
      <c r="J72" s="14" t="str">
        <f>IF($I72="Yes","Adequate",IF($I72="No","Inadequate",IF($I72="Partial","Inadequate",IF($I72="N/A","Inadequate",IF(OR($I72="",$I72=0),"Blank","Error")))))</f>
        <v>Blank</v>
      </c>
      <c r="K72" s="155" t="s">
        <v>1131</v>
      </c>
      <c r="L72" s="14" t="str">
        <f t="shared" si="1"/>
        <v>Blank</v>
      </c>
      <c r="N72" s="14" t="str">
        <f t="shared" si="3"/>
        <v/>
      </c>
      <c r="O72" s="14" t="str">
        <f t="shared" si="4"/>
        <v/>
      </c>
      <c r="P72" s="14" t="str">
        <f t="shared" si="5"/>
        <v>Comment is required</v>
      </c>
      <c r="Q72" s="14" t="str">
        <f t="shared" si="6"/>
        <v>Blank</v>
      </c>
      <c r="R72" s="14" t="str">
        <f t="shared" si="7"/>
        <v>No Override</v>
      </c>
      <c r="S72" s="14">
        <f t="shared" si="8"/>
        <v>1</v>
      </c>
      <c r="T72" s="14" t="str">
        <f t="shared" si="9"/>
        <v/>
      </c>
    </row>
    <row r="73" spans="1:20" x14ac:dyDescent="0.3">
      <c r="A73" s="224">
        <v>1</v>
      </c>
      <c r="C73" s="14">
        <f t="shared" si="2"/>
        <v>1</v>
      </c>
      <c r="D73" s="14" t="s">
        <v>1134</v>
      </c>
      <c r="E73" s="58" t="s">
        <v>424</v>
      </c>
      <c r="F73" s="82" t="s">
        <v>418</v>
      </c>
      <c r="G73" s="170" t="s">
        <v>425</v>
      </c>
      <c r="H73" s="175" t="str">
        <f>'4. Security Assessment'!$L16</f>
        <v>Comment is required</v>
      </c>
      <c r="I73" s="14">
        <f>'4. Security Assessment'!$K16</f>
        <v>0</v>
      </c>
      <c r="J73" s="14" t="str">
        <f>IF($I73="Yes","Adequate",IF($I73="No","Inadequate",IF($I73="Partial","Inadequate",IF($I73="N/A","Inadequate",IF(OR($I73="",$I73=0),"Blank","Error")))))</f>
        <v>Blank</v>
      </c>
      <c r="K73" s="155" t="s">
        <v>1131</v>
      </c>
      <c r="L73" s="14" t="str">
        <f t="shared" si="1"/>
        <v>Blank</v>
      </c>
      <c r="N73" s="14" t="str">
        <f t="shared" si="3"/>
        <v/>
      </c>
      <c r="O73" s="14" t="str">
        <f t="shared" si="4"/>
        <v/>
      </c>
      <c r="P73" s="14" t="str">
        <f t="shared" si="5"/>
        <v>Comment is required</v>
      </c>
      <c r="Q73" s="14" t="str">
        <f t="shared" si="6"/>
        <v>Blank</v>
      </c>
      <c r="R73" s="14" t="str">
        <f t="shared" si="7"/>
        <v>No Override</v>
      </c>
      <c r="S73" s="14">
        <f t="shared" si="8"/>
        <v>1</v>
      </c>
      <c r="T73" s="14" t="str">
        <f t="shared" si="9"/>
        <v/>
      </c>
    </row>
    <row r="74" spans="1:20" x14ac:dyDescent="0.3">
      <c r="A74" s="224">
        <v>1</v>
      </c>
      <c r="C74" s="14">
        <f t="shared" si="2"/>
        <v>1</v>
      </c>
      <c r="D74" s="14" t="s">
        <v>1134</v>
      </c>
      <c r="E74" s="58" t="s">
        <v>426</v>
      </c>
      <c r="F74" s="82" t="s">
        <v>428</v>
      </c>
      <c r="G74" s="170" t="s">
        <v>429</v>
      </c>
      <c r="H74" s="175" t="str">
        <f>'4. Security Assessment'!$L17</f>
        <v>Comment is required</v>
      </c>
      <c r="I74" s="14">
        <f>'4. Security Assessment'!$K17</f>
        <v>0</v>
      </c>
      <c r="J74" s="14" t="str">
        <f>IF($I74="Yes","Adequate",IF($I74="No","Inadequate",IF($I74="Partial","Inadequate",IF($I74="N/A","Inadequate",IF(OR($I74="",$I74=0),"Blank","Error")))))</f>
        <v>Blank</v>
      </c>
      <c r="K74" s="155" t="s">
        <v>1131</v>
      </c>
      <c r="L74" s="14" t="str">
        <f t="shared" si="1"/>
        <v>Blank</v>
      </c>
      <c r="N74" s="14" t="str">
        <f t="shared" si="3"/>
        <v/>
      </c>
      <c r="O74" s="14" t="str">
        <f t="shared" si="4"/>
        <v/>
      </c>
      <c r="P74" s="14" t="str">
        <f t="shared" si="5"/>
        <v>Comment is required</v>
      </c>
      <c r="Q74" s="14" t="str">
        <f t="shared" si="6"/>
        <v>Blank</v>
      </c>
      <c r="R74" s="14" t="str">
        <f t="shared" si="7"/>
        <v>No Override</v>
      </c>
      <c r="S74" s="14">
        <f t="shared" si="8"/>
        <v>1</v>
      </c>
      <c r="T74" s="14" t="str">
        <f t="shared" si="9"/>
        <v/>
      </c>
    </row>
    <row r="75" spans="1:20" ht="22.8" x14ac:dyDescent="0.3">
      <c r="A75" s="224">
        <v>4</v>
      </c>
      <c r="C75" s="14">
        <f t="shared" si="2"/>
        <v>4</v>
      </c>
      <c r="D75" s="14" t="s">
        <v>1134</v>
      </c>
      <c r="E75" s="58" t="s">
        <v>430</v>
      </c>
      <c r="F75" s="82" t="s">
        <v>432</v>
      </c>
      <c r="G75" s="170" t="s">
        <v>433</v>
      </c>
      <c r="H75" s="175" t="str">
        <f>'4. Security Assessment'!$L18</f>
        <v>Comment is required</v>
      </c>
      <c r="I75" s="14">
        <f>'4. Security Assessment'!$K18</f>
        <v>0</v>
      </c>
      <c r="J75" s="48" t="str">
        <f>IF(AND($I75="Yes",$I76="Yes"),"Adequate",IF(AND($I75="Yes",NOT($I76="Yes")),"Inadequate",IF($I75="No","N/A",IF($I75="Partial","Inadequate",IF($I75="N/A","N/A",IF(OR($I75="",$I75=0),"Blank","Error"))))))</f>
        <v>Blank</v>
      </c>
      <c r="K75" s="155" t="s">
        <v>1131</v>
      </c>
      <c r="L75" s="14" t="str">
        <f t="shared" si="1"/>
        <v>Blank</v>
      </c>
      <c r="N75" s="14" t="str">
        <f t="shared" si="3"/>
        <v/>
      </c>
      <c r="O75" s="14" t="str">
        <f t="shared" si="4"/>
        <v/>
      </c>
      <c r="P75" s="14" t="str">
        <f t="shared" si="5"/>
        <v>Comment is required</v>
      </c>
      <c r="Q75" s="14" t="str">
        <f t="shared" si="6"/>
        <v>Blank</v>
      </c>
      <c r="R75" s="14" t="str">
        <f t="shared" si="7"/>
        <v>No Override</v>
      </c>
      <c r="S75" s="14">
        <f t="shared" si="8"/>
        <v>4</v>
      </c>
      <c r="T75" s="14" t="str">
        <f t="shared" si="9"/>
        <v/>
      </c>
    </row>
    <row r="76" spans="1:20" ht="22.8" x14ac:dyDescent="0.3">
      <c r="A76" s="224">
        <v>1</v>
      </c>
      <c r="C76" s="14">
        <f t="shared" si="2"/>
        <v>1</v>
      </c>
      <c r="D76" s="14" t="s">
        <v>1134</v>
      </c>
      <c r="E76" s="58" t="s">
        <v>434</v>
      </c>
      <c r="F76" s="84" t="s">
        <v>432</v>
      </c>
      <c r="G76" s="170" t="s">
        <v>435</v>
      </c>
      <c r="H76" s="175" t="str">
        <f>'4. Security Assessment'!$L19</f>
        <v>Comment is required</v>
      </c>
      <c r="I76" s="14">
        <f>'4. Security Assessment'!$K19</f>
        <v>0</v>
      </c>
      <c r="J76" s="60" t="str">
        <f>IF(OR($I75="N/A",$I75="No"),"N/A",IF($I76="Yes","Adequate",IF($I76="No","Inadequate",IF($I76="Partial","Inadequate",IF(AND($I76="N/A",NOT($I75="No"),NOT($I75="N/A")),"Inadequate",IF(OR($I76="",$I76=0),"Blank","Error"))))))</f>
        <v>Blank</v>
      </c>
      <c r="K76" s="155" t="s">
        <v>1131</v>
      </c>
      <c r="L76" s="14" t="str">
        <f t="shared" ref="L76:L144" si="13">IF($K76="No Override",$J76,$K76)</f>
        <v>Blank</v>
      </c>
      <c r="N76" s="14" t="str">
        <f t="shared" si="3"/>
        <v/>
      </c>
      <c r="O76" s="14" t="str">
        <f t="shared" si="4"/>
        <v/>
      </c>
      <c r="P76" s="14" t="str">
        <f t="shared" si="5"/>
        <v>Comment is required</v>
      </c>
      <c r="Q76" s="14" t="str">
        <f t="shared" si="6"/>
        <v>Blank</v>
      </c>
      <c r="R76" s="14" t="str">
        <f t="shared" si="7"/>
        <v>No Override</v>
      </c>
      <c r="S76" s="14">
        <f t="shared" si="8"/>
        <v>1</v>
      </c>
      <c r="T76" s="14" t="str">
        <f t="shared" si="9"/>
        <v/>
      </c>
    </row>
    <row r="77" spans="1:20" ht="22.8" x14ac:dyDescent="0.3">
      <c r="A77" s="224">
        <v>4</v>
      </c>
      <c r="C77" s="14">
        <f t="shared" ref="C77:C145" si="14">IF($B77="",$A77,$B77)</f>
        <v>4</v>
      </c>
      <c r="D77" s="14" t="s">
        <v>436</v>
      </c>
      <c r="E77" s="58" t="s">
        <v>437</v>
      </c>
      <c r="F77" s="82" t="s">
        <v>439</v>
      </c>
      <c r="G77" s="170" t="s">
        <v>440</v>
      </c>
      <c r="H77" s="170" t="str">
        <f>'5. Configuration'!$L3</f>
        <v>Comment is required</v>
      </c>
      <c r="I77" s="14">
        <f>'5. Configuration'!$K3</f>
        <v>0</v>
      </c>
      <c r="J77" s="14" t="str">
        <f t="shared" ref="J77:J116" si="15">IF($I77="Yes","Adequate",IF($I77="No","Inadequate",IF($I77="Partial","Inadequate",IF($I77="N/A","Inadequate",IF(OR($I77="",$I77=0),"Blank","Error")))))</f>
        <v>Blank</v>
      </c>
      <c r="K77" s="155" t="s">
        <v>1131</v>
      </c>
      <c r="L77" s="14" t="str">
        <f t="shared" si="13"/>
        <v>Blank</v>
      </c>
      <c r="N77" s="14" t="str">
        <f t="shared" ref="N77:N145" si="16">IF($J77=$L77,"","***")</f>
        <v/>
      </c>
      <c r="O77" s="14" t="str">
        <f t="shared" ref="O77:O145" si="17">IF(OR($I77="",$I77=0),"",$I77)</f>
        <v/>
      </c>
      <c r="P77" s="14" t="str">
        <f t="shared" ref="P77:P145" si="18">IF(OR($H77="",$H77=0),"",$H77)</f>
        <v>Comment is required</v>
      </c>
      <c r="Q77" s="14" t="str">
        <f t="shared" ref="Q77:Q145" si="19">$L77</f>
        <v>Blank</v>
      </c>
      <c r="R77" s="14" t="str">
        <f t="shared" ref="R77:R145" si="20">$K77</f>
        <v>No Override</v>
      </c>
      <c r="S77" s="14">
        <f t="shared" ref="S77:S145" si="21">$C77</f>
        <v>4</v>
      </c>
      <c r="T77" s="14" t="str">
        <f t="shared" ref="T77:T145" si="22">IF($L77=$Q77,"","***")</f>
        <v/>
      </c>
    </row>
    <row r="78" spans="1:20" ht="22.8" x14ac:dyDescent="0.3">
      <c r="A78" s="224">
        <v>1</v>
      </c>
      <c r="C78" s="14">
        <f t="shared" si="14"/>
        <v>1</v>
      </c>
      <c r="D78" s="14" t="s">
        <v>436</v>
      </c>
      <c r="E78" s="58" t="s">
        <v>441</v>
      </c>
      <c r="F78" s="82" t="s">
        <v>443</v>
      </c>
      <c r="G78" s="176" t="s">
        <v>444</v>
      </c>
      <c r="H78" s="170" t="str">
        <f>'5. Configuration'!$L4</f>
        <v>Comment is required</v>
      </c>
      <c r="I78" s="14">
        <f>'5. Configuration'!$K4</f>
        <v>0</v>
      </c>
      <c r="J78" s="14" t="str">
        <f t="shared" si="15"/>
        <v>Blank</v>
      </c>
      <c r="K78" s="155" t="s">
        <v>1131</v>
      </c>
      <c r="L78" s="14" t="str">
        <f t="shared" si="13"/>
        <v>Blank</v>
      </c>
      <c r="N78" s="14" t="str">
        <f t="shared" si="16"/>
        <v/>
      </c>
      <c r="O78" s="14" t="str">
        <f t="shared" si="17"/>
        <v/>
      </c>
      <c r="P78" s="14" t="str">
        <f t="shared" si="18"/>
        <v>Comment is required</v>
      </c>
      <c r="Q78" s="14" t="str">
        <f t="shared" si="19"/>
        <v>Blank</v>
      </c>
      <c r="R78" s="14" t="str">
        <f t="shared" si="20"/>
        <v>No Override</v>
      </c>
      <c r="S78" s="14">
        <f t="shared" si="21"/>
        <v>1</v>
      </c>
      <c r="T78" s="14" t="str">
        <f t="shared" si="22"/>
        <v/>
      </c>
    </row>
    <row r="79" spans="1:20" x14ac:dyDescent="0.3">
      <c r="A79" s="224">
        <v>1</v>
      </c>
      <c r="C79" s="14">
        <f t="shared" si="14"/>
        <v>1</v>
      </c>
      <c r="D79" s="14" t="s">
        <v>436</v>
      </c>
      <c r="E79" s="58" t="s">
        <v>445</v>
      </c>
      <c r="F79" s="82" t="s">
        <v>447</v>
      </c>
      <c r="G79" s="176" t="s">
        <v>448</v>
      </c>
      <c r="H79" s="170" t="str">
        <f>'5. Configuration'!$L5</f>
        <v>Comment is required</v>
      </c>
      <c r="I79" s="14">
        <f>'5. Configuration'!$K5</f>
        <v>0</v>
      </c>
      <c r="J79" s="14" t="str">
        <f t="shared" si="15"/>
        <v>Blank</v>
      </c>
      <c r="K79" s="155" t="s">
        <v>1131</v>
      </c>
      <c r="L79" s="14" t="str">
        <f t="shared" si="13"/>
        <v>Blank</v>
      </c>
      <c r="N79" s="14" t="str">
        <f t="shared" si="16"/>
        <v/>
      </c>
      <c r="O79" s="14" t="str">
        <f t="shared" si="17"/>
        <v/>
      </c>
      <c r="P79" s="14" t="str">
        <f t="shared" si="18"/>
        <v>Comment is required</v>
      </c>
      <c r="Q79" s="14" t="str">
        <f t="shared" si="19"/>
        <v>Blank</v>
      </c>
      <c r="R79" s="14" t="str">
        <f t="shared" si="20"/>
        <v>No Override</v>
      </c>
      <c r="S79" s="14">
        <f t="shared" si="21"/>
        <v>1</v>
      </c>
      <c r="T79" s="14" t="str">
        <f t="shared" si="22"/>
        <v/>
      </c>
    </row>
    <row r="80" spans="1:20" ht="22.8" x14ac:dyDescent="0.3">
      <c r="A80" s="224">
        <v>1</v>
      </c>
      <c r="C80" s="14">
        <f t="shared" si="14"/>
        <v>1</v>
      </c>
      <c r="D80" s="14" t="s">
        <v>436</v>
      </c>
      <c r="E80" s="58" t="s">
        <v>449</v>
      </c>
      <c r="F80" s="82" t="s">
        <v>447</v>
      </c>
      <c r="G80" s="176" t="s">
        <v>450</v>
      </c>
      <c r="H80" s="170" t="str">
        <f>'5. Configuration'!$L6</f>
        <v>Comment is required</v>
      </c>
      <c r="I80" s="14">
        <f>'5. Configuration'!$K6</f>
        <v>0</v>
      </c>
      <c r="J80" s="14" t="str">
        <f t="shared" si="15"/>
        <v>Blank</v>
      </c>
      <c r="K80" s="155" t="s">
        <v>1131</v>
      </c>
      <c r="L80" s="14" t="str">
        <f t="shared" si="13"/>
        <v>Blank</v>
      </c>
      <c r="N80" s="14" t="str">
        <f t="shared" si="16"/>
        <v/>
      </c>
      <c r="O80" s="14" t="str">
        <f t="shared" si="17"/>
        <v/>
      </c>
      <c r="P80" s="14" t="str">
        <f t="shared" si="18"/>
        <v>Comment is required</v>
      </c>
      <c r="Q80" s="14" t="str">
        <f t="shared" si="19"/>
        <v>Blank</v>
      </c>
      <c r="R80" s="14" t="str">
        <f t="shared" si="20"/>
        <v>No Override</v>
      </c>
      <c r="S80" s="14">
        <f t="shared" si="21"/>
        <v>1</v>
      </c>
      <c r="T80" s="14" t="str">
        <f t="shared" si="22"/>
        <v/>
      </c>
    </row>
    <row r="81" spans="1:20" x14ac:dyDescent="0.3">
      <c r="A81" s="224">
        <v>1</v>
      </c>
      <c r="C81" s="14">
        <f t="shared" si="14"/>
        <v>1</v>
      </c>
      <c r="D81" s="14" t="s">
        <v>436</v>
      </c>
      <c r="E81" s="58" t="s">
        <v>451</v>
      </c>
      <c r="F81" s="82" t="s">
        <v>447</v>
      </c>
      <c r="G81" s="176" t="s">
        <v>452</v>
      </c>
      <c r="H81" s="170" t="str">
        <f>'5. Configuration'!$L7</f>
        <v>Comment is required</v>
      </c>
      <c r="I81" s="14">
        <f>'5. Configuration'!$K7</f>
        <v>0</v>
      </c>
      <c r="J81" s="14" t="str">
        <f t="shared" si="15"/>
        <v>Blank</v>
      </c>
      <c r="K81" s="155" t="s">
        <v>1131</v>
      </c>
      <c r="L81" s="14" t="str">
        <f t="shared" si="13"/>
        <v>Blank</v>
      </c>
      <c r="N81" s="14" t="str">
        <f t="shared" si="16"/>
        <v/>
      </c>
      <c r="O81" s="14" t="str">
        <f t="shared" si="17"/>
        <v/>
      </c>
      <c r="P81" s="14" t="str">
        <f t="shared" si="18"/>
        <v>Comment is required</v>
      </c>
      <c r="Q81" s="14" t="str">
        <f t="shared" si="19"/>
        <v>Blank</v>
      </c>
      <c r="R81" s="14" t="str">
        <f t="shared" si="20"/>
        <v>No Override</v>
      </c>
      <c r="S81" s="14">
        <f t="shared" si="21"/>
        <v>1</v>
      </c>
      <c r="T81" s="14" t="str">
        <f t="shared" si="22"/>
        <v/>
      </c>
    </row>
    <row r="82" spans="1:20" x14ac:dyDescent="0.3">
      <c r="A82" s="224">
        <v>1</v>
      </c>
      <c r="C82" s="14">
        <f t="shared" si="14"/>
        <v>1</v>
      </c>
      <c r="D82" s="14" t="s">
        <v>436</v>
      </c>
      <c r="E82" s="58" t="s">
        <v>453</v>
      </c>
      <c r="F82" s="82" t="s">
        <v>447</v>
      </c>
      <c r="G82" s="176" t="s">
        <v>454</v>
      </c>
      <c r="H82" s="170" t="str">
        <f>'5. Configuration'!$L8</f>
        <v>Comment is required</v>
      </c>
      <c r="I82" s="14">
        <f>'5. Configuration'!$K8</f>
        <v>0</v>
      </c>
      <c r="J82" s="14" t="str">
        <f t="shared" si="15"/>
        <v>Blank</v>
      </c>
      <c r="K82" s="155" t="s">
        <v>1131</v>
      </c>
      <c r="L82" s="14" t="str">
        <f t="shared" si="13"/>
        <v>Blank</v>
      </c>
      <c r="N82" s="14" t="str">
        <f t="shared" si="16"/>
        <v/>
      </c>
      <c r="O82" s="14" t="str">
        <f t="shared" si="17"/>
        <v/>
      </c>
      <c r="P82" s="14" t="str">
        <f t="shared" si="18"/>
        <v>Comment is required</v>
      </c>
      <c r="Q82" s="14" t="str">
        <f t="shared" si="19"/>
        <v>Blank</v>
      </c>
      <c r="R82" s="14" t="str">
        <f t="shared" si="20"/>
        <v>No Override</v>
      </c>
      <c r="S82" s="14">
        <f t="shared" si="21"/>
        <v>1</v>
      </c>
      <c r="T82" s="14" t="str">
        <f t="shared" si="22"/>
        <v/>
      </c>
    </row>
    <row r="83" spans="1:20" x14ac:dyDescent="0.3">
      <c r="A83" s="224">
        <v>1</v>
      </c>
      <c r="C83" s="14">
        <f t="shared" si="14"/>
        <v>1</v>
      </c>
      <c r="D83" s="14" t="s">
        <v>436</v>
      </c>
      <c r="E83" s="58" t="s">
        <v>455</v>
      </c>
      <c r="F83" s="82" t="s">
        <v>447</v>
      </c>
      <c r="G83" s="176" t="s">
        <v>456</v>
      </c>
      <c r="H83" s="170" t="str">
        <f>'5. Configuration'!$L9</f>
        <v>Comment is required</v>
      </c>
      <c r="I83" s="14">
        <f>'5. Configuration'!$K9</f>
        <v>0</v>
      </c>
      <c r="J83" s="14" t="str">
        <f t="shared" si="15"/>
        <v>Blank</v>
      </c>
      <c r="K83" s="155" t="s">
        <v>1131</v>
      </c>
      <c r="L83" s="14" t="str">
        <f t="shared" si="13"/>
        <v>Blank</v>
      </c>
      <c r="N83" s="14" t="str">
        <f t="shared" si="16"/>
        <v/>
      </c>
      <c r="O83" s="14" t="str">
        <f t="shared" si="17"/>
        <v/>
      </c>
      <c r="P83" s="14" t="str">
        <f t="shared" si="18"/>
        <v>Comment is required</v>
      </c>
      <c r="Q83" s="14" t="str">
        <f t="shared" si="19"/>
        <v>Blank</v>
      </c>
      <c r="R83" s="14" t="str">
        <f t="shared" si="20"/>
        <v>No Override</v>
      </c>
      <c r="S83" s="14">
        <f t="shared" si="21"/>
        <v>1</v>
      </c>
      <c r="T83" s="14" t="str">
        <f t="shared" si="22"/>
        <v/>
      </c>
    </row>
    <row r="84" spans="1:20" x14ac:dyDescent="0.3">
      <c r="A84" s="224">
        <v>1</v>
      </c>
      <c r="C84" s="14">
        <f t="shared" si="14"/>
        <v>1</v>
      </c>
      <c r="D84" s="14" t="s">
        <v>436</v>
      </c>
      <c r="E84" s="58" t="s">
        <v>457</v>
      </c>
      <c r="F84" s="82" t="s">
        <v>447</v>
      </c>
      <c r="G84" s="176" t="s">
        <v>458</v>
      </c>
      <c r="H84" s="170" t="str">
        <f>'5. Configuration'!$L10</f>
        <v>Comment is required</v>
      </c>
      <c r="I84" s="14">
        <f>'5. Configuration'!$K10</f>
        <v>0</v>
      </c>
      <c r="J84" s="14" t="str">
        <f t="shared" si="15"/>
        <v>Blank</v>
      </c>
      <c r="K84" s="155" t="s">
        <v>1131</v>
      </c>
      <c r="L84" s="14" t="str">
        <f t="shared" si="13"/>
        <v>Blank</v>
      </c>
      <c r="N84" s="14" t="str">
        <f t="shared" si="16"/>
        <v/>
      </c>
      <c r="O84" s="14" t="str">
        <f t="shared" si="17"/>
        <v/>
      </c>
      <c r="P84" s="14" t="str">
        <f t="shared" si="18"/>
        <v>Comment is required</v>
      </c>
      <c r="Q84" s="14" t="str">
        <f t="shared" si="19"/>
        <v>Blank</v>
      </c>
      <c r="R84" s="14" t="str">
        <f t="shared" si="20"/>
        <v>No Override</v>
      </c>
      <c r="S84" s="14">
        <f t="shared" si="21"/>
        <v>1</v>
      </c>
      <c r="T84" s="14" t="str">
        <f t="shared" si="22"/>
        <v/>
      </c>
    </row>
    <row r="85" spans="1:20" ht="22.8" x14ac:dyDescent="0.3">
      <c r="A85" s="225">
        <v>3</v>
      </c>
      <c r="C85" s="14">
        <f t="shared" si="14"/>
        <v>3</v>
      </c>
      <c r="D85" s="14" t="s">
        <v>436</v>
      </c>
      <c r="E85" s="58" t="s">
        <v>459</v>
      </c>
      <c r="F85" s="82" t="s">
        <v>461</v>
      </c>
      <c r="G85" s="176" t="s">
        <v>462</v>
      </c>
      <c r="H85" s="170" t="str">
        <f>'5. Configuration'!$L11</f>
        <v>Comment is required</v>
      </c>
      <c r="I85" s="14">
        <f>'5. Configuration'!$K11</f>
        <v>0</v>
      </c>
      <c r="J85" s="14" t="str">
        <f t="shared" si="15"/>
        <v>Blank</v>
      </c>
      <c r="K85" s="155" t="s">
        <v>1131</v>
      </c>
      <c r="L85" s="14" t="str">
        <f t="shared" si="13"/>
        <v>Blank</v>
      </c>
      <c r="N85" s="14" t="str">
        <f t="shared" si="16"/>
        <v/>
      </c>
      <c r="O85" s="14" t="str">
        <f t="shared" si="17"/>
        <v/>
      </c>
      <c r="P85" s="14" t="str">
        <f t="shared" si="18"/>
        <v>Comment is required</v>
      </c>
      <c r="Q85" s="14" t="str">
        <f t="shared" si="19"/>
        <v>Blank</v>
      </c>
      <c r="R85" s="14" t="str">
        <f t="shared" si="20"/>
        <v>No Override</v>
      </c>
      <c r="S85" s="14">
        <f t="shared" si="21"/>
        <v>3</v>
      </c>
      <c r="T85" s="14" t="str">
        <f t="shared" si="22"/>
        <v/>
      </c>
    </row>
    <row r="86" spans="1:20" ht="22.8" x14ac:dyDescent="0.3">
      <c r="A86" s="224">
        <v>1</v>
      </c>
      <c r="C86" s="14">
        <f t="shared" si="14"/>
        <v>1</v>
      </c>
      <c r="D86" s="14" t="s">
        <v>436</v>
      </c>
      <c r="E86" s="58" t="s">
        <v>463</v>
      </c>
      <c r="F86" s="82" t="s">
        <v>465</v>
      </c>
      <c r="G86" s="176" t="s">
        <v>466</v>
      </c>
      <c r="H86" s="170" t="str">
        <f>'5. Configuration'!$L12</f>
        <v>Comment is required</v>
      </c>
      <c r="I86" s="14">
        <f>'5. Configuration'!$K12</f>
        <v>0</v>
      </c>
      <c r="J86" s="14" t="str">
        <f t="shared" si="15"/>
        <v>Blank</v>
      </c>
      <c r="K86" s="155" t="s">
        <v>1131</v>
      </c>
      <c r="L86" s="14" t="str">
        <f t="shared" si="13"/>
        <v>Blank</v>
      </c>
      <c r="N86" s="14" t="str">
        <f t="shared" si="16"/>
        <v/>
      </c>
      <c r="O86" s="14" t="str">
        <f t="shared" si="17"/>
        <v/>
      </c>
      <c r="P86" s="14" t="str">
        <f t="shared" si="18"/>
        <v>Comment is required</v>
      </c>
      <c r="Q86" s="14" t="str">
        <f t="shared" si="19"/>
        <v>Blank</v>
      </c>
      <c r="R86" s="14" t="str">
        <f t="shared" si="20"/>
        <v>No Override</v>
      </c>
      <c r="S86" s="14">
        <f t="shared" si="21"/>
        <v>1</v>
      </c>
      <c r="T86" s="14" t="str">
        <f t="shared" si="22"/>
        <v/>
      </c>
    </row>
    <row r="87" spans="1:20" ht="22.8" x14ac:dyDescent="0.3">
      <c r="A87" s="224">
        <v>1</v>
      </c>
      <c r="C87" s="14">
        <f t="shared" si="14"/>
        <v>1</v>
      </c>
      <c r="D87" s="14" t="s">
        <v>436</v>
      </c>
      <c r="E87" s="58" t="s">
        <v>467</v>
      </c>
      <c r="F87" s="82" t="s">
        <v>469</v>
      </c>
      <c r="G87" s="176" t="s">
        <v>470</v>
      </c>
      <c r="H87" s="170" t="str">
        <f>'5. Configuration'!$L13</f>
        <v>Comment is required</v>
      </c>
      <c r="I87" s="14">
        <f>'5. Configuration'!$K13</f>
        <v>0</v>
      </c>
      <c r="J87" s="14" t="str">
        <f t="shared" si="15"/>
        <v>Blank</v>
      </c>
      <c r="K87" s="155" t="s">
        <v>1131</v>
      </c>
      <c r="L87" s="14" t="str">
        <f t="shared" si="13"/>
        <v>Blank</v>
      </c>
      <c r="N87" s="14" t="str">
        <f t="shared" si="16"/>
        <v/>
      </c>
      <c r="O87" s="14" t="str">
        <f t="shared" si="17"/>
        <v/>
      </c>
      <c r="P87" s="14" t="str">
        <f t="shared" si="18"/>
        <v>Comment is required</v>
      </c>
      <c r="Q87" s="14" t="str">
        <f t="shared" si="19"/>
        <v>Blank</v>
      </c>
      <c r="R87" s="14" t="str">
        <f t="shared" si="20"/>
        <v>No Override</v>
      </c>
      <c r="S87" s="14">
        <f t="shared" si="21"/>
        <v>1</v>
      </c>
      <c r="T87" s="14" t="str">
        <f t="shared" si="22"/>
        <v/>
      </c>
    </row>
    <row r="88" spans="1:20" x14ac:dyDescent="0.3">
      <c r="A88" s="224">
        <v>1</v>
      </c>
      <c r="C88" s="14">
        <f t="shared" si="14"/>
        <v>1</v>
      </c>
      <c r="D88" s="14" t="s">
        <v>436</v>
      </c>
      <c r="E88" s="58" t="s">
        <v>471</v>
      </c>
      <c r="F88" s="82" t="s">
        <v>469</v>
      </c>
      <c r="G88" s="176" t="s">
        <v>472</v>
      </c>
      <c r="H88" s="170" t="str">
        <f>'5. Configuration'!$L14</f>
        <v>Comment is required</v>
      </c>
      <c r="I88" s="14">
        <f>'5. Configuration'!$K14</f>
        <v>0</v>
      </c>
      <c r="J88" s="14" t="str">
        <f t="shared" si="15"/>
        <v>Blank</v>
      </c>
      <c r="K88" s="155" t="s">
        <v>1131</v>
      </c>
      <c r="L88" s="14" t="str">
        <f t="shared" si="13"/>
        <v>Blank</v>
      </c>
      <c r="N88" s="14" t="str">
        <f t="shared" si="16"/>
        <v/>
      </c>
      <c r="O88" s="14" t="str">
        <f t="shared" si="17"/>
        <v/>
      </c>
      <c r="P88" s="14" t="str">
        <f t="shared" si="18"/>
        <v>Comment is required</v>
      </c>
      <c r="Q88" s="14" t="str">
        <f t="shared" si="19"/>
        <v>Blank</v>
      </c>
      <c r="R88" s="14" t="str">
        <f t="shared" si="20"/>
        <v>No Override</v>
      </c>
      <c r="S88" s="14">
        <f t="shared" si="21"/>
        <v>1</v>
      </c>
      <c r="T88" s="14" t="str">
        <f t="shared" si="22"/>
        <v/>
      </c>
    </row>
    <row r="89" spans="1:20" x14ac:dyDescent="0.3">
      <c r="A89" s="224">
        <v>1</v>
      </c>
      <c r="C89" s="14">
        <f t="shared" si="14"/>
        <v>1</v>
      </c>
      <c r="D89" s="14" t="s">
        <v>436</v>
      </c>
      <c r="E89" s="58" t="s">
        <v>473</v>
      </c>
      <c r="F89" s="82" t="s">
        <v>469</v>
      </c>
      <c r="G89" s="177" t="s">
        <v>474</v>
      </c>
      <c r="H89" s="170" t="str">
        <f>'5. Configuration'!$L15</f>
        <v>Comment is required</v>
      </c>
      <c r="I89" s="14">
        <f>'5. Configuration'!$K15</f>
        <v>0</v>
      </c>
      <c r="J89" s="14" t="str">
        <f t="shared" si="15"/>
        <v>Blank</v>
      </c>
      <c r="K89" s="155" t="s">
        <v>1131</v>
      </c>
      <c r="L89" s="14" t="str">
        <f t="shared" si="13"/>
        <v>Blank</v>
      </c>
      <c r="N89" s="14" t="str">
        <f t="shared" si="16"/>
        <v/>
      </c>
      <c r="O89" s="14" t="str">
        <f t="shared" si="17"/>
        <v/>
      </c>
      <c r="P89" s="14" t="str">
        <f t="shared" si="18"/>
        <v>Comment is required</v>
      </c>
      <c r="Q89" s="14" t="str">
        <f t="shared" si="19"/>
        <v>Blank</v>
      </c>
      <c r="R89" s="14" t="str">
        <f t="shared" si="20"/>
        <v>No Override</v>
      </c>
      <c r="S89" s="14">
        <f t="shared" si="21"/>
        <v>1</v>
      </c>
      <c r="T89" s="14" t="str">
        <f t="shared" si="22"/>
        <v/>
      </c>
    </row>
    <row r="90" spans="1:20" ht="22.8" x14ac:dyDescent="0.3">
      <c r="A90" s="224">
        <v>1</v>
      </c>
      <c r="C90" s="14">
        <f t="shared" si="14"/>
        <v>1</v>
      </c>
      <c r="D90" s="14" t="s">
        <v>436</v>
      </c>
      <c r="E90" s="58" t="s">
        <v>475</v>
      </c>
      <c r="F90" s="82" t="s">
        <v>477</v>
      </c>
      <c r="G90" s="177" t="s">
        <v>478</v>
      </c>
      <c r="H90" s="170" t="str">
        <f>'5. Configuration'!$L16</f>
        <v>Comment is required</v>
      </c>
      <c r="I90" s="14">
        <f>'5. Configuration'!$K16</f>
        <v>0</v>
      </c>
      <c r="J90" s="14" t="str">
        <f t="shared" si="15"/>
        <v>Blank</v>
      </c>
      <c r="K90" s="155" t="s">
        <v>1131</v>
      </c>
      <c r="L90" s="14" t="str">
        <f t="shared" si="13"/>
        <v>Blank</v>
      </c>
      <c r="N90" s="14" t="str">
        <f t="shared" si="16"/>
        <v/>
      </c>
      <c r="O90" s="14" t="str">
        <f t="shared" si="17"/>
        <v/>
      </c>
      <c r="P90" s="14" t="str">
        <f t="shared" si="18"/>
        <v>Comment is required</v>
      </c>
      <c r="Q90" s="14" t="str">
        <f t="shared" si="19"/>
        <v>Blank</v>
      </c>
      <c r="R90" s="14" t="str">
        <f t="shared" si="20"/>
        <v>No Override</v>
      </c>
      <c r="S90" s="14">
        <f t="shared" si="21"/>
        <v>1</v>
      </c>
      <c r="T90" s="14" t="str">
        <f t="shared" si="22"/>
        <v/>
      </c>
    </row>
    <row r="91" spans="1:20" x14ac:dyDescent="0.3">
      <c r="A91" s="224">
        <v>1</v>
      </c>
      <c r="C91" s="14">
        <f t="shared" si="14"/>
        <v>1</v>
      </c>
      <c r="D91" s="14" t="s">
        <v>436</v>
      </c>
      <c r="E91" s="58" t="s">
        <v>479</v>
      </c>
      <c r="F91" s="82" t="s">
        <v>482</v>
      </c>
      <c r="G91" s="176" t="s">
        <v>483</v>
      </c>
      <c r="H91" s="170" t="str">
        <f>'5. Configuration'!$L17</f>
        <v>Comment is required</v>
      </c>
      <c r="I91" s="14">
        <f>'5. Configuration'!$K17</f>
        <v>0</v>
      </c>
      <c r="J91" s="14" t="str">
        <f t="shared" si="15"/>
        <v>Blank</v>
      </c>
      <c r="K91" s="155" t="s">
        <v>1131</v>
      </c>
      <c r="L91" s="14" t="str">
        <f t="shared" si="13"/>
        <v>Blank</v>
      </c>
      <c r="N91" s="14" t="str">
        <f t="shared" si="16"/>
        <v/>
      </c>
      <c r="O91" s="14" t="str">
        <f t="shared" si="17"/>
        <v/>
      </c>
      <c r="P91" s="14" t="str">
        <f t="shared" si="18"/>
        <v>Comment is required</v>
      </c>
      <c r="Q91" s="14" t="str">
        <f t="shared" si="19"/>
        <v>Blank</v>
      </c>
      <c r="R91" s="14" t="str">
        <f t="shared" si="20"/>
        <v>No Override</v>
      </c>
      <c r="S91" s="14">
        <f t="shared" si="21"/>
        <v>1</v>
      </c>
      <c r="T91" s="14" t="str">
        <f t="shared" si="22"/>
        <v/>
      </c>
    </row>
    <row r="92" spans="1:20" x14ac:dyDescent="0.3">
      <c r="A92" s="224">
        <v>1</v>
      </c>
      <c r="C92" s="14">
        <f t="shared" si="14"/>
        <v>1</v>
      </c>
      <c r="D92" s="14" t="s">
        <v>436</v>
      </c>
      <c r="E92" s="58" t="s">
        <v>484</v>
      </c>
      <c r="F92" s="82" t="s">
        <v>482</v>
      </c>
      <c r="G92" s="176" t="s">
        <v>485</v>
      </c>
      <c r="H92" s="170" t="str">
        <f>'5. Configuration'!$L18</f>
        <v>Comment is required</v>
      </c>
      <c r="I92" s="14">
        <f>'5. Configuration'!$K18</f>
        <v>0</v>
      </c>
      <c r="J92" s="14" t="str">
        <f t="shared" si="15"/>
        <v>Blank</v>
      </c>
      <c r="K92" s="155" t="s">
        <v>1131</v>
      </c>
      <c r="L92" s="14" t="str">
        <f t="shared" si="13"/>
        <v>Blank</v>
      </c>
      <c r="N92" s="14" t="str">
        <f t="shared" si="16"/>
        <v/>
      </c>
      <c r="O92" s="14" t="str">
        <f t="shared" si="17"/>
        <v/>
      </c>
      <c r="P92" s="14" t="str">
        <f t="shared" si="18"/>
        <v>Comment is required</v>
      </c>
      <c r="Q92" s="14" t="str">
        <f t="shared" si="19"/>
        <v>Blank</v>
      </c>
      <c r="R92" s="14" t="str">
        <f t="shared" si="20"/>
        <v>No Override</v>
      </c>
      <c r="S92" s="14">
        <f t="shared" si="21"/>
        <v>1</v>
      </c>
      <c r="T92" s="14" t="str">
        <f t="shared" si="22"/>
        <v/>
      </c>
    </row>
    <row r="93" spans="1:20" ht="22.8" x14ac:dyDescent="0.3">
      <c r="A93" s="224">
        <v>1</v>
      </c>
      <c r="C93" s="14">
        <f t="shared" si="14"/>
        <v>1</v>
      </c>
      <c r="D93" s="14" t="s">
        <v>436</v>
      </c>
      <c r="E93" s="58" t="s">
        <v>486</v>
      </c>
      <c r="F93" s="82" t="s">
        <v>488</v>
      </c>
      <c r="G93" s="177" t="s">
        <v>489</v>
      </c>
      <c r="H93" s="170" t="str">
        <f>'5. Configuration'!$L19</f>
        <v>Comment is required</v>
      </c>
      <c r="I93" s="14">
        <f>'5. Configuration'!$K19</f>
        <v>0</v>
      </c>
      <c r="J93" s="14" t="str">
        <f t="shared" si="15"/>
        <v>Blank</v>
      </c>
      <c r="K93" s="155" t="s">
        <v>1131</v>
      </c>
      <c r="L93" s="14" t="str">
        <f t="shared" si="13"/>
        <v>Blank</v>
      </c>
      <c r="N93" s="14" t="str">
        <f t="shared" si="16"/>
        <v/>
      </c>
      <c r="O93" s="14" t="str">
        <f t="shared" si="17"/>
        <v/>
      </c>
      <c r="P93" s="14" t="str">
        <f t="shared" si="18"/>
        <v>Comment is required</v>
      </c>
      <c r="Q93" s="14" t="str">
        <f t="shared" si="19"/>
        <v>Blank</v>
      </c>
      <c r="R93" s="14" t="str">
        <f t="shared" si="20"/>
        <v>No Override</v>
      </c>
      <c r="S93" s="14">
        <f t="shared" si="21"/>
        <v>1</v>
      </c>
      <c r="T93" s="14" t="str">
        <f t="shared" si="22"/>
        <v/>
      </c>
    </row>
    <row r="94" spans="1:20" ht="22.8" x14ac:dyDescent="0.3">
      <c r="A94" s="224">
        <v>1</v>
      </c>
      <c r="C94" s="14">
        <f t="shared" si="14"/>
        <v>1</v>
      </c>
      <c r="D94" s="14" t="s">
        <v>436</v>
      </c>
      <c r="E94" s="58" t="s">
        <v>490</v>
      </c>
      <c r="F94" s="82" t="s">
        <v>488</v>
      </c>
      <c r="G94" s="177" t="s">
        <v>491</v>
      </c>
      <c r="H94" s="170" t="str">
        <f>'5. Configuration'!$L20</f>
        <v>Comment is required</v>
      </c>
      <c r="I94" s="14">
        <f>'5. Configuration'!$K20</f>
        <v>0</v>
      </c>
      <c r="J94" s="14" t="str">
        <f t="shared" si="15"/>
        <v>Blank</v>
      </c>
      <c r="K94" s="155" t="s">
        <v>1131</v>
      </c>
      <c r="L94" s="14" t="str">
        <f t="shared" si="13"/>
        <v>Blank</v>
      </c>
      <c r="N94" s="14" t="str">
        <f t="shared" si="16"/>
        <v/>
      </c>
      <c r="O94" s="14" t="str">
        <f t="shared" si="17"/>
        <v/>
      </c>
      <c r="P94" s="14" t="str">
        <f t="shared" si="18"/>
        <v>Comment is required</v>
      </c>
      <c r="Q94" s="14" t="str">
        <f t="shared" si="19"/>
        <v>Blank</v>
      </c>
      <c r="R94" s="14" t="str">
        <f t="shared" si="20"/>
        <v>No Override</v>
      </c>
      <c r="S94" s="14">
        <f t="shared" si="21"/>
        <v>1</v>
      </c>
      <c r="T94" s="14" t="str">
        <f t="shared" si="22"/>
        <v/>
      </c>
    </row>
    <row r="95" spans="1:20" x14ac:dyDescent="0.3">
      <c r="A95" s="224">
        <v>1</v>
      </c>
      <c r="C95" s="14">
        <f t="shared" si="14"/>
        <v>1</v>
      </c>
      <c r="D95" s="14" t="s">
        <v>436</v>
      </c>
      <c r="E95" s="58" t="s">
        <v>492</v>
      </c>
      <c r="F95" s="82" t="s">
        <v>488</v>
      </c>
      <c r="G95" s="177" t="s">
        <v>493</v>
      </c>
      <c r="H95" s="170" t="str">
        <f>'5. Configuration'!$L21</f>
        <v>Comment is required</v>
      </c>
      <c r="I95" s="14">
        <f>'5. Configuration'!$K21</f>
        <v>0</v>
      </c>
      <c r="J95" s="14" t="str">
        <f t="shared" si="15"/>
        <v>Blank</v>
      </c>
      <c r="K95" s="155" t="s">
        <v>1131</v>
      </c>
      <c r="L95" s="14" t="str">
        <f t="shared" si="13"/>
        <v>Blank</v>
      </c>
      <c r="N95" s="14" t="str">
        <f t="shared" si="16"/>
        <v/>
      </c>
      <c r="O95" s="14" t="str">
        <f t="shared" si="17"/>
        <v/>
      </c>
      <c r="P95" s="14" t="str">
        <f t="shared" si="18"/>
        <v>Comment is required</v>
      </c>
      <c r="Q95" s="14" t="str">
        <f t="shared" si="19"/>
        <v>Blank</v>
      </c>
      <c r="R95" s="14" t="str">
        <f t="shared" si="20"/>
        <v>No Override</v>
      </c>
      <c r="S95" s="14">
        <f t="shared" si="21"/>
        <v>1</v>
      </c>
      <c r="T95" s="14" t="str">
        <f t="shared" si="22"/>
        <v/>
      </c>
    </row>
    <row r="96" spans="1:20" x14ac:dyDescent="0.3">
      <c r="A96" s="224">
        <v>1</v>
      </c>
      <c r="C96" s="14">
        <f t="shared" si="14"/>
        <v>1</v>
      </c>
      <c r="D96" s="14" t="s">
        <v>436</v>
      </c>
      <c r="E96" s="58" t="s">
        <v>494</v>
      </c>
      <c r="F96" s="82" t="s">
        <v>488</v>
      </c>
      <c r="G96" s="177" t="s">
        <v>495</v>
      </c>
      <c r="H96" s="170" t="str">
        <f>'5. Configuration'!$L22</f>
        <v>Comment is required</v>
      </c>
      <c r="I96" s="14">
        <f>'5. Configuration'!$K22</f>
        <v>0</v>
      </c>
      <c r="J96" s="14" t="str">
        <f t="shared" si="15"/>
        <v>Blank</v>
      </c>
      <c r="K96" s="155" t="s">
        <v>1131</v>
      </c>
      <c r="L96" s="14" t="str">
        <f t="shared" si="13"/>
        <v>Blank</v>
      </c>
      <c r="N96" s="14" t="str">
        <f t="shared" si="16"/>
        <v/>
      </c>
      <c r="O96" s="14" t="str">
        <f t="shared" si="17"/>
        <v/>
      </c>
      <c r="P96" s="14" t="str">
        <f t="shared" si="18"/>
        <v>Comment is required</v>
      </c>
      <c r="Q96" s="14" t="str">
        <f t="shared" si="19"/>
        <v>Blank</v>
      </c>
      <c r="R96" s="14" t="str">
        <f t="shared" si="20"/>
        <v>No Override</v>
      </c>
      <c r="S96" s="14">
        <f t="shared" si="21"/>
        <v>1</v>
      </c>
      <c r="T96" s="14" t="str">
        <f t="shared" si="22"/>
        <v/>
      </c>
    </row>
    <row r="97" spans="1:20" x14ac:dyDescent="0.3">
      <c r="A97" s="224">
        <v>1</v>
      </c>
      <c r="C97" s="14">
        <f t="shared" si="14"/>
        <v>1</v>
      </c>
      <c r="D97" s="14" t="s">
        <v>436</v>
      </c>
      <c r="E97" s="58" t="s">
        <v>496</v>
      </c>
      <c r="F97" s="82" t="s">
        <v>498</v>
      </c>
      <c r="G97" s="170" t="s">
        <v>499</v>
      </c>
      <c r="H97" s="170" t="str">
        <f>'5. Configuration'!$L23</f>
        <v>Comment is required</v>
      </c>
      <c r="I97" s="14">
        <f>'5. Configuration'!$K23</f>
        <v>0</v>
      </c>
      <c r="J97" s="14" t="str">
        <f t="shared" si="15"/>
        <v>Blank</v>
      </c>
      <c r="K97" s="155" t="s">
        <v>1131</v>
      </c>
      <c r="L97" s="14" t="str">
        <f t="shared" si="13"/>
        <v>Blank</v>
      </c>
      <c r="N97" s="14" t="str">
        <f t="shared" si="16"/>
        <v/>
      </c>
      <c r="O97" s="14" t="str">
        <f t="shared" si="17"/>
        <v/>
      </c>
      <c r="P97" s="14" t="str">
        <f t="shared" si="18"/>
        <v>Comment is required</v>
      </c>
      <c r="Q97" s="14" t="str">
        <f t="shared" si="19"/>
        <v>Blank</v>
      </c>
      <c r="R97" s="14" t="str">
        <f t="shared" si="20"/>
        <v>No Override</v>
      </c>
      <c r="S97" s="14">
        <f t="shared" si="21"/>
        <v>1</v>
      </c>
      <c r="T97" s="14" t="str">
        <f t="shared" si="22"/>
        <v/>
      </c>
    </row>
    <row r="98" spans="1:20" x14ac:dyDescent="0.3">
      <c r="A98" s="224">
        <v>1</v>
      </c>
      <c r="C98" s="14">
        <f t="shared" si="14"/>
        <v>1</v>
      </c>
      <c r="D98" s="14" t="s">
        <v>436</v>
      </c>
      <c r="E98" s="58" t="s">
        <v>500</v>
      </c>
      <c r="F98" s="82" t="s">
        <v>502</v>
      </c>
      <c r="G98" s="170" t="s">
        <v>503</v>
      </c>
      <c r="H98" s="170" t="str">
        <f>'5. Configuration'!$L24</f>
        <v>Comment is required</v>
      </c>
      <c r="I98" s="14">
        <f>'5. Configuration'!$K24</f>
        <v>0</v>
      </c>
      <c r="J98" s="14" t="str">
        <f t="shared" si="15"/>
        <v>Blank</v>
      </c>
      <c r="K98" s="155" t="s">
        <v>1131</v>
      </c>
      <c r="L98" s="14" t="str">
        <f t="shared" si="13"/>
        <v>Blank</v>
      </c>
      <c r="N98" s="14" t="str">
        <f t="shared" si="16"/>
        <v/>
      </c>
      <c r="O98" s="14" t="str">
        <f t="shared" si="17"/>
        <v/>
      </c>
      <c r="P98" s="14" t="str">
        <f t="shared" si="18"/>
        <v>Comment is required</v>
      </c>
      <c r="Q98" s="14" t="str">
        <f t="shared" si="19"/>
        <v>Blank</v>
      </c>
      <c r="R98" s="14" t="str">
        <f t="shared" si="20"/>
        <v>No Override</v>
      </c>
      <c r="S98" s="14">
        <f t="shared" si="21"/>
        <v>1</v>
      </c>
      <c r="T98" s="14" t="str">
        <f t="shared" si="22"/>
        <v/>
      </c>
    </row>
    <row r="99" spans="1:20" x14ac:dyDescent="0.3">
      <c r="A99" s="224">
        <v>1</v>
      </c>
      <c r="C99" s="14">
        <f t="shared" si="14"/>
        <v>1</v>
      </c>
      <c r="D99" s="14" t="s">
        <v>436</v>
      </c>
      <c r="E99" s="58" t="s">
        <v>1294</v>
      </c>
      <c r="F99" s="58" t="s">
        <v>1295</v>
      </c>
      <c r="G99" s="177" t="s">
        <v>1296</v>
      </c>
      <c r="H99" s="170" t="str">
        <f>'5. Configuration'!$L25</f>
        <v>Comment is required</v>
      </c>
      <c r="I99" s="14">
        <f>'5. Configuration'!$K25</f>
        <v>0</v>
      </c>
      <c r="J99" s="14" t="str">
        <f t="shared" si="15"/>
        <v>Blank</v>
      </c>
      <c r="K99" s="155" t="s">
        <v>1131</v>
      </c>
      <c r="L99" s="14" t="str">
        <f t="shared" si="13"/>
        <v>Blank</v>
      </c>
      <c r="N99" s="14" t="str">
        <f t="shared" si="16"/>
        <v/>
      </c>
      <c r="O99" s="14" t="str">
        <f t="shared" si="17"/>
        <v/>
      </c>
      <c r="P99" s="14" t="str">
        <f t="shared" si="18"/>
        <v>Comment is required</v>
      </c>
      <c r="Q99" s="14" t="str">
        <f t="shared" si="19"/>
        <v>Blank</v>
      </c>
      <c r="R99" s="14" t="str">
        <f t="shared" si="20"/>
        <v>No Override</v>
      </c>
      <c r="S99" s="14">
        <f t="shared" si="21"/>
        <v>1</v>
      </c>
    </row>
    <row r="100" spans="1:20" x14ac:dyDescent="0.3">
      <c r="A100" s="224">
        <v>3</v>
      </c>
      <c r="C100" s="14">
        <f t="shared" si="14"/>
        <v>3</v>
      </c>
      <c r="D100" s="14" t="s">
        <v>436</v>
      </c>
      <c r="E100" s="58" t="s">
        <v>1297</v>
      </c>
      <c r="F100" s="58" t="s">
        <v>1298</v>
      </c>
      <c r="G100" s="177" t="s">
        <v>1299</v>
      </c>
      <c r="H100" s="170" t="str">
        <f>'5. Configuration'!$L26</f>
        <v>Comment is required</v>
      </c>
      <c r="I100" s="14">
        <f>'5. Configuration'!$K26</f>
        <v>0</v>
      </c>
      <c r="J100" s="14" t="str">
        <f t="shared" si="15"/>
        <v>Blank</v>
      </c>
      <c r="K100" s="155" t="s">
        <v>1131</v>
      </c>
      <c r="L100" s="14" t="str">
        <f t="shared" si="13"/>
        <v>Blank</v>
      </c>
      <c r="N100" s="14" t="str">
        <f t="shared" si="16"/>
        <v/>
      </c>
      <c r="O100" s="14" t="str">
        <f t="shared" si="17"/>
        <v/>
      </c>
      <c r="P100" s="14" t="str">
        <f t="shared" si="18"/>
        <v>Comment is required</v>
      </c>
      <c r="Q100" s="14" t="str">
        <f t="shared" si="19"/>
        <v>Blank</v>
      </c>
      <c r="R100" s="14" t="str">
        <f t="shared" si="20"/>
        <v>No Override</v>
      </c>
      <c r="S100" s="14">
        <f t="shared" si="21"/>
        <v>3</v>
      </c>
    </row>
    <row r="101" spans="1:20" ht="22.8" x14ac:dyDescent="0.3">
      <c r="A101" s="224">
        <v>4</v>
      </c>
      <c r="C101" s="14">
        <f t="shared" si="14"/>
        <v>4</v>
      </c>
      <c r="D101" s="14" t="s">
        <v>436</v>
      </c>
      <c r="E101" s="58" t="s">
        <v>1300</v>
      </c>
      <c r="F101" s="58" t="s">
        <v>1301</v>
      </c>
      <c r="G101" s="177" t="s">
        <v>1302</v>
      </c>
      <c r="H101" s="170" t="str">
        <f>'5. Configuration'!$L27</f>
        <v>Comment is required</v>
      </c>
      <c r="I101" s="14">
        <f>'5. Configuration'!$K27</f>
        <v>0</v>
      </c>
      <c r="J101" s="14" t="str">
        <f t="shared" si="15"/>
        <v>Blank</v>
      </c>
      <c r="K101" s="155" t="s">
        <v>1131</v>
      </c>
      <c r="L101" s="14" t="str">
        <f t="shared" si="13"/>
        <v>Blank</v>
      </c>
      <c r="N101" s="14" t="str">
        <f t="shared" si="16"/>
        <v/>
      </c>
      <c r="O101" s="14" t="str">
        <f t="shared" si="17"/>
        <v/>
      </c>
      <c r="P101" s="14" t="str">
        <f t="shared" si="18"/>
        <v>Comment is required</v>
      </c>
      <c r="Q101" s="14" t="str">
        <f t="shared" si="19"/>
        <v>Blank</v>
      </c>
      <c r="R101" s="14" t="str">
        <f t="shared" si="20"/>
        <v>No Override</v>
      </c>
      <c r="S101" s="14">
        <f t="shared" si="21"/>
        <v>4</v>
      </c>
    </row>
    <row r="102" spans="1:20" ht="22.8" x14ac:dyDescent="0.3">
      <c r="A102" s="224">
        <v>2</v>
      </c>
      <c r="C102" s="14">
        <f t="shared" si="14"/>
        <v>2</v>
      </c>
      <c r="D102" s="14" t="s">
        <v>436</v>
      </c>
      <c r="E102" s="58" t="s">
        <v>1361</v>
      </c>
      <c r="F102" s="171" t="s">
        <v>1360</v>
      </c>
      <c r="G102" s="177" t="s">
        <v>1366</v>
      </c>
      <c r="H102" s="170" t="str">
        <f>'5. Configuration'!$L28</f>
        <v>Comment is required</v>
      </c>
      <c r="I102" s="14">
        <f>'5. Configuration'!$K28</f>
        <v>0</v>
      </c>
      <c r="J102" s="14" t="str">
        <f t="shared" si="15"/>
        <v>Blank</v>
      </c>
      <c r="K102" s="155" t="s">
        <v>1131</v>
      </c>
      <c r="L102" s="14" t="str">
        <f>IF($K102="No Override",$J102,$K102)</f>
        <v>Blank</v>
      </c>
      <c r="N102" s="14" t="str">
        <f t="shared" si="16"/>
        <v/>
      </c>
      <c r="O102" s="14" t="str">
        <f t="shared" si="17"/>
        <v/>
      </c>
      <c r="P102" s="14" t="str">
        <f t="shared" si="18"/>
        <v>Comment is required</v>
      </c>
      <c r="Q102" s="14" t="str">
        <f t="shared" si="19"/>
        <v>Blank</v>
      </c>
      <c r="R102" s="14" t="str">
        <f t="shared" si="20"/>
        <v>No Override</v>
      </c>
      <c r="S102" s="14">
        <f t="shared" si="21"/>
        <v>2</v>
      </c>
    </row>
    <row r="103" spans="1:20" x14ac:dyDescent="0.3">
      <c r="A103" s="224">
        <v>2</v>
      </c>
      <c r="C103" s="14">
        <f t="shared" si="14"/>
        <v>2</v>
      </c>
      <c r="D103" s="14" t="s">
        <v>436</v>
      </c>
      <c r="E103" s="58" t="s">
        <v>1362</v>
      </c>
      <c r="F103" s="171" t="s">
        <v>1360</v>
      </c>
      <c r="G103" s="177" t="s">
        <v>1367</v>
      </c>
      <c r="H103" s="170" t="str">
        <f>'5. Configuration'!$L29</f>
        <v>Comment is required</v>
      </c>
      <c r="I103" s="14">
        <f>'5. Configuration'!$K29</f>
        <v>0</v>
      </c>
      <c r="J103" s="14" t="str">
        <f t="shared" si="15"/>
        <v>Blank</v>
      </c>
      <c r="K103" s="155" t="s">
        <v>1131</v>
      </c>
      <c r="L103" s="14" t="str">
        <f t="shared" ref="L103" si="23">IF($K103="No Override",$J103,$K103)</f>
        <v>Blank</v>
      </c>
      <c r="N103" s="14" t="str">
        <f t="shared" si="16"/>
        <v/>
      </c>
      <c r="O103" s="14" t="str">
        <f t="shared" si="17"/>
        <v/>
      </c>
      <c r="P103" s="14" t="str">
        <f t="shared" si="18"/>
        <v>Comment is required</v>
      </c>
      <c r="Q103" s="14" t="str">
        <f t="shared" si="19"/>
        <v>Blank</v>
      </c>
      <c r="R103" s="14" t="str">
        <f t="shared" si="20"/>
        <v>No Override</v>
      </c>
      <c r="S103" s="14">
        <f t="shared" si="21"/>
        <v>2</v>
      </c>
    </row>
    <row r="104" spans="1:20" x14ac:dyDescent="0.3">
      <c r="A104" s="224">
        <v>4</v>
      </c>
      <c r="C104" s="14">
        <f t="shared" si="14"/>
        <v>4</v>
      </c>
      <c r="D104" s="14" t="s">
        <v>504</v>
      </c>
      <c r="E104" s="58" t="s">
        <v>505</v>
      </c>
      <c r="F104" s="85" t="s">
        <v>508</v>
      </c>
      <c r="G104" s="173" t="s">
        <v>509</v>
      </c>
      <c r="H104" s="175" t="str">
        <f>'6. Contingency Planning'!$L3</f>
        <v>Comment is required</v>
      </c>
      <c r="I104" s="14">
        <f>'6. Contingency Planning'!$K3</f>
        <v>0</v>
      </c>
      <c r="J104" s="14" t="str">
        <f t="shared" si="15"/>
        <v>Blank</v>
      </c>
      <c r="K104" s="155" t="s">
        <v>1131</v>
      </c>
      <c r="L104" s="14" t="str">
        <f t="shared" si="13"/>
        <v>Blank</v>
      </c>
      <c r="N104" s="14" t="str">
        <f t="shared" si="16"/>
        <v/>
      </c>
      <c r="O104" s="14" t="str">
        <f t="shared" si="17"/>
        <v/>
      </c>
      <c r="P104" s="14" t="str">
        <f t="shared" si="18"/>
        <v>Comment is required</v>
      </c>
      <c r="Q104" s="14" t="str">
        <f t="shared" si="19"/>
        <v>Blank</v>
      </c>
      <c r="R104" s="14" t="str">
        <f t="shared" si="20"/>
        <v>No Override</v>
      </c>
      <c r="S104" s="14">
        <f t="shared" si="21"/>
        <v>4</v>
      </c>
      <c r="T104" s="14" t="str">
        <f t="shared" si="22"/>
        <v/>
      </c>
    </row>
    <row r="105" spans="1:20" x14ac:dyDescent="0.3">
      <c r="A105" s="224">
        <v>4</v>
      </c>
      <c r="C105" s="14">
        <f t="shared" si="14"/>
        <v>4</v>
      </c>
      <c r="D105" s="14" t="s">
        <v>504</v>
      </c>
      <c r="E105" s="58" t="s">
        <v>510</v>
      </c>
      <c r="F105" s="85" t="s">
        <v>513</v>
      </c>
      <c r="G105" s="173" t="s">
        <v>514</v>
      </c>
      <c r="H105" s="175" t="str">
        <f>'6. Contingency Planning'!$L4</f>
        <v>Comment is required</v>
      </c>
      <c r="I105" s="14">
        <f>'6. Contingency Planning'!$K4</f>
        <v>0</v>
      </c>
      <c r="J105" s="14" t="str">
        <f t="shared" si="15"/>
        <v>Blank</v>
      </c>
      <c r="K105" s="155" t="s">
        <v>1131</v>
      </c>
      <c r="L105" s="14" t="str">
        <f t="shared" si="13"/>
        <v>Blank</v>
      </c>
      <c r="N105" s="14" t="str">
        <f t="shared" si="16"/>
        <v/>
      </c>
      <c r="O105" s="14" t="str">
        <f t="shared" si="17"/>
        <v/>
      </c>
      <c r="P105" s="14" t="str">
        <f t="shared" si="18"/>
        <v>Comment is required</v>
      </c>
      <c r="Q105" s="14" t="str">
        <f t="shared" si="19"/>
        <v>Blank</v>
      </c>
      <c r="R105" s="14" t="str">
        <f t="shared" si="20"/>
        <v>No Override</v>
      </c>
      <c r="S105" s="14">
        <f t="shared" si="21"/>
        <v>4</v>
      </c>
      <c r="T105" s="14" t="str">
        <f t="shared" si="22"/>
        <v/>
      </c>
    </row>
    <row r="106" spans="1:20" ht="115.2" x14ac:dyDescent="0.3">
      <c r="A106" s="224">
        <v>4</v>
      </c>
      <c r="C106" s="14">
        <f t="shared" si="14"/>
        <v>4</v>
      </c>
      <c r="D106" s="14" t="s">
        <v>504</v>
      </c>
      <c r="E106" s="58" t="s">
        <v>515</v>
      </c>
      <c r="F106" s="85" t="s">
        <v>513</v>
      </c>
      <c r="G106" s="173" t="s">
        <v>516</v>
      </c>
      <c r="H106" s="175" t="str">
        <f>'6. Contingency Planning'!$L5</f>
        <v>Comment is required</v>
      </c>
      <c r="I106" s="14">
        <f>'6. Contingency Planning'!$K5</f>
        <v>0</v>
      </c>
      <c r="J106" s="14" t="str">
        <f t="shared" si="15"/>
        <v>Blank</v>
      </c>
      <c r="K106" s="155" t="s">
        <v>1131</v>
      </c>
      <c r="L106" s="14" t="str">
        <f t="shared" si="13"/>
        <v>Blank</v>
      </c>
      <c r="N106" s="14" t="str">
        <f t="shared" si="16"/>
        <v/>
      </c>
      <c r="O106" s="14" t="str">
        <f t="shared" si="17"/>
        <v/>
      </c>
      <c r="P106" s="14" t="str">
        <f t="shared" si="18"/>
        <v>Comment is required</v>
      </c>
      <c r="Q106" s="14" t="str">
        <f t="shared" si="19"/>
        <v>Blank</v>
      </c>
      <c r="R106" s="14" t="str">
        <f t="shared" si="20"/>
        <v>No Override</v>
      </c>
      <c r="S106" s="14">
        <f t="shared" si="21"/>
        <v>4</v>
      </c>
      <c r="T106" s="14" t="str">
        <f t="shared" si="22"/>
        <v/>
      </c>
    </row>
    <row r="107" spans="1:20" ht="24" x14ac:dyDescent="0.3">
      <c r="A107" s="224">
        <v>4</v>
      </c>
      <c r="C107" s="14">
        <f t="shared" si="14"/>
        <v>4</v>
      </c>
      <c r="D107" s="14" t="s">
        <v>504</v>
      </c>
      <c r="E107" s="58" t="s">
        <v>517</v>
      </c>
      <c r="F107" s="85" t="s">
        <v>520</v>
      </c>
      <c r="G107" s="173" t="s">
        <v>521</v>
      </c>
      <c r="H107" s="175" t="str">
        <f>'6. Contingency Planning'!$L6</f>
        <v>Comment is required</v>
      </c>
      <c r="I107" s="14">
        <f>'6. Contingency Planning'!$K6</f>
        <v>0</v>
      </c>
      <c r="J107" s="14" t="str">
        <f t="shared" si="15"/>
        <v>Blank</v>
      </c>
      <c r="K107" s="155" t="s">
        <v>1131</v>
      </c>
      <c r="L107" s="14" t="str">
        <f t="shared" si="13"/>
        <v>Blank</v>
      </c>
      <c r="N107" s="14" t="str">
        <f t="shared" si="16"/>
        <v/>
      </c>
      <c r="O107" s="14" t="str">
        <f t="shared" si="17"/>
        <v/>
      </c>
      <c r="P107" s="14" t="str">
        <f t="shared" si="18"/>
        <v>Comment is required</v>
      </c>
      <c r="Q107" s="14" t="str">
        <f t="shared" si="19"/>
        <v>Blank</v>
      </c>
      <c r="R107" s="14" t="str">
        <f t="shared" si="20"/>
        <v>No Override</v>
      </c>
      <c r="S107" s="14">
        <f t="shared" si="21"/>
        <v>4</v>
      </c>
      <c r="T107" s="14" t="str">
        <f t="shared" si="22"/>
        <v/>
      </c>
    </row>
    <row r="108" spans="1:20" ht="24" x14ac:dyDescent="0.3">
      <c r="A108" s="224">
        <v>4</v>
      </c>
      <c r="C108" s="14">
        <f t="shared" si="14"/>
        <v>4</v>
      </c>
      <c r="D108" s="14" t="s">
        <v>504</v>
      </c>
      <c r="E108" s="58" t="s">
        <v>522</v>
      </c>
      <c r="F108" s="85" t="s">
        <v>524</v>
      </c>
      <c r="G108" s="173" t="s">
        <v>525</v>
      </c>
      <c r="H108" s="175" t="str">
        <f>'6. Contingency Planning'!$L7</f>
        <v>Comment is required</v>
      </c>
      <c r="I108" s="14">
        <f>'6. Contingency Planning'!$K7</f>
        <v>0</v>
      </c>
      <c r="J108" s="14" t="str">
        <f t="shared" si="15"/>
        <v>Blank</v>
      </c>
      <c r="K108" s="155" t="s">
        <v>1131</v>
      </c>
      <c r="L108" s="14" t="str">
        <f t="shared" si="13"/>
        <v>Blank</v>
      </c>
      <c r="N108" s="14" t="str">
        <f t="shared" si="16"/>
        <v/>
      </c>
      <c r="O108" s="14" t="str">
        <f t="shared" si="17"/>
        <v/>
      </c>
      <c r="P108" s="14" t="str">
        <f t="shared" si="18"/>
        <v>Comment is required</v>
      </c>
      <c r="Q108" s="14" t="str">
        <f t="shared" si="19"/>
        <v>Blank</v>
      </c>
      <c r="R108" s="14" t="str">
        <f t="shared" si="20"/>
        <v>No Override</v>
      </c>
      <c r="S108" s="14">
        <f t="shared" si="21"/>
        <v>4</v>
      </c>
      <c r="T108" s="14" t="str">
        <f t="shared" si="22"/>
        <v/>
      </c>
    </row>
    <row r="109" spans="1:20" ht="24" x14ac:dyDescent="0.3">
      <c r="A109" s="224">
        <v>4</v>
      </c>
      <c r="C109" s="14">
        <f t="shared" si="14"/>
        <v>4</v>
      </c>
      <c r="D109" s="14" t="s">
        <v>504</v>
      </c>
      <c r="E109" s="58" t="s">
        <v>526</v>
      </c>
      <c r="F109" s="85" t="s">
        <v>529</v>
      </c>
      <c r="G109" s="173" t="s">
        <v>530</v>
      </c>
      <c r="H109" s="175" t="str">
        <f>'6. Contingency Planning'!$L8</f>
        <v>Comment is required</v>
      </c>
      <c r="I109" s="14">
        <f>'6. Contingency Planning'!$K8</f>
        <v>0</v>
      </c>
      <c r="J109" s="14" t="str">
        <f t="shared" si="15"/>
        <v>Blank</v>
      </c>
      <c r="K109" s="155" t="s">
        <v>1131</v>
      </c>
      <c r="L109" s="14" t="str">
        <f t="shared" si="13"/>
        <v>Blank</v>
      </c>
      <c r="N109" s="14" t="str">
        <f t="shared" si="16"/>
        <v/>
      </c>
      <c r="O109" s="14" t="str">
        <f t="shared" si="17"/>
        <v/>
      </c>
      <c r="P109" s="14" t="str">
        <f t="shared" si="18"/>
        <v>Comment is required</v>
      </c>
      <c r="Q109" s="14" t="str">
        <f t="shared" si="19"/>
        <v>Blank</v>
      </c>
      <c r="R109" s="14" t="str">
        <f t="shared" si="20"/>
        <v>No Override</v>
      </c>
      <c r="S109" s="14">
        <f t="shared" si="21"/>
        <v>4</v>
      </c>
      <c r="T109" s="14" t="str">
        <f t="shared" si="22"/>
        <v/>
      </c>
    </row>
    <row r="110" spans="1:20" x14ac:dyDescent="0.3">
      <c r="A110" s="224">
        <v>4</v>
      </c>
      <c r="C110" s="14">
        <f t="shared" si="14"/>
        <v>4</v>
      </c>
      <c r="D110" s="14" t="s">
        <v>504</v>
      </c>
      <c r="E110" s="58" t="s">
        <v>531</v>
      </c>
      <c r="F110" s="85" t="s">
        <v>529</v>
      </c>
      <c r="G110" s="173" t="s">
        <v>532</v>
      </c>
      <c r="H110" s="175" t="str">
        <f>'6. Contingency Planning'!$L9</f>
        <v>Comment is required</v>
      </c>
      <c r="I110" s="14">
        <f>'6. Contingency Planning'!$K9</f>
        <v>0</v>
      </c>
      <c r="J110" s="14" t="str">
        <f t="shared" si="15"/>
        <v>Blank</v>
      </c>
      <c r="K110" s="155" t="s">
        <v>1131</v>
      </c>
      <c r="L110" s="14" t="str">
        <f t="shared" si="13"/>
        <v>Blank</v>
      </c>
      <c r="N110" s="14" t="str">
        <f t="shared" si="16"/>
        <v/>
      </c>
      <c r="O110" s="14" t="str">
        <f t="shared" si="17"/>
        <v/>
      </c>
      <c r="P110" s="14" t="str">
        <f t="shared" si="18"/>
        <v>Comment is required</v>
      </c>
      <c r="Q110" s="14" t="str">
        <f t="shared" si="19"/>
        <v>Blank</v>
      </c>
      <c r="R110" s="14" t="str">
        <f t="shared" si="20"/>
        <v>No Override</v>
      </c>
      <c r="S110" s="14">
        <f t="shared" si="21"/>
        <v>4</v>
      </c>
      <c r="T110" s="14" t="str">
        <f t="shared" si="22"/>
        <v/>
      </c>
    </row>
    <row r="111" spans="1:20" ht="24" x14ac:dyDescent="0.3">
      <c r="A111" s="224">
        <v>4</v>
      </c>
      <c r="C111" s="14">
        <f t="shared" si="14"/>
        <v>4</v>
      </c>
      <c r="D111" s="14" t="s">
        <v>504</v>
      </c>
      <c r="E111" s="58" t="s">
        <v>533</v>
      </c>
      <c r="F111" s="85" t="s">
        <v>535</v>
      </c>
      <c r="G111" s="173" t="s">
        <v>536</v>
      </c>
      <c r="H111" s="175" t="str">
        <f>'6. Contingency Planning'!$L10</f>
        <v>Comment is required</v>
      </c>
      <c r="I111" s="14">
        <f>'6. Contingency Planning'!$K10</f>
        <v>0</v>
      </c>
      <c r="J111" s="14" t="str">
        <f t="shared" si="15"/>
        <v>Blank</v>
      </c>
      <c r="K111" s="155" t="s">
        <v>1131</v>
      </c>
      <c r="L111" s="14" t="str">
        <f t="shared" si="13"/>
        <v>Blank</v>
      </c>
      <c r="N111" s="14" t="str">
        <f t="shared" si="16"/>
        <v/>
      </c>
      <c r="O111" s="14" t="str">
        <f t="shared" si="17"/>
        <v/>
      </c>
      <c r="P111" s="14" t="str">
        <f t="shared" si="18"/>
        <v>Comment is required</v>
      </c>
      <c r="Q111" s="14" t="str">
        <f t="shared" si="19"/>
        <v>Blank</v>
      </c>
      <c r="R111" s="14" t="str">
        <f t="shared" si="20"/>
        <v>No Override</v>
      </c>
      <c r="S111" s="14">
        <f t="shared" si="21"/>
        <v>4</v>
      </c>
      <c r="T111" s="14" t="str">
        <f t="shared" si="22"/>
        <v/>
      </c>
    </row>
    <row r="112" spans="1:20" x14ac:dyDescent="0.3">
      <c r="A112" s="224">
        <v>4</v>
      </c>
      <c r="C112" s="14">
        <f t="shared" si="14"/>
        <v>4</v>
      </c>
      <c r="D112" s="14" t="s">
        <v>504</v>
      </c>
      <c r="E112" s="58" t="s">
        <v>537</v>
      </c>
      <c r="F112" s="85" t="s">
        <v>535</v>
      </c>
      <c r="G112" s="173" t="s">
        <v>538</v>
      </c>
      <c r="H112" s="175" t="str">
        <f>'6. Contingency Planning'!$L11</f>
        <v>Comment is required</v>
      </c>
      <c r="I112" s="14">
        <f>'6. Contingency Planning'!$K11</f>
        <v>0</v>
      </c>
      <c r="J112" s="14" t="str">
        <f t="shared" si="15"/>
        <v>Blank</v>
      </c>
      <c r="K112" s="155" t="s">
        <v>1131</v>
      </c>
      <c r="L112" s="14" t="str">
        <f t="shared" si="13"/>
        <v>Blank</v>
      </c>
      <c r="N112" s="14" t="str">
        <f t="shared" si="16"/>
        <v/>
      </c>
      <c r="O112" s="14" t="str">
        <f t="shared" si="17"/>
        <v/>
      </c>
      <c r="P112" s="14" t="str">
        <f t="shared" si="18"/>
        <v>Comment is required</v>
      </c>
      <c r="Q112" s="14" t="str">
        <f t="shared" si="19"/>
        <v>Blank</v>
      </c>
      <c r="R112" s="14" t="str">
        <f t="shared" si="20"/>
        <v>No Override</v>
      </c>
      <c r="S112" s="14">
        <f t="shared" si="21"/>
        <v>4</v>
      </c>
      <c r="T112" s="14" t="str">
        <f t="shared" si="22"/>
        <v/>
      </c>
    </row>
    <row r="113" spans="1:20" ht="24" x14ac:dyDescent="0.3">
      <c r="A113" s="224">
        <v>4</v>
      </c>
      <c r="C113" s="14">
        <f t="shared" si="14"/>
        <v>4</v>
      </c>
      <c r="D113" s="14" t="s">
        <v>504</v>
      </c>
      <c r="E113" s="58" t="s">
        <v>539</v>
      </c>
      <c r="F113" s="85" t="s">
        <v>542</v>
      </c>
      <c r="G113" s="173" t="s">
        <v>543</v>
      </c>
      <c r="H113" s="175" t="str">
        <f>'6. Contingency Planning'!$L12</f>
        <v>Comment is required</v>
      </c>
      <c r="I113" s="14">
        <f>'6. Contingency Planning'!$K12</f>
        <v>0</v>
      </c>
      <c r="J113" s="14" t="str">
        <f t="shared" si="15"/>
        <v>Blank</v>
      </c>
      <c r="K113" s="155" t="s">
        <v>1131</v>
      </c>
      <c r="L113" s="14" t="str">
        <f t="shared" si="13"/>
        <v>Blank</v>
      </c>
      <c r="N113" s="14" t="str">
        <f t="shared" si="16"/>
        <v/>
      </c>
      <c r="O113" s="14" t="str">
        <f t="shared" si="17"/>
        <v/>
      </c>
      <c r="P113" s="14" t="str">
        <f t="shared" si="18"/>
        <v>Comment is required</v>
      </c>
      <c r="Q113" s="14" t="str">
        <f t="shared" si="19"/>
        <v>Blank</v>
      </c>
      <c r="R113" s="14" t="str">
        <f t="shared" si="20"/>
        <v>No Override</v>
      </c>
      <c r="S113" s="14">
        <f t="shared" si="21"/>
        <v>4</v>
      </c>
      <c r="T113" s="14" t="str">
        <f t="shared" si="22"/>
        <v/>
      </c>
    </row>
    <row r="114" spans="1:20" x14ac:dyDescent="0.3">
      <c r="A114" s="224">
        <v>2</v>
      </c>
      <c r="C114" s="14">
        <f t="shared" si="14"/>
        <v>2</v>
      </c>
      <c r="D114" s="14" t="s">
        <v>504</v>
      </c>
      <c r="E114" s="58" t="s">
        <v>544</v>
      </c>
      <c r="F114" s="85" t="s">
        <v>547</v>
      </c>
      <c r="G114" s="173" t="s">
        <v>548</v>
      </c>
      <c r="H114" s="175" t="str">
        <f>'6. Contingency Planning'!$L13</f>
        <v>Comment is required</v>
      </c>
      <c r="I114" s="14">
        <f>'6. Contingency Planning'!$K13</f>
        <v>0</v>
      </c>
      <c r="J114" s="14" t="str">
        <f t="shared" si="15"/>
        <v>Blank</v>
      </c>
      <c r="K114" s="155" t="s">
        <v>1131</v>
      </c>
      <c r="L114" s="14" t="str">
        <f t="shared" si="13"/>
        <v>Blank</v>
      </c>
      <c r="N114" s="14" t="str">
        <f t="shared" si="16"/>
        <v/>
      </c>
      <c r="O114" s="14" t="str">
        <f t="shared" si="17"/>
        <v/>
      </c>
      <c r="P114" s="14" t="str">
        <f t="shared" si="18"/>
        <v>Comment is required</v>
      </c>
      <c r="Q114" s="14" t="str">
        <f t="shared" si="19"/>
        <v>Blank</v>
      </c>
      <c r="R114" s="14" t="str">
        <f t="shared" si="20"/>
        <v>No Override</v>
      </c>
      <c r="S114" s="14">
        <f t="shared" si="21"/>
        <v>2</v>
      </c>
      <c r="T114" s="14" t="str">
        <f t="shared" si="22"/>
        <v/>
      </c>
    </row>
    <row r="115" spans="1:20" x14ac:dyDescent="0.3">
      <c r="A115" s="224">
        <v>2</v>
      </c>
      <c r="C115" s="14">
        <f t="shared" si="14"/>
        <v>2</v>
      </c>
      <c r="D115" s="14" t="s">
        <v>504</v>
      </c>
      <c r="E115" s="58" t="s">
        <v>549</v>
      </c>
      <c r="F115" s="85" t="s">
        <v>547</v>
      </c>
      <c r="G115" s="173" t="s">
        <v>550</v>
      </c>
      <c r="H115" s="175" t="str">
        <f>'6. Contingency Planning'!$L14</f>
        <v>Comment is required</v>
      </c>
      <c r="I115" s="14">
        <f>'6. Contingency Planning'!$K14</f>
        <v>0</v>
      </c>
      <c r="J115" s="14" t="str">
        <f t="shared" si="15"/>
        <v>Blank</v>
      </c>
      <c r="K115" s="155" t="s">
        <v>1131</v>
      </c>
      <c r="L115" s="14" t="str">
        <f t="shared" si="13"/>
        <v>Blank</v>
      </c>
      <c r="N115" s="14" t="str">
        <f t="shared" si="16"/>
        <v/>
      </c>
      <c r="O115" s="14" t="str">
        <f t="shared" si="17"/>
        <v/>
      </c>
      <c r="P115" s="14" t="str">
        <f t="shared" si="18"/>
        <v>Comment is required</v>
      </c>
      <c r="Q115" s="14" t="str">
        <f t="shared" si="19"/>
        <v>Blank</v>
      </c>
      <c r="R115" s="14" t="str">
        <f t="shared" si="20"/>
        <v>No Override</v>
      </c>
      <c r="S115" s="14">
        <f t="shared" si="21"/>
        <v>2</v>
      </c>
      <c r="T115" s="14" t="str">
        <f t="shared" si="22"/>
        <v/>
      </c>
    </row>
    <row r="116" spans="1:20" ht="24" x14ac:dyDescent="0.3">
      <c r="A116" s="224">
        <v>2</v>
      </c>
      <c r="C116" s="14">
        <f t="shared" si="14"/>
        <v>2</v>
      </c>
      <c r="D116" s="14" t="s">
        <v>504</v>
      </c>
      <c r="E116" s="58" t="s">
        <v>551</v>
      </c>
      <c r="F116" s="85" t="s">
        <v>554</v>
      </c>
      <c r="G116" s="173" t="s">
        <v>555</v>
      </c>
      <c r="H116" s="175" t="str">
        <f>'6. Contingency Planning'!$L15</f>
        <v>Comment is required</v>
      </c>
      <c r="I116" s="14">
        <f>'6. Contingency Planning'!$K15</f>
        <v>0</v>
      </c>
      <c r="J116" s="14" t="str">
        <f t="shared" si="15"/>
        <v>Blank</v>
      </c>
      <c r="K116" s="155" t="s">
        <v>1131</v>
      </c>
      <c r="L116" s="14" t="str">
        <f t="shared" si="13"/>
        <v>Blank</v>
      </c>
      <c r="N116" s="14" t="str">
        <f t="shared" si="16"/>
        <v/>
      </c>
      <c r="O116" s="14" t="str">
        <f t="shared" si="17"/>
        <v/>
      </c>
      <c r="P116" s="14" t="str">
        <f t="shared" si="18"/>
        <v>Comment is required</v>
      </c>
      <c r="Q116" s="14" t="str">
        <f t="shared" si="19"/>
        <v>Blank</v>
      </c>
      <c r="R116" s="14" t="str">
        <f t="shared" si="20"/>
        <v>No Override</v>
      </c>
      <c r="S116" s="14">
        <f t="shared" si="21"/>
        <v>2</v>
      </c>
      <c r="T116" s="14" t="str">
        <f t="shared" si="22"/>
        <v/>
      </c>
    </row>
    <row r="117" spans="1:20" ht="22.8" x14ac:dyDescent="0.3">
      <c r="A117" s="224">
        <v>4</v>
      </c>
      <c r="C117" s="14">
        <f t="shared" si="14"/>
        <v>4</v>
      </c>
      <c r="D117" s="14" t="s">
        <v>1135</v>
      </c>
      <c r="E117" s="58" t="s">
        <v>557</v>
      </c>
      <c r="F117" s="82" t="s">
        <v>559</v>
      </c>
      <c r="G117" s="176" t="s">
        <v>560</v>
      </c>
      <c r="H117" s="176" t="str">
        <f>'7. Authentication&amp;Authorization'!$L3</f>
        <v>Comment is required</v>
      </c>
      <c r="I117" s="14">
        <f>'7. Authentication&amp;Authorization'!$K3</f>
        <v>0</v>
      </c>
      <c r="J117" s="49" t="str">
        <f>IF($I117="Yes","Adequate",IF($I117="No","Adequate",IF($I117="Partial","Inadequate",IF($I117="N/A","Inadequate",IF(OR($I117="",$I117=0),"Blank","Error")))))</f>
        <v>Blank</v>
      </c>
      <c r="K117" s="155" t="s">
        <v>1131</v>
      </c>
      <c r="L117" s="14" t="str">
        <f t="shared" si="13"/>
        <v>Blank</v>
      </c>
      <c r="N117" s="14" t="str">
        <f t="shared" si="16"/>
        <v/>
      </c>
      <c r="O117" s="14" t="str">
        <f t="shared" si="17"/>
        <v/>
      </c>
      <c r="P117" s="14" t="str">
        <f t="shared" si="18"/>
        <v>Comment is required</v>
      </c>
      <c r="Q117" s="14" t="str">
        <f t="shared" si="19"/>
        <v>Blank</v>
      </c>
      <c r="R117" s="14" t="str">
        <f t="shared" si="20"/>
        <v>No Override</v>
      </c>
      <c r="S117" s="14">
        <f t="shared" si="21"/>
        <v>4</v>
      </c>
      <c r="T117" s="14" t="str">
        <f t="shared" si="22"/>
        <v/>
      </c>
    </row>
    <row r="118" spans="1:20" x14ac:dyDescent="0.3">
      <c r="A118" s="224">
        <v>4</v>
      </c>
      <c r="C118" s="14">
        <f t="shared" si="14"/>
        <v>4</v>
      </c>
      <c r="D118" s="14" t="s">
        <v>1135</v>
      </c>
      <c r="E118" s="58" t="s">
        <v>561</v>
      </c>
      <c r="F118" s="82" t="s">
        <v>559</v>
      </c>
      <c r="G118" s="170" t="s">
        <v>562</v>
      </c>
      <c r="H118" s="176" t="str">
        <f>'7. Authentication&amp;Authorization'!$L4</f>
        <v>Comment is required</v>
      </c>
      <c r="I118" s="14">
        <f>'7. Authentication&amp;Authorization'!$K4</f>
        <v>0</v>
      </c>
      <c r="J118" s="61" t="str">
        <f t="shared" ref="J118:J144" si="24">IF($I118="Yes","Adequate",IF($I118="No","Inadequate",IF($I118="Partial","Inadequate",IF($I118="N/A","Inadequate",IF(OR($I118="",$I118=0),"Blank","Error")))))</f>
        <v>Blank</v>
      </c>
      <c r="K118" s="155" t="s">
        <v>1131</v>
      </c>
      <c r="L118" s="14" t="str">
        <f t="shared" si="13"/>
        <v>Blank</v>
      </c>
      <c r="N118" s="14" t="str">
        <f t="shared" si="16"/>
        <v/>
      </c>
      <c r="O118" s="14" t="str">
        <f t="shared" si="17"/>
        <v/>
      </c>
      <c r="P118" s="14" t="str">
        <f t="shared" si="18"/>
        <v>Comment is required</v>
      </c>
      <c r="Q118" s="14" t="str">
        <f t="shared" si="19"/>
        <v>Blank</v>
      </c>
      <c r="R118" s="14" t="str">
        <f t="shared" si="20"/>
        <v>No Override</v>
      </c>
      <c r="S118" s="14">
        <f t="shared" si="21"/>
        <v>4</v>
      </c>
      <c r="T118" s="14" t="str">
        <f t="shared" si="22"/>
        <v/>
      </c>
    </row>
    <row r="119" spans="1:20" ht="22.8" x14ac:dyDescent="0.3">
      <c r="A119" s="224">
        <v>4</v>
      </c>
      <c r="C119" s="14">
        <f t="shared" si="14"/>
        <v>4</v>
      </c>
      <c r="D119" s="14" t="s">
        <v>1135</v>
      </c>
      <c r="E119" s="58" t="s">
        <v>563</v>
      </c>
      <c r="F119" s="82" t="s">
        <v>566</v>
      </c>
      <c r="G119" s="176" t="s">
        <v>567</v>
      </c>
      <c r="H119" s="176" t="str">
        <f>'7. Authentication&amp;Authorization'!$L5</f>
        <v>Comment is required</v>
      </c>
      <c r="I119" s="14">
        <f>'7. Authentication&amp;Authorization'!$K5</f>
        <v>0</v>
      </c>
      <c r="J119" s="14" t="str">
        <f t="shared" si="24"/>
        <v>Blank</v>
      </c>
      <c r="K119" s="155" t="s">
        <v>1131</v>
      </c>
      <c r="L119" s="14" t="str">
        <f t="shared" si="13"/>
        <v>Blank</v>
      </c>
      <c r="N119" s="14" t="str">
        <f t="shared" si="16"/>
        <v/>
      </c>
      <c r="O119" s="14" t="str">
        <f t="shared" si="17"/>
        <v/>
      </c>
      <c r="P119" s="14" t="str">
        <f t="shared" si="18"/>
        <v>Comment is required</v>
      </c>
      <c r="Q119" s="14" t="str">
        <f t="shared" si="19"/>
        <v>Blank</v>
      </c>
      <c r="R119" s="14" t="str">
        <f t="shared" si="20"/>
        <v>No Override</v>
      </c>
      <c r="S119" s="14">
        <f t="shared" si="21"/>
        <v>4</v>
      </c>
      <c r="T119" s="14" t="str">
        <f t="shared" si="22"/>
        <v/>
      </c>
    </row>
    <row r="120" spans="1:20" ht="22.8" x14ac:dyDescent="0.3">
      <c r="A120" s="224">
        <v>2</v>
      </c>
      <c r="C120" s="14">
        <f t="shared" si="14"/>
        <v>2</v>
      </c>
      <c r="D120" s="14" t="s">
        <v>1135</v>
      </c>
      <c r="E120" s="58" t="s">
        <v>568</v>
      </c>
      <c r="F120" s="82" t="s">
        <v>571</v>
      </c>
      <c r="G120" s="176" t="s">
        <v>572</v>
      </c>
      <c r="H120" s="176" t="str">
        <f>'7. Authentication&amp;Authorization'!$L6</f>
        <v>Comment is required</v>
      </c>
      <c r="I120" s="14">
        <f>'7. Authentication&amp;Authorization'!$K6</f>
        <v>0</v>
      </c>
      <c r="J120" s="14" t="str">
        <f t="shared" si="24"/>
        <v>Blank</v>
      </c>
      <c r="K120" s="155" t="s">
        <v>1131</v>
      </c>
      <c r="L120" s="14" t="str">
        <f t="shared" si="13"/>
        <v>Blank</v>
      </c>
      <c r="N120" s="14" t="str">
        <f t="shared" si="16"/>
        <v/>
      </c>
      <c r="O120" s="14" t="str">
        <f t="shared" si="17"/>
        <v/>
      </c>
      <c r="P120" s="14" t="str">
        <f t="shared" si="18"/>
        <v>Comment is required</v>
      </c>
      <c r="Q120" s="14" t="str">
        <f t="shared" si="19"/>
        <v>Blank</v>
      </c>
      <c r="R120" s="14" t="str">
        <f t="shared" si="20"/>
        <v>No Override</v>
      </c>
      <c r="S120" s="14">
        <f t="shared" si="21"/>
        <v>2</v>
      </c>
      <c r="T120" s="14" t="str">
        <f t="shared" si="22"/>
        <v/>
      </c>
    </row>
    <row r="121" spans="1:20" ht="22.8" x14ac:dyDescent="0.3">
      <c r="A121" s="224">
        <v>2</v>
      </c>
      <c r="C121" s="14">
        <f t="shared" si="14"/>
        <v>2</v>
      </c>
      <c r="D121" s="14" t="s">
        <v>1135</v>
      </c>
      <c r="E121" s="58" t="s">
        <v>573</v>
      </c>
      <c r="F121" s="82" t="s">
        <v>575</v>
      </c>
      <c r="G121" s="176" t="s">
        <v>576</v>
      </c>
      <c r="H121" s="176" t="str">
        <f>'7. Authentication&amp;Authorization'!$L7</f>
        <v>Comment is required</v>
      </c>
      <c r="I121" s="14">
        <f>'7. Authentication&amp;Authorization'!$K7</f>
        <v>0</v>
      </c>
      <c r="J121" s="14" t="str">
        <f t="shared" si="24"/>
        <v>Blank</v>
      </c>
      <c r="K121" s="155" t="s">
        <v>1131</v>
      </c>
      <c r="L121" s="14" t="str">
        <f t="shared" si="13"/>
        <v>Blank</v>
      </c>
      <c r="N121" s="14" t="str">
        <f t="shared" si="16"/>
        <v/>
      </c>
      <c r="O121" s="14" t="str">
        <f t="shared" si="17"/>
        <v/>
      </c>
      <c r="P121" s="14" t="str">
        <f t="shared" si="18"/>
        <v>Comment is required</v>
      </c>
      <c r="Q121" s="14" t="str">
        <f t="shared" si="19"/>
        <v>Blank</v>
      </c>
      <c r="R121" s="14" t="str">
        <f t="shared" si="20"/>
        <v>No Override</v>
      </c>
      <c r="S121" s="14">
        <f t="shared" si="21"/>
        <v>2</v>
      </c>
      <c r="T121" s="14" t="str">
        <f t="shared" si="22"/>
        <v/>
      </c>
    </row>
    <row r="122" spans="1:20" x14ac:dyDescent="0.3">
      <c r="A122" s="224">
        <v>3</v>
      </c>
      <c r="C122" s="14">
        <f t="shared" si="14"/>
        <v>3</v>
      </c>
      <c r="D122" s="14" t="s">
        <v>1135</v>
      </c>
      <c r="E122" s="58" t="s">
        <v>577</v>
      </c>
      <c r="F122" s="82" t="s">
        <v>575</v>
      </c>
      <c r="G122" s="176" t="s">
        <v>578</v>
      </c>
      <c r="H122" s="176" t="str">
        <f>'7. Authentication&amp;Authorization'!$L8</f>
        <v>Comment is required</v>
      </c>
      <c r="I122" s="14">
        <f>'7. Authentication&amp;Authorization'!$K8</f>
        <v>0</v>
      </c>
      <c r="J122" s="14" t="str">
        <f t="shared" si="24"/>
        <v>Blank</v>
      </c>
      <c r="K122" s="155" t="s">
        <v>1131</v>
      </c>
      <c r="L122" s="14" t="str">
        <f t="shared" si="13"/>
        <v>Blank</v>
      </c>
      <c r="N122" s="14" t="str">
        <f t="shared" si="16"/>
        <v/>
      </c>
      <c r="O122" s="14" t="str">
        <f t="shared" si="17"/>
        <v/>
      </c>
      <c r="P122" s="14" t="str">
        <f t="shared" si="18"/>
        <v>Comment is required</v>
      </c>
      <c r="Q122" s="14" t="str">
        <f t="shared" si="19"/>
        <v>Blank</v>
      </c>
      <c r="R122" s="14" t="str">
        <f t="shared" si="20"/>
        <v>No Override</v>
      </c>
      <c r="S122" s="14">
        <f t="shared" si="21"/>
        <v>3</v>
      </c>
      <c r="T122" s="14" t="str">
        <f t="shared" si="22"/>
        <v/>
      </c>
    </row>
    <row r="123" spans="1:20" x14ac:dyDescent="0.3">
      <c r="A123" s="224">
        <v>2</v>
      </c>
      <c r="C123" s="14">
        <f t="shared" si="14"/>
        <v>2</v>
      </c>
      <c r="D123" s="14" t="s">
        <v>1135</v>
      </c>
      <c r="E123" s="58" t="s">
        <v>579</v>
      </c>
      <c r="F123" s="82" t="s">
        <v>575</v>
      </c>
      <c r="G123" s="176" t="s">
        <v>580</v>
      </c>
      <c r="H123" s="176" t="str">
        <f>'7. Authentication&amp;Authorization'!$L9</f>
        <v>Comment is required</v>
      </c>
      <c r="I123" s="14">
        <f>'7. Authentication&amp;Authorization'!$K9</f>
        <v>0</v>
      </c>
      <c r="J123" s="14" t="str">
        <f t="shared" si="24"/>
        <v>Blank</v>
      </c>
      <c r="K123" s="155" t="s">
        <v>1131</v>
      </c>
      <c r="L123" s="14" t="str">
        <f t="shared" si="13"/>
        <v>Blank</v>
      </c>
      <c r="N123" s="14" t="str">
        <f t="shared" si="16"/>
        <v/>
      </c>
      <c r="O123" s="14" t="str">
        <f t="shared" si="17"/>
        <v/>
      </c>
      <c r="P123" s="14" t="str">
        <f t="shared" si="18"/>
        <v>Comment is required</v>
      </c>
      <c r="Q123" s="14" t="str">
        <f t="shared" si="19"/>
        <v>Blank</v>
      </c>
      <c r="R123" s="14" t="str">
        <f t="shared" si="20"/>
        <v>No Override</v>
      </c>
      <c r="S123" s="14">
        <f t="shared" si="21"/>
        <v>2</v>
      </c>
      <c r="T123" s="14" t="str">
        <f t="shared" si="22"/>
        <v/>
      </c>
    </row>
    <row r="124" spans="1:20" x14ac:dyDescent="0.3">
      <c r="A124" s="224">
        <v>3</v>
      </c>
      <c r="C124" s="14">
        <f t="shared" si="14"/>
        <v>3</v>
      </c>
      <c r="D124" s="14" t="s">
        <v>1135</v>
      </c>
      <c r="E124" s="58" t="s">
        <v>581</v>
      </c>
      <c r="F124" s="82" t="s">
        <v>584</v>
      </c>
      <c r="G124" s="176" t="s">
        <v>585</v>
      </c>
      <c r="H124" s="176" t="str">
        <f>'7. Authentication&amp;Authorization'!$L10</f>
        <v>Comment is required</v>
      </c>
      <c r="I124" s="14">
        <f>'7. Authentication&amp;Authorization'!$K10</f>
        <v>0</v>
      </c>
      <c r="J124" s="14" t="str">
        <f t="shared" si="24"/>
        <v>Blank</v>
      </c>
      <c r="K124" s="155" t="s">
        <v>1131</v>
      </c>
      <c r="L124" s="14" t="str">
        <f t="shared" si="13"/>
        <v>Blank</v>
      </c>
      <c r="N124" s="14" t="str">
        <f t="shared" si="16"/>
        <v/>
      </c>
      <c r="O124" s="14" t="str">
        <f t="shared" si="17"/>
        <v/>
      </c>
      <c r="P124" s="14" t="str">
        <f t="shared" si="18"/>
        <v>Comment is required</v>
      </c>
      <c r="Q124" s="14" t="str">
        <f t="shared" si="19"/>
        <v>Blank</v>
      </c>
      <c r="R124" s="14" t="str">
        <f t="shared" si="20"/>
        <v>No Override</v>
      </c>
      <c r="S124" s="14">
        <f t="shared" si="21"/>
        <v>3</v>
      </c>
      <c r="T124" s="14" t="str">
        <f t="shared" si="22"/>
        <v/>
      </c>
    </row>
    <row r="125" spans="1:20" ht="114" x14ac:dyDescent="0.3">
      <c r="A125" s="224">
        <v>1</v>
      </c>
      <c r="C125" s="14">
        <f t="shared" si="14"/>
        <v>1</v>
      </c>
      <c r="D125" s="14" t="s">
        <v>1135</v>
      </c>
      <c r="E125" s="58" t="s">
        <v>586</v>
      </c>
      <c r="F125" s="82" t="s">
        <v>584</v>
      </c>
      <c r="G125" s="176" t="s">
        <v>1335</v>
      </c>
      <c r="H125" s="176" t="str">
        <f>'7. Authentication&amp;Authorization'!$L11</f>
        <v>Comment is required</v>
      </c>
      <c r="I125" s="14">
        <f>'7. Authentication&amp;Authorization'!$K11</f>
        <v>0</v>
      </c>
      <c r="J125" s="14" t="str">
        <f t="shared" si="24"/>
        <v>Blank</v>
      </c>
      <c r="K125" s="155" t="s">
        <v>1131</v>
      </c>
      <c r="L125" s="14" t="str">
        <f t="shared" si="13"/>
        <v>Blank</v>
      </c>
      <c r="N125" s="14" t="str">
        <f t="shared" si="16"/>
        <v/>
      </c>
      <c r="O125" s="14" t="str">
        <f t="shared" si="17"/>
        <v/>
      </c>
      <c r="P125" s="14" t="str">
        <f t="shared" si="18"/>
        <v>Comment is required</v>
      </c>
      <c r="Q125" s="14" t="str">
        <f t="shared" si="19"/>
        <v>Blank</v>
      </c>
      <c r="R125" s="14" t="str">
        <f t="shared" si="20"/>
        <v>No Override</v>
      </c>
      <c r="S125" s="14">
        <f t="shared" si="21"/>
        <v>1</v>
      </c>
      <c r="T125" s="14" t="str">
        <f t="shared" si="22"/>
        <v/>
      </c>
    </row>
    <row r="126" spans="1:20" x14ac:dyDescent="0.3">
      <c r="A126" s="224">
        <v>1</v>
      </c>
      <c r="C126" s="14">
        <f t="shared" si="14"/>
        <v>1</v>
      </c>
      <c r="D126" s="14" t="s">
        <v>1135</v>
      </c>
      <c r="E126" s="58" t="s">
        <v>587</v>
      </c>
      <c r="F126" s="82" t="s">
        <v>584</v>
      </c>
      <c r="G126" s="176" t="s">
        <v>588</v>
      </c>
      <c r="H126" s="176" t="str">
        <f>'7. Authentication&amp;Authorization'!$L12</f>
        <v>Comment is required</v>
      </c>
      <c r="I126" s="14">
        <f>'7. Authentication&amp;Authorization'!$K12</f>
        <v>0</v>
      </c>
      <c r="J126" s="14" t="str">
        <f t="shared" si="24"/>
        <v>Blank</v>
      </c>
      <c r="K126" s="155" t="s">
        <v>1131</v>
      </c>
      <c r="L126" s="14" t="str">
        <f t="shared" si="13"/>
        <v>Blank</v>
      </c>
      <c r="N126" s="14" t="str">
        <f t="shared" si="16"/>
        <v/>
      </c>
      <c r="O126" s="14" t="str">
        <f t="shared" si="17"/>
        <v/>
      </c>
      <c r="P126" s="14" t="str">
        <f t="shared" si="18"/>
        <v>Comment is required</v>
      </c>
      <c r="Q126" s="14" t="str">
        <f t="shared" si="19"/>
        <v>Blank</v>
      </c>
      <c r="R126" s="14" t="str">
        <f t="shared" si="20"/>
        <v>No Override</v>
      </c>
      <c r="S126" s="14">
        <f t="shared" si="21"/>
        <v>1</v>
      </c>
      <c r="T126" s="14" t="str">
        <f t="shared" si="22"/>
        <v/>
      </c>
    </row>
    <row r="127" spans="1:20" x14ac:dyDescent="0.3">
      <c r="A127" s="224">
        <v>1</v>
      </c>
      <c r="C127" s="14">
        <f t="shared" si="14"/>
        <v>1</v>
      </c>
      <c r="D127" s="14" t="s">
        <v>1135</v>
      </c>
      <c r="E127" s="58" t="s">
        <v>589</v>
      </c>
      <c r="F127" s="82" t="s">
        <v>584</v>
      </c>
      <c r="G127" s="176" t="s">
        <v>590</v>
      </c>
      <c r="H127" s="176" t="str">
        <f>'7. Authentication&amp;Authorization'!$L13</f>
        <v>Comment is required</v>
      </c>
      <c r="I127" s="14">
        <f>'7. Authentication&amp;Authorization'!$K13</f>
        <v>0</v>
      </c>
      <c r="J127" s="14" t="str">
        <f t="shared" si="24"/>
        <v>Blank</v>
      </c>
      <c r="K127" s="155" t="s">
        <v>1131</v>
      </c>
      <c r="L127" s="14" t="str">
        <f t="shared" si="13"/>
        <v>Blank</v>
      </c>
      <c r="N127" s="14" t="str">
        <f t="shared" si="16"/>
        <v/>
      </c>
      <c r="O127" s="14" t="str">
        <f t="shared" si="17"/>
        <v/>
      </c>
      <c r="P127" s="14" t="str">
        <f t="shared" si="18"/>
        <v>Comment is required</v>
      </c>
      <c r="Q127" s="14" t="str">
        <f t="shared" si="19"/>
        <v>Blank</v>
      </c>
      <c r="R127" s="14" t="str">
        <f t="shared" si="20"/>
        <v>No Override</v>
      </c>
      <c r="S127" s="14">
        <f t="shared" si="21"/>
        <v>1</v>
      </c>
      <c r="T127" s="14" t="str">
        <f t="shared" si="22"/>
        <v/>
      </c>
    </row>
    <row r="128" spans="1:20" x14ac:dyDescent="0.3">
      <c r="A128" s="224">
        <v>1</v>
      </c>
      <c r="C128" s="14">
        <f t="shared" si="14"/>
        <v>1</v>
      </c>
      <c r="D128" s="14" t="s">
        <v>1135</v>
      </c>
      <c r="E128" s="58" t="s">
        <v>591</v>
      </c>
      <c r="F128" s="82" t="s">
        <v>584</v>
      </c>
      <c r="G128" s="176" t="s">
        <v>592</v>
      </c>
      <c r="H128" s="176" t="str">
        <f>'7. Authentication&amp;Authorization'!$L14</f>
        <v>Comment is required</v>
      </c>
      <c r="I128" s="14">
        <f>'7. Authentication&amp;Authorization'!$K14</f>
        <v>0</v>
      </c>
      <c r="J128" s="14" t="str">
        <f t="shared" si="24"/>
        <v>Blank</v>
      </c>
      <c r="K128" s="155" t="s">
        <v>1131</v>
      </c>
      <c r="L128" s="14" t="str">
        <f t="shared" si="13"/>
        <v>Blank</v>
      </c>
      <c r="N128" s="14" t="str">
        <f t="shared" si="16"/>
        <v/>
      </c>
      <c r="O128" s="14" t="str">
        <f t="shared" si="17"/>
        <v/>
      </c>
      <c r="P128" s="14" t="str">
        <f t="shared" si="18"/>
        <v>Comment is required</v>
      </c>
      <c r="Q128" s="14" t="str">
        <f t="shared" si="19"/>
        <v>Blank</v>
      </c>
      <c r="R128" s="14" t="str">
        <f t="shared" si="20"/>
        <v>No Override</v>
      </c>
      <c r="S128" s="14">
        <f t="shared" si="21"/>
        <v>1</v>
      </c>
      <c r="T128" s="14" t="str">
        <f t="shared" si="22"/>
        <v/>
      </c>
    </row>
    <row r="129" spans="1:20" x14ac:dyDescent="0.3">
      <c r="A129" s="224">
        <v>3</v>
      </c>
      <c r="C129" s="14">
        <f t="shared" si="14"/>
        <v>3</v>
      </c>
      <c r="D129" s="14" t="s">
        <v>1135</v>
      </c>
      <c r="E129" s="58" t="s">
        <v>593</v>
      </c>
      <c r="F129" s="82" t="s">
        <v>584</v>
      </c>
      <c r="G129" s="176" t="s">
        <v>594</v>
      </c>
      <c r="H129" s="176" t="str">
        <f>'7. Authentication&amp;Authorization'!$L15</f>
        <v>Comment is required</v>
      </c>
      <c r="I129" s="14">
        <f>'7. Authentication&amp;Authorization'!$K15</f>
        <v>0</v>
      </c>
      <c r="J129" s="14" t="str">
        <f t="shared" si="24"/>
        <v>Blank</v>
      </c>
      <c r="K129" s="155" t="s">
        <v>1131</v>
      </c>
      <c r="L129" s="14" t="str">
        <f t="shared" si="13"/>
        <v>Blank</v>
      </c>
      <c r="N129" s="14" t="str">
        <f t="shared" si="16"/>
        <v/>
      </c>
      <c r="O129" s="14" t="str">
        <f t="shared" si="17"/>
        <v/>
      </c>
      <c r="P129" s="14" t="str">
        <f t="shared" si="18"/>
        <v>Comment is required</v>
      </c>
      <c r="Q129" s="14" t="str">
        <f t="shared" si="19"/>
        <v>Blank</v>
      </c>
      <c r="R129" s="14" t="str">
        <f t="shared" si="20"/>
        <v>No Override</v>
      </c>
      <c r="S129" s="14">
        <f t="shared" si="21"/>
        <v>3</v>
      </c>
      <c r="T129" s="14" t="str">
        <f t="shared" si="22"/>
        <v/>
      </c>
    </row>
    <row r="130" spans="1:20" x14ac:dyDescent="0.3">
      <c r="A130" s="224">
        <v>3</v>
      </c>
      <c r="C130" s="14">
        <f t="shared" si="14"/>
        <v>3</v>
      </c>
      <c r="D130" s="14" t="s">
        <v>1135</v>
      </c>
      <c r="E130" s="58" t="s">
        <v>595</v>
      </c>
      <c r="F130" s="82" t="s">
        <v>584</v>
      </c>
      <c r="G130" s="176" t="s">
        <v>596</v>
      </c>
      <c r="H130" s="176" t="str">
        <f>'7. Authentication&amp;Authorization'!$L16</f>
        <v>Comment is required</v>
      </c>
      <c r="I130" s="14">
        <f>'7. Authentication&amp;Authorization'!$K16</f>
        <v>0</v>
      </c>
      <c r="J130" s="14" t="str">
        <f t="shared" si="24"/>
        <v>Blank</v>
      </c>
      <c r="K130" s="155" t="s">
        <v>1131</v>
      </c>
      <c r="L130" s="14" t="str">
        <f t="shared" si="13"/>
        <v>Blank</v>
      </c>
      <c r="N130" s="14" t="str">
        <f t="shared" si="16"/>
        <v/>
      </c>
      <c r="O130" s="14" t="str">
        <f t="shared" si="17"/>
        <v/>
      </c>
      <c r="P130" s="14" t="str">
        <f t="shared" si="18"/>
        <v>Comment is required</v>
      </c>
      <c r="Q130" s="14" t="str">
        <f t="shared" si="19"/>
        <v>Blank</v>
      </c>
      <c r="R130" s="14" t="str">
        <f t="shared" si="20"/>
        <v>No Override</v>
      </c>
      <c r="S130" s="14">
        <f t="shared" si="21"/>
        <v>3</v>
      </c>
      <c r="T130" s="14" t="str">
        <f t="shared" si="22"/>
        <v/>
      </c>
    </row>
    <row r="131" spans="1:20" x14ac:dyDescent="0.3">
      <c r="A131" s="224">
        <v>1</v>
      </c>
      <c r="C131" s="14">
        <f t="shared" si="14"/>
        <v>1</v>
      </c>
      <c r="D131" s="14" t="s">
        <v>1135</v>
      </c>
      <c r="E131" s="58" t="s">
        <v>597</v>
      </c>
      <c r="F131" s="82" t="s">
        <v>584</v>
      </c>
      <c r="G131" s="176" t="s">
        <v>598</v>
      </c>
      <c r="H131" s="176" t="str">
        <f>'7. Authentication&amp;Authorization'!$L17</f>
        <v>Comment is required</v>
      </c>
      <c r="I131" s="14">
        <f>'7. Authentication&amp;Authorization'!$K17</f>
        <v>0</v>
      </c>
      <c r="J131" s="14" t="str">
        <f t="shared" si="24"/>
        <v>Blank</v>
      </c>
      <c r="K131" s="155" t="s">
        <v>1131</v>
      </c>
      <c r="L131" s="14" t="str">
        <f t="shared" si="13"/>
        <v>Blank</v>
      </c>
      <c r="N131" s="14" t="str">
        <f t="shared" si="16"/>
        <v/>
      </c>
      <c r="O131" s="14" t="str">
        <f t="shared" si="17"/>
        <v/>
      </c>
      <c r="P131" s="14" t="str">
        <f t="shared" si="18"/>
        <v>Comment is required</v>
      </c>
      <c r="Q131" s="14" t="str">
        <f t="shared" si="19"/>
        <v>Blank</v>
      </c>
      <c r="R131" s="14" t="str">
        <f t="shared" si="20"/>
        <v>No Override</v>
      </c>
      <c r="S131" s="14">
        <f t="shared" si="21"/>
        <v>1</v>
      </c>
      <c r="T131" s="14" t="str">
        <f t="shared" si="22"/>
        <v/>
      </c>
    </row>
    <row r="132" spans="1:20" x14ac:dyDescent="0.3">
      <c r="A132" s="224">
        <v>3</v>
      </c>
      <c r="C132" s="14">
        <f t="shared" si="14"/>
        <v>3</v>
      </c>
      <c r="D132" s="14" t="s">
        <v>1135</v>
      </c>
      <c r="E132" s="58" t="s">
        <v>599</v>
      </c>
      <c r="F132" s="82" t="s">
        <v>584</v>
      </c>
      <c r="G132" s="176" t="s">
        <v>600</v>
      </c>
      <c r="H132" s="176" t="str">
        <f>'7. Authentication&amp;Authorization'!$L18</f>
        <v>Comment is required</v>
      </c>
      <c r="I132" s="14">
        <f>'7. Authentication&amp;Authorization'!$K18</f>
        <v>0</v>
      </c>
      <c r="J132" s="14" t="str">
        <f t="shared" si="24"/>
        <v>Blank</v>
      </c>
      <c r="K132" s="155" t="s">
        <v>1131</v>
      </c>
      <c r="L132" s="14" t="str">
        <f t="shared" si="13"/>
        <v>Blank</v>
      </c>
      <c r="N132" s="14" t="str">
        <f t="shared" si="16"/>
        <v/>
      </c>
      <c r="O132" s="14" t="str">
        <f t="shared" si="17"/>
        <v/>
      </c>
      <c r="P132" s="14" t="str">
        <f t="shared" si="18"/>
        <v>Comment is required</v>
      </c>
      <c r="Q132" s="14" t="str">
        <f t="shared" si="19"/>
        <v>Blank</v>
      </c>
      <c r="R132" s="14" t="str">
        <f t="shared" si="20"/>
        <v>No Override</v>
      </c>
      <c r="S132" s="14">
        <f t="shared" si="21"/>
        <v>3</v>
      </c>
      <c r="T132" s="14" t="str">
        <f t="shared" si="22"/>
        <v/>
      </c>
    </row>
    <row r="133" spans="1:20" x14ac:dyDescent="0.3">
      <c r="A133" s="224">
        <v>4</v>
      </c>
      <c r="C133" s="14">
        <f t="shared" si="14"/>
        <v>4</v>
      </c>
      <c r="D133" s="14" t="s">
        <v>1135</v>
      </c>
      <c r="E133" s="58" t="s">
        <v>601</v>
      </c>
      <c r="F133" s="82" t="s">
        <v>603</v>
      </c>
      <c r="G133" s="176" t="s">
        <v>604</v>
      </c>
      <c r="H133" s="176" t="str">
        <f>'7. Authentication&amp;Authorization'!$L19</f>
        <v>Comment is required</v>
      </c>
      <c r="I133" s="14">
        <f>'7. Authentication&amp;Authorization'!$K19</f>
        <v>0</v>
      </c>
      <c r="J133" s="14" t="str">
        <f t="shared" si="24"/>
        <v>Blank</v>
      </c>
      <c r="K133" s="155" t="s">
        <v>1131</v>
      </c>
      <c r="L133" s="14" t="str">
        <f t="shared" si="13"/>
        <v>Blank</v>
      </c>
      <c r="N133" s="14" t="str">
        <f t="shared" si="16"/>
        <v/>
      </c>
      <c r="O133" s="14" t="str">
        <f t="shared" si="17"/>
        <v/>
      </c>
      <c r="P133" s="14" t="str">
        <f t="shared" si="18"/>
        <v>Comment is required</v>
      </c>
      <c r="Q133" s="14" t="str">
        <f t="shared" si="19"/>
        <v>Blank</v>
      </c>
      <c r="R133" s="14" t="str">
        <f t="shared" si="20"/>
        <v>No Override</v>
      </c>
      <c r="S133" s="14">
        <f t="shared" si="21"/>
        <v>4</v>
      </c>
      <c r="T133" s="14" t="str">
        <f t="shared" si="22"/>
        <v/>
      </c>
    </row>
    <row r="134" spans="1:20" ht="22.8" x14ac:dyDescent="0.3">
      <c r="A134" s="224">
        <v>4</v>
      </c>
      <c r="C134" s="14">
        <f t="shared" si="14"/>
        <v>4</v>
      </c>
      <c r="D134" s="14" t="s">
        <v>1135</v>
      </c>
      <c r="E134" s="58" t="s">
        <v>605</v>
      </c>
      <c r="F134" s="82" t="s">
        <v>607</v>
      </c>
      <c r="G134" s="176" t="s">
        <v>608</v>
      </c>
      <c r="H134" s="176" t="str">
        <f>'7. Authentication&amp;Authorization'!$L20</f>
        <v>Comment is required</v>
      </c>
      <c r="I134" s="14">
        <f>'7. Authentication&amp;Authorization'!$K20</f>
        <v>0</v>
      </c>
      <c r="J134" s="14" t="str">
        <f t="shared" si="24"/>
        <v>Blank</v>
      </c>
      <c r="K134" s="155" t="s">
        <v>1131</v>
      </c>
      <c r="L134" s="14" t="str">
        <f t="shared" si="13"/>
        <v>Blank</v>
      </c>
      <c r="N134" s="14" t="str">
        <f t="shared" si="16"/>
        <v/>
      </c>
      <c r="O134" s="14" t="str">
        <f t="shared" si="17"/>
        <v/>
      </c>
      <c r="P134" s="14" t="str">
        <f t="shared" si="18"/>
        <v>Comment is required</v>
      </c>
      <c r="Q134" s="14" t="str">
        <f t="shared" si="19"/>
        <v>Blank</v>
      </c>
      <c r="R134" s="14" t="str">
        <f t="shared" si="20"/>
        <v>No Override</v>
      </c>
      <c r="S134" s="14">
        <f t="shared" si="21"/>
        <v>4</v>
      </c>
      <c r="T134" s="14" t="str">
        <f t="shared" si="22"/>
        <v/>
      </c>
    </row>
    <row r="135" spans="1:20" ht="22.8" x14ac:dyDescent="0.3">
      <c r="A135" s="224">
        <v>4</v>
      </c>
      <c r="C135" s="14">
        <f t="shared" si="14"/>
        <v>4</v>
      </c>
      <c r="D135" s="14" t="s">
        <v>1135</v>
      </c>
      <c r="E135" s="58" t="s">
        <v>609</v>
      </c>
      <c r="F135" s="82" t="s">
        <v>611</v>
      </c>
      <c r="G135" s="176" t="s">
        <v>612</v>
      </c>
      <c r="H135" s="176" t="str">
        <f>'7. Authentication&amp;Authorization'!$L21</f>
        <v>Comment is required</v>
      </c>
      <c r="I135" s="14">
        <f>'7. Authentication&amp;Authorization'!$K21</f>
        <v>0</v>
      </c>
      <c r="J135" s="14" t="str">
        <f t="shared" si="24"/>
        <v>Blank</v>
      </c>
      <c r="K135" s="155" t="s">
        <v>1131</v>
      </c>
      <c r="L135" s="14" t="str">
        <f t="shared" si="13"/>
        <v>Blank</v>
      </c>
      <c r="N135" s="14" t="str">
        <f t="shared" si="16"/>
        <v/>
      </c>
      <c r="O135" s="14" t="str">
        <f t="shared" si="17"/>
        <v/>
      </c>
      <c r="P135" s="14" t="str">
        <f t="shared" si="18"/>
        <v>Comment is required</v>
      </c>
      <c r="Q135" s="14" t="str">
        <f t="shared" si="19"/>
        <v>Blank</v>
      </c>
      <c r="R135" s="14" t="str">
        <f t="shared" si="20"/>
        <v>No Override</v>
      </c>
      <c r="S135" s="14">
        <f t="shared" si="21"/>
        <v>4</v>
      </c>
      <c r="T135" s="14" t="str">
        <f t="shared" si="22"/>
        <v/>
      </c>
    </row>
    <row r="136" spans="1:20" x14ac:dyDescent="0.3">
      <c r="A136" s="224">
        <v>1</v>
      </c>
      <c r="C136" s="14">
        <f t="shared" si="14"/>
        <v>1</v>
      </c>
      <c r="D136" s="14" t="s">
        <v>1136</v>
      </c>
      <c r="E136" s="58" t="s">
        <v>614</v>
      </c>
      <c r="F136" s="82" t="s">
        <v>617</v>
      </c>
      <c r="G136" s="173" t="s">
        <v>618</v>
      </c>
      <c r="H136" s="175" t="str">
        <f>'8. Incident Response'!$L3</f>
        <v>Comment is required</v>
      </c>
      <c r="I136" s="14">
        <f>'8. Incident Response'!$K3</f>
        <v>0</v>
      </c>
      <c r="J136" s="14" t="str">
        <f t="shared" si="24"/>
        <v>Blank</v>
      </c>
      <c r="K136" s="155" t="s">
        <v>1131</v>
      </c>
      <c r="L136" s="14" t="str">
        <f t="shared" si="13"/>
        <v>Blank</v>
      </c>
      <c r="N136" s="14" t="str">
        <f t="shared" si="16"/>
        <v/>
      </c>
      <c r="O136" s="14" t="str">
        <f t="shared" si="17"/>
        <v/>
      </c>
      <c r="P136" s="14" t="str">
        <f t="shared" si="18"/>
        <v>Comment is required</v>
      </c>
      <c r="Q136" s="14" t="str">
        <f t="shared" si="19"/>
        <v>Blank</v>
      </c>
      <c r="R136" s="14" t="str">
        <f t="shared" si="20"/>
        <v>No Override</v>
      </c>
      <c r="S136" s="14">
        <f t="shared" si="21"/>
        <v>1</v>
      </c>
      <c r="T136" s="14" t="str">
        <f t="shared" si="22"/>
        <v/>
      </c>
    </row>
    <row r="137" spans="1:20" x14ac:dyDescent="0.3">
      <c r="A137" s="224">
        <v>2</v>
      </c>
      <c r="C137" s="14">
        <f t="shared" si="14"/>
        <v>2</v>
      </c>
      <c r="D137" s="14" t="s">
        <v>1136</v>
      </c>
      <c r="E137" s="58" t="s">
        <v>619</v>
      </c>
      <c r="F137" s="82" t="s">
        <v>621</v>
      </c>
      <c r="G137" s="176" t="s">
        <v>622</v>
      </c>
      <c r="H137" s="175" t="str">
        <f>'8. Incident Response'!$L4</f>
        <v>Comment is required</v>
      </c>
      <c r="I137" s="14">
        <f>'8. Incident Response'!$K4</f>
        <v>0</v>
      </c>
      <c r="J137" s="14" t="str">
        <f t="shared" si="24"/>
        <v>Blank</v>
      </c>
      <c r="K137" s="155" t="s">
        <v>1131</v>
      </c>
      <c r="L137" s="14" t="str">
        <f t="shared" si="13"/>
        <v>Blank</v>
      </c>
      <c r="N137" s="14" t="str">
        <f t="shared" si="16"/>
        <v/>
      </c>
      <c r="O137" s="14" t="str">
        <f t="shared" si="17"/>
        <v/>
      </c>
      <c r="P137" s="14" t="str">
        <f t="shared" si="18"/>
        <v>Comment is required</v>
      </c>
      <c r="Q137" s="14" t="str">
        <f t="shared" si="19"/>
        <v>Blank</v>
      </c>
      <c r="R137" s="14" t="str">
        <f t="shared" si="20"/>
        <v>No Override</v>
      </c>
      <c r="S137" s="14">
        <f t="shared" si="21"/>
        <v>2</v>
      </c>
      <c r="T137" s="14" t="str">
        <f t="shared" si="22"/>
        <v/>
      </c>
    </row>
    <row r="138" spans="1:20" x14ac:dyDescent="0.3">
      <c r="A138" s="224">
        <v>2</v>
      </c>
      <c r="C138" s="14">
        <f t="shared" si="14"/>
        <v>2</v>
      </c>
      <c r="D138" s="14" t="s">
        <v>1136</v>
      </c>
      <c r="E138" s="58" t="s">
        <v>623</v>
      </c>
      <c r="F138" s="82" t="s">
        <v>621</v>
      </c>
      <c r="G138" s="176" t="s">
        <v>624</v>
      </c>
      <c r="H138" s="175" t="str">
        <f>'8. Incident Response'!$L5</f>
        <v>Comment is required</v>
      </c>
      <c r="I138" s="14">
        <f>'8. Incident Response'!$K5</f>
        <v>0</v>
      </c>
      <c r="J138" s="14" t="str">
        <f t="shared" si="24"/>
        <v>Blank</v>
      </c>
      <c r="K138" s="155" t="s">
        <v>1131</v>
      </c>
      <c r="L138" s="14" t="str">
        <f t="shared" si="13"/>
        <v>Blank</v>
      </c>
      <c r="N138" s="14" t="str">
        <f t="shared" si="16"/>
        <v/>
      </c>
      <c r="O138" s="14" t="str">
        <f t="shared" si="17"/>
        <v/>
      </c>
      <c r="P138" s="14" t="str">
        <f t="shared" si="18"/>
        <v>Comment is required</v>
      </c>
      <c r="Q138" s="14" t="str">
        <f t="shared" si="19"/>
        <v>Blank</v>
      </c>
      <c r="R138" s="14" t="str">
        <f t="shared" si="20"/>
        <v>No Override</v>
      </c>
      <c r="S138" s="14">
        <f t="shared" si="21"/>
        <v>2</v>
      </c>
      <c r="T138" s="14" t="str">
        <f t="shared" si="22"/>
        <v/>
      </c>
    </row>
    <row r="139" spans="1:20" x14ac:dyDescent="0.3">
      <c r="A139" s="224">
        <v>2</v>
      </c>
      <c r="C139" s="14">
        <f t="shared" si="14"/>
        <v>2</v>
      </c>
      <c r="D139" s="14" t="s">
        <v>1136</v>
      </c>
      <c r="E139" s="58" t="s">
        <v>625</v>
      </c>
      <c r="F139" s="82" t="s">
        <v>627</v>
      </c>
      <c r="G139" s="176" t="s">
        <v>628</v>
      </c>
      <c r="H139" s="175" t="str">
        <f>'8. Incident Response'!$L6</f>
        <v>Comment is required</v>
      </c>
      <c r="I139" s="14">
        <f>'8. Incident Response'!$K6</f>
        <v>0</v>
      </c>
      <c r="J139" s="14" t="str">
        <f t="shared" si="24"/>
        <v>Blank</v>
      </c>
      <c r="K139" s="155" t="s">
        <v>1131</v>
      </c>
      <c r="L139" s="14" t="str">
        <f t="shared" si="13"/>
        <v>Blank</v>
      </c>
      <c r="N139" s="14" t="str">
        <f t="shared" si="16"/>
        <v/>
      </c>
      <c r="O139" s="14" t="str">
        <f t="shared" si="17"/>
        <v/>
      </c>
      <c r="P139" s="14" t="str">
        <f t="shared" si="18"/>
        <v>Comment is required</v>
      </c>
      <c r="Q139" s="14" t="str">
        <f t="shared" si="19"/>
        <v>Blank</v>
      </c>
      <c r="R139" s="14" t="str">
        <f t="shared" si="20"/>
        <v>No Override</v>
      </c>
      <c r="S139" s="14">
        <f t="shared" si="21"/>
        <v>2</v>
      </c>
      <c r="T139" s="14" t="str">
        <f t="shared" si="22"/>
        <v/>
      </c>
    </row>
    <row r="140" spans="1:20" x14ac:dyDescent="0.3">
      <c r="A140" s="224">
        <v>2</v>
      </c>
      <c r="C140" s="14">
        <f t="shared" si="14"/>
        <v>2</v>
      </c>
      <c r="D140" s="14" t="s">
        <v>1136</v>
      </c>
      <c r="E140" s="58" t="s">
        <v>629</v>
      </c>
      <c r="F140" s="82" t="s">
        <v>627</v>
      </c>
      <c r="G140" s="176" t="s">
        <v>630</v>
      </c>
      <c r="H140" s="175" t="str">
        <f>'8. Incident Response'!$L7</f>
        <v>Comment is required</v>
      </c>
      <c r="I140" s="14">
        <f>'8. Incident Response'!$K7</f>
        <v>0</v>
      </c>
      <c r="J140" s="14" t="str">
        <f t="shared" si="24"/>
        <v>Blank</v>
      </c>
      <c r="K140" s="155" t="s">
        <v>1131</v>
      </c>
      <c r="L140" s="14" t="str">
        <f t="shared" si="13"/>
        <v>Blank</v>
      </c>
      <c r="N140" s="14" t="str">
        <f t="shared" si="16"/>
        <v/>
      </c>
      <c r="O140" s="14" t="str">
        <f t="shared" si="17"/>
        <v/>
      </c>
      <c r="P140" s="14" t="str">
        <f t="shared" si="18"/>
        <v>Comment is required</v>
      </c>
      <c r="Q140" s="14" t="str">
        <f t="shared" si="19"/>
        <v>Blank</v>
      </c>
      <c r="R140" s="14" t="str">
        <f t="shared" si="20"/>
        <v>No Override</v>
      </c>
      <c r="S140" s="14">
        <f t="shared" si="21"/>
        <v>2</v>
      </c>
      <c r="T140" s="14" t="str">
        <f t="shared" si="22"/>
        <v/>
      </c>
    </row>
    <row r="141" spans="1:20" x14ac:dyDescent="0.3">
      <c r="A141" s="224">
        <v>1</v>
      </c>
      <c r="C141" s="14">
        <f t="shared" si="14"/>
        <v>1</v>
      </c>
      <c r="D141" s="14" t="s">
        <v>1136</v>
      </c>
      <c r="E141" s="58" t="s">
        <v>631</v>
      </c>
      <c r="F141" s="82" t="s">
        <v>634</v>
      </c>
      <c r="G141" s="176" t="s">
        <v>635</v>
      </c>
      <c r="H141" s="175" t="str">
        <f>'8. Incident Response'!$L8</f>
        <v>Comment is required</v>
      </c>
      <c r="I141" s="14">
        <f>'8. Incident Response'!$K8</f>
        <v>0</v>
      </c>
      <c r="J141" s="14" t="str">
        <f t="shared" si="24"/>
        <v>Blank</v>
      </c>
      <c r="K141" s="155" t="s">
        <v>1131</v>
      </c>
      <c r="L141" s="14" t="str">
        <f t="shared" si="13"/>
        <v>Blank</v>
      </c>
      <c r="N141" s="14" t="str">
        <f t="shared" si="16"/>
        <v/>
      </c>
      <c r="O141" s="14" t="str">
        <f t="shared" si="17"/>
        <v/>
      </c>
      <c r="P141" s="14" t="str">
        <f t="shared" si="18"/>
        <v>Comment is required</v>
      </c>
      <c r="Q141" s="14" t="str">
        <f t="shared" si="19"/>
        <v>Blank</v>
      </c>
      <c r="R141" s="14" t="str">
        <f t="shared" si="20"/>
        <v>No Override</v>
      </c>
      <c r="S141" s="14">
        <f t="shared" si="21"/>
        <v>1</v>
      </c>
      <c r="T141" s="14" t="str">
        <f t="shared" si="22"/>
        <v/>
      </c>
    </row>
    <row r="142" spans="1:20" x14ac:dyDescent="0.3">
      <c r="A142" s="224">
        <v>3</v>
      </c>
      <c r="C142" s="14">
        <f t="shared" si="14"/>
        <v>3</v>
      </c>
      <c r="D142" s="14" t="s">
        <v>1136</v>
      </c>
      <c r="E142" s="58" t="s">
        <v>636</v>
      </c>
      <c r="F142" s="82" t="s">
        <v>634</v>
      </c>
      <c r="G142" s="176" t="s">
        <v>637</v>
      </c>
      <c r="H142" s="175" t="str">
        <f>'8. Incident Response'!$L9</f>
        <v>Comment is required</v>
      </c>
      <c r="I142" s="14">
        <f>'8. Incident Response'!$K9</f>
        <v>0</v>
      </c>
      <c r="J142" s="14" t="str">
        <f t="shared" si="24"/>
        <v>Blank</v>
      </c>
      <c r="K142" s="155" t="s">
        <v>1131</v>
      </c>
      <c r="L142" s="14" t="str">
        <f t="shared" si="13"/>
        <v>Blank</v>
      </c>
      <c r="N142" s="14" t="str">
        <f t="shared" si="16"/>
        <v/>
      </c>
      <c r="O142" s="14" t="str">
        <f t="shared" si="17"/>
        <v/>
      </c>
      <c r="P142" s="14" t="str">
        <f t="shared" si="18"/>
        <v>Comment is required</v>
      </c>
      <c r="Q142" s="14" t="str">
        <f t="shared" si="19"/>
        <v>Blank</v>
      </c>
      <c r="R142" s="14" t="str">
        <f t="shared" si="20"/>
        <v>No Override</v>
      </c>
      <c r="S142" s="14">
        <f t="shared" si="21"/>
        <v>3</v>
      </c>
      <c r="T142" s="14" t="str">
        <f t="shared" si="22"/>
        <v/>
      </c>
    </row>
    <row r="143" spans="1:20" x14ac:dyDescent="0.3">
      <c r="A143" s="224">
        <v>1</v>
      </c>
      <c r="C143" s="14">
        <f t="shared" si="14"/>
        <v>1</v>
      </c>
      <c r="D143" s="14" t="s">
        <v>1136</v>
      </c>
      <c r="E143" s="58" t="s">
        <v>638</v>
      </c>
      <c r="F143" s="82" t="s">
        <v>641</v>
      </c>
      <c r="G143" s="176" t="s">
        <v>642</v>
      </c>
      <c r="H143" s="175" t="str">
        <f>'8. Incident Response'!$L10</f>
        <v>Comment is required</v>
      </c>
      <c r="I143" s="14">
        <f>'8. Incident Response'!$K10</f>
        <v>0</v>
      </c>
      <c r="J143" s="14" t="str">
        <f t="shared" si="24"/>
        <v>Blank</v>
      </c>
      <c r="K143" s="155" t="s">
        <v>1131</v>
      </c>
      <c r="L143" s="14" t="str">
        <f t="shared" si="13"/>
        <v>Blank</v>
      </c>
      <c r="N143" s="14" t="str">
        <f t="shared" si="16"/>
        <v/>
      </c>
      <c r="O143" s="14" t="str">
        <f t="shared" si="17"/>
        <v/>
      </c>
      <c r="P143" s="14" t="str">
        <f t="shared" si="18"/>
        <v>Comment is required</v>
      </c>
      <c r="Q143" s="14" t="str">
        <f t="shared" si="19"/>
        <v>Blank</v>
      </c>
      <c r="R143" s="14" t="str">
        <f t="shared" si="20"/>
        <v>No Override</v>
      </c>
      <c r="S143" s="14">
        <f t="shared" si="21"/>
        <v>1</v>
      </c>
      <c r="T143" s="14" t="str">
        <f t="shared" si="22"/>
        <v/>
      </c>
    </row>
    <row r="144" spans="1:20" x14ac:dyDescent="0.3">
      <c r="A144" s="224">
        <v>1</v>
      </c>
      <c r="C144" s="14">
        <f t="shared" si="14"/>
        <v>1</v>
      </c>
      <c r="D144" s="14" t="s">
        <v>1136</v>
      </c>
      <c r="E144" s="58" t="s">
        <v>643</v>
      </c>
      <c r="F144" s="82" t="s">
        <v>646</v>
      </c>
      <c r="G144" s="176" t="s">
        <v>647</v>
      </c>
      <c r="H144" s="175" t="str">
        <f>'8. Incident Response'!$L11</f>
        <v>Comment is required</v>
      </c>
      <c r="I144" s="14">
        <f>'8. Incident Response'!$K11</f>
        <v>0</v>
      </c>
      <c r="J144" s="14" t="str">
        <f t="shared" si="24"/>
        <v>Blank</v>
      </c>
      <c r="K144" s="155" t="s">
        <v>1131</v>
      </c>
      <c r="L144" s="14" t="str">
        <f t="shared" si="13"/>
        <v>Blank</v>
      </c>
      <c r="N144" s="14" t="str">
        <f t="shared" si="16"/>
        <v/>
      </c>
      <c r="O144" s="14" t="str">
        <f t="shared" si="17"/>
        <v/>
      </c>
      <c r="P144" s="14" t="str">
        <f t="shared" si="18"/>
        <v>Comment is required</v>
      </c>
      <c r="Q144" s="14" t="str">
        <f t="shared" si="19"/>
        <v>Blank</v>
      </c>
      <c r="R144" s="14" t="str">
        <f t="shared" si="20"/>
        <v>No Override</v>
      </c>
      <c r="S144" s="14">
        <f t="shared" si="21"/>
        <v>1</v>
      </c>
      <c r="T144" s="14" t="str">
        <f t="shared" si="22"/>
        <v/>
      </c>
    </row>
    <row r="145" spans="1:20" x14ac:dyDescent="0.3">
      <c r="A145" s="224">
        <v>3</v>
      </c>
      <c r="C145" s="14">
        <f t="shared" si="14"/>
        <v>3</v>
      </c>
      <c r="D145" s="14" t="s">
        <v>1136</v>
      </c>
      <c r="E145" s="58" t="s">
        <v>648</v>
      </c>
      <c r="F145" s="82" t="s">
        <v>651</v>
      </c>
      <c r="G145" s="176" t="s">
        <v>652</v>
      </c>
      <c r="H145" s="175" t="str">
        <f>'8. Incident Response'!$L12</f>
        <v>Comment is required</v>
      </c>
      <c r="I145" s="14">
        <f>'8. Incident Response'!$K12</f>
        <v>0</v>
      </c>
      <c r="J145" s="14" t="str">
        <f>IF($I145="Yes","Adequate",IF($I145="No","Adequate",IF($I145="Partial","Inadequate",IF($I145="N/A","Inadequate",IF(OR($I145="",$I145=0),"Blank","Error")))))</f>
        <v>Blank</v>
      </c>
      <c r="K145" s="155" t="s">
        <v>1131</v>
      </c>
      <c r="L145" s="14" t="str">
        <f t="shared" ref="L145:L208" si="25">IF($K145="No Override",$J145,$K145)</f>
        <v>Blank</v>
      </c>
      <c r="N145" s="14" t="str">
        <f t="shared" si="16"/>
        <v/>
      </c>
      <c r="O145" s="14" t="str">
        <f t="shared" si="17"/>
        <v/>
      </c>
      <c r="P145" s="14" t="str">
        <f t="shared" si="18"/>
        <v>Comment is required</v>
      </c>
      <c r="Q145" s="14" t="str">
        <f t="shared" si="19"/>
        <v>Blank</v>
      </c>
      <c r="R145" s="14" t="str">
        <f t="shared" si="20"/>
        <v>No Override</v>
      </c>
      <c r="S145" s="14">
        <f t="shared" si="21"/>
        <v>3</v>
      </c>
      <c r="T145" s="14" t="str">
        <f t="shared" si="22"/>
        <v/>
      </c>
    </row>
    <row r="146" spans="1:20" x14ac:dyDescent="0.3">
      <c r="A146" s="224">
        <v>1</v>
      </c>
      <c r="C146" s="14">
        <f t="shared" ref="C146:C209" si="26">IF($B146="",$A146,$B146)</f>
        <v>1</v>
      </c>
      <c r="D146" s="14" t="s">
        <v>1136</v>
      </c>
      <c r="E146" s="58" t="s">
        <v>653</v>
      </c>
      <c r="F146" s="82" t="s">
        <v>655</v>
      </c>
      <c r="G146" s="176" t="s">
        <v>656</v>
      </c>
      <c r="H146" s="175" t="str">
        <f>'8. Incident Response'!$L13</f>
        <v>Comment is required</v>
      </c>
      <c r="I146" s="14">
        <f>'8. Incident Response'!$K13</f>
        <v>0</v>
      </c>
      <c r="J146" s="14" t="str">
        <f>IF($I146="Yes","Adequate",IF($I146="No","Inadequate",IF($I146="Partial","Inadequate",IF($I146="N/A","Inadequate",IF(OR($I146="",$I146=0),"Blank","Error")))))</f>
        <v>Blank</v>
      </c>
      <c r="K146" s="155" t="s">
        <v>1131</v>
      </c>
      <c r="L146" s="14" t="str">
        <f t="shared" si="25"/>
        <v>Blank</v>
      </c>
      <c r="N146" s="14" t="str">
        <f t="shared" ref="N146:N209" si="27">IF($J146=$L146,"","***")</f>
        <v/>
      </c>
      <c r="O146" s="14" t="str">
        <f t="shared" ref="O146:O209" si="28">IF(OR($I146="",$I146=0),"",$I146)</f>
        <v/>
      </c>
      <c r="P146" s="14" t="str">
        <f t="shared" ref="P146:P209" si="29">IF(OR($H146="",$H146=0),"",$H146)</f>
        <v>Comment is required</v>
      </c>
      <c r="Q146" s="14" t="str">
        <f t="shared" ref="Q146:Q209" si="30">$L146</f>
        <v>Blank</v>
      </c>
      <c r="R146" s="14" t="str">
        <f t="shared" ref="R146:R209" si="31">$K146</f>
        <v>No Override</v>
      </c>
      <c r="S146" s="14">
        <f t="shared" ref="S146:S209" si="32">$C146</f>
        <v>1</v>
      </c>
      <c r="T146" s="14" t="str">
        <f t="shared" ref="T146:T209" si="33">IF($L146=$Q146,"","***")</f>
        <v/>
      </c>
    </row>
    <row r="147" spans="1:20" x14ac:dyDescent="0.3">
      <c r="A147" s="224">
        <v>3</v>
      </c>
      <c r="C147" s="14">
        <f t="shared" si="26"/>
        <v>3</v>
      </c>
      <c r="D147" s="14" t="s">
        <v>1136</v>
      </c>
      <c r="E147" s="58" t="s">
        <v>657</v>
      </c>
      <c r="F147" s="82" t="s">
        <v>659</v>
      </c>
      <c r="G147" s="176" t="s">
        <v>660</v>
      </c>
      <c r="H147" s="175" t="str">
        <f>'8. Incident Response'!$L14</f>
        <v>Comment is required</v>
      </c>
      <c r="I147" s="14">
        <f>'8. Incident Response'!$K14</f>
        <v>0</v>
      </c>
      <c r="J147" s="14" t="str">
        <f t="shared" ref="J147:J210" si="34">IF($I147="Yes","Adequate",IF($I147="No","Inadequate",IF($I147="Partial","Inadequate",IF($I147="N/A","Inadequate",IF(OR($I147="",$I147=0),"Blank","Error")))))</f>
        <v>Blank</v>
      </c>
      <c r="K147" s="155" t="s">
        <v>1131</v>
      </c>
      <c r="L147" s="14" t="str">
        <f t="shared" si="25"/>
        <v>Blank</v>
      </c>
      <c r="N147" s="14" t="str">
        <f t="shared" si="27"/>
        <v/>
      </c>
      <c r="O147" s="14" t="str">
        <f t="shared" si="28"/>
        <v/>
      </c>
      <c r="P147" s="14" t="str">
        <f t="shared" si="29"/>
        <v>Comment is required</v>
      </c>
      <c r="Q147" s="14" t="str">
        <f t="shared" si="30"/>
        <v>Blank</v>
      </c>
      <c r="R147" s="14" t="str">
        <f t="shared" si="31"/>
        <v>No Override</v>
      </c>
      <c r="S147" s="14">
        <f t="shared" si="32"/>
        <v>3</v>
      </c>
      <c r="T147" s="14" t="str">
        <f t="shared" si="33"/>
        <v/>
      </c>
    </row>
    <row r="148" spans="1:20" x14ac:dyDescent="0.3">
      <c r="A148" s="224">
        <v>4</v>
      </c>
      <c r="C148" s="14">
        <f t="shared" si="26"/>
        <v>4</v>
      </c>
      <c r="D148" s="14" t="s">
        <v>661</v>
      </c>
      <c r="E148" s="58" t="s">
        <v>662</v>
      </c>
      <c r="F148" s="82" t="s">
        <v>665</v>
      </c>
      <c r="G148" s="170" t="s">
        <v>666</v>
      </c>
      <c r="H148" s="170" t="str">
        <f>'9. Maintenance'!$L3</f>
        <v>Comment is required</v>
      </c>
      <c r="I148" s="14">
        <f>'9. Maintenance'!$K3</f>
        <v>0</v>
      </c>
      <c r="J148" s="14" t="str">
        <f t="shared" si="34"/>
        <v>Blank</v>
      </c>
      <c r="K148" s="155" t="s">
        <v>1131</v>
      </c>
      <c r="L148" s="14" t="str">
        <f t="shared" si="25"/>
        <v>Blank</v>
      </c>
      <c r="N148" s="14" t="str">
        <f t="shared" si="27"/>
        <v/>
      </c>
      <c r="O148" s="14" t="str">
        <f t="shared" si="28"/>
        <v/>
      </c>
      <c r="P148" s="14" t="str">
        <f t="shared" si="29"/>
        <v>Comment is required</v>
      </c>
      <c r="Q148" s="14" t="str">
        <f t="shared" si="30"/>
        <v>Blank</v>
      </c>
      <c r="R148" s="14" t="str">
        <f t="shared" si="31"/>
        <v>No Override</v>
      </c>
      <c r="S148" s="14">
        <f t="shared" si="32"/>
        <v>4</v>
      </c>
      <c r="T148" s="14" t="str">
        <f t="shared" si="33"/>
        <v/>
      </c>
    </row>
    <row r="149" spans="1:20" x14ac:dyDescent="0.3">
      <c r="A149" s="224">
        <v>4</v>
      </c>
      <c r="C149" s="14">
        <f t="shared" si="26"/>
        <v>4</v>
      </c>
      <c r="D149" s="14" t="s">
        <v>661</v>
      </c>
      <c r="E149" s="62" t="s">
        <v>667</v>
      </c>
      <c r="F149" s="86" t="s">
        <v>668</v>
      </c>
      <c r="G149" s="176" t="s">
        <v>669</v>
      </c>
      <c r="H149" s="170" t="str">
        <f>'9. Maintenance'!$L4</f>
        <v>Comment is required</v>
      </c>
      <c r="I149" s="14">
        <f>'9. Maintenance'!$K4</f>
        <v>0</v>
      </c>
      <c r="J149" s="14" t="str">
        <f t="shared" si="34"/>
        <v>Blank</v>
      </c>
      <c r="K149" s="155" t="s">
        <v>1131</v>
      </c>
      <c r="L149" s="14" t="str">
        <f t="shared" si="25"/>
        <v>Blank</v>
      </c>
      <c r="N149" s="14" t="str">
        <f t="shared" si="27"/>
        <v/>
      </c>
      <c r="O149" s="14" t="str">
        <f t="shared" si="28"/>
        <v/>
      </c>
      <c r="P149" s="14" t="str">
        <f t="shared" si="29"/>
        <v>Comment is required</v>
      </c>
      <c r="Q149" s="14" t="str">
        <f t="shared" si="30"/>
        <v>Blank</v>
      </c>
      <c r="R149" s="14" t="str">
        <f t="shared" si="31"/>
        <v>No Override</v>
      </c>
      <c r="S149" s="14">
        <f t="shared" si="32"/>
        <v>4</v>
      </c>
      <c r="T149" s="14" t="str">
        <f t="shared" si="33"/>
        <v/>
      </c>
    </row>
    <row r="150" spans="1:20" x14ac:dyDescent="0.3">
      <c r="A150" s="224">
        <v>4</v>
      </c>
      <c r="C150" s="14">
        <f t="shared" si="26"/>
        <v>4</v>
      </c>
      <c r="D150" s="14" t="s">
        <v>661</v>
      </c>
      <c r="E150" s="62" t="s">
        <v>670</v>
      </c>
      <c r="F150" s="86" t="s">
        <v>668</v>
      </c>
      <c r="G150" s="176" t="s">
        <v>671</v>
      </c>
      <c r="H150" s="170" t="str">
        <f>'9. Maintenance'!$L5</f>
        <v>Comment is required</v>
      </c>
      <c r="I150" s="14">
        <f>'9. Maintenance'!$K5</f>
        <v>0</v>
      </c>
      <c r="J150" s="14" t="str">
        <f t="shared" si="34"/>
        <v>Blank</v>
      </c>
      <c r="K150" s="155" t="s">
        <v>1131</v>
      </c>
      <c r="L150" s="14" t="str">
        <f t="shared" si="25"/>
        <v>Blank</v>
      </c>
      <c r="N150" s="14" t="str">
        <f t="shared" si="27"/>
        <v/>
      </c>
      <c r="O150" s="14" t="str">
        <f t="shared" si="28"/>
        <v/>
      </c>
      <c r="P150" s="14" t="str">
        <f t="shared" si="29"/>
        <v>Comment is required</v>
      </c>
      <c r="Q150" s="14" t="str">
        <f t="shared" si="30"/>
        <v>Blank</v>
      </c>
      <c r="R150" s="14" t="str">
        <f t="shared" si="31"/>
        <v>No Override</v>
      </c>
      <c r="S150" s="14">
        <f t="shared" si="32"/>
        <v>4</v>
      </c>
      <c r="T150" s="14" t="str">
        <f t="shared" si="33"/>
        <v/>
      </c>
    </row>
    <row r="151" spans="1:20" ht="22.8" x14ac:dyDescent="0.3">
      <c r="A151" s="224">
        <v>4</v>
      </c>
      <c r="C151" s="14">
        <f t="shared" si="26"/>
        <v>4</v>
      </c>
      <c r="D151" s="14" t="s">
        <v>661</v>
      </c>
      <c r="E151" s="62" t="s">
        <v>672</v>
      </c>
      <c r="F151" s="86" t="s">
        <v>668</v>
      </c>
      <c r="G151" s="176" t="s">
        <v>673</v>
      </c>
      <c r="H151" s="170" t="str">
        <f>'9. Maintenance'!$L6</f>
        <v>Comment is required</v>
      </c>
      <c r="I151" s="14">
        <f>'9. Maintenance'!$K6</f>
        <v>0</v>
      </c>
      <c r="J151" s="14" t="str">
        <f t="shared" si="34"/>
        <v>Blank</v>
      </c>
      <c r="K151" s="155" t="s">
        <v>1131</v>
      </c>
      <c r="L151" s="14" t="str">
        <f t="shared" si="25"/>
        <v>Blank</v>
      </c>
      <c r="N151" s="14" t="str">
        <f t="shared" si="27"/>
        <v/>
      </c>
      <c r="O151" s="14" t="str">
        <f t="shared" si="28"/>
        <v/>
      </c>
      <c r="P151" s="14" t="str">
        <f t="shared" si="29"/>
        <v>Comment is required</v>
      </c>
      <c r="Q151" s="14" t="str">
        <f t="shared" si="30"/>
        <v>Blank</v>
      </c>
      <c r="R151" s="14" t="str">
        <f t="shared" si="31"/>
        <v>No Override</v>
      </c>
      <c r="S151" s="14">
        <f t="shared" si="32"/>
        <v>4</v>
      </c>
      <c r="T151" s="14" t="str">
        <f t="shared" si="33"/>
        <v/>
      </c>
    </row>
    <row r="152" spans="1:20" ht="22.8" x14ac:dyDescent="0.3">
      <c r="A152" s="224">
        <v>4</v>
      </c>
      <c r="C152" s="14">
        <f t="shared" si="26"/>
        <v>4</v>
      </c>
      <c r="D152" s="14" t="s">
        <v>661</v>
      </c>
      <c r="E152" s="62" t="s">
        <v>674</v>
      </c>
      <c r="F152" s="86" t="s">
        <v>668</v>
      </c>
      <c r="G152" s="176" t="s">
        <v>675</v>
      </c>
      <c r="H152" s="170" t="str">
        <f>'9. Maintenance'!$L7</f>
        <v>Comment is required</v>
      </c>
      <c r="I152" s="14">
        <f>'9. Maintenance'!$K7</f>
        <v>0</v>
      </c>
      <c r="J152" s="14" t="str">
        <f t="shared" si="34"/>
        <v>Blank</v>
      </c>
      <c r="K152" s="155" t="s">
        <v>1131</v>
      </c>
      <c r="L152" s="14" t="str">
        <f t="shared" si="25"/>
        <v>Blank</v>
      </c>
      <c r="N152" s="14" t="str">
        <f t="shared" si="27"/>
        <v/>
      </c>
      <c r="O152" s="14" t="str">
        <f t="shared" si="28"/>
        <v/>
      </c>
      <c r="P152" s="14" t="str">
        <f t="shared" si="29"/>
        <v>Comment is required</v>
      </c>
      <c r="Q152" s="14" t="str">
        <f t="shared" si="30"/>
        <v>Blank</v>
      </c>
      <c r="R152" s="14" t="str">
        <f t="shared" si="31"/>
        <v>No Override</v>
      </c>
      <c r="S152" s="14">
        <f t="shared" si="32"/>
        <v>4</v>
      </c>
      <c r="T152" s="14" t="str">
        <f t="shared" si="33"/>
        <v/>
      </c>
    </row>
    <row r="153" spans="1:20" ht="34.200000000000003" x14ac:dyDescent="0.3">
      <c r="A153" s="224">
        <v>4</v>
      </c>
      <c r="C153" s="14">
        <f t="shared" si="26"/>
        <v>4</v>
      </c>
      <c r="D153" s="14" t="s">
        <v>661</v>
      </c>
      <c r="E153" s="62" t="s">
        <v>676</v>
      </c>
      <c r="F153" s="86" t="s">
        <v>668</v>
      </c>
      <c r="G153" s="176" t="s">
        <v>677</v>
      </c>
      <c r="H153" s="170" t="str">
        <f>'9. Maintenance'!$L8</f>
        <v>Comment is required</v>
      </c>
      <c r="I153" s="14">
        <f>'9. Maintenance'!$K8</f>
        <v>0</v>
      </c>
      <c r="J153" s="14" t="str">
        <f t="shared" si="34"/>
        <v>Blank</v>
      </c>
      <c r="K153" s="155" t="s">
        <v>1131</v>
      </c>
      <c r="L153" s="14" t="str">
        <f t="shared" si="25"/>
        <v>Blank</v>
      </c>
      <c r="N153" s="14" t="str">
        <f t="shared" si="27"/>
        <v/>
      </c>
      <c r="O153" s="14" t="str">
        <f t="shared" si="28"/>
        <v/>
      </c>
      <c r="P153" s="14" t="str">
        <f t="shared" si="29"/>
        <v>Comment is required</v>
      </c>
      <c r="Q153" s="14" t="str">
        <f t="shared" si="30"/>
        <v>Blank</v>
      </c>
      <c r="R153" s="14" t="str">
        <f t="shared" si="31"/>
        <v>No Override</v>
      </c>
      <c r="S153" s="14">
        <f t="shared" si="32"/>
        <v>4</v>
      </c>
      <c r="T153" s="14" t="str">
        <f t="shared" si="33"/>
        <v/>
      </c>
    </row>
    <row r="154" spans="1:20" x14ac:dyDescent="0.3">
      <c r="A154" s="224">
        <v>4</v>
      </c>
      <c r="C154" s="14">
        <f t="shared" si="26"/>
        <v>4</v>
      </c>
      <c r="D154" s="14" t="s">
        <v>661</v>
      </c>
      <c r="E154" s="58" t="s">
        <v>678</v>
      </c>
      <c r="F154" s="82" t="s">
        <v>680</v>
      </c>
      <c r="G154" s="176" t="s">
        <v>681</v>
      </c>
      <c r="H154" s="170" t="str">
        <f>'9. Maintenance'!$L9</f>
        <v>Comment is required</v>
      </c>
      <c r="I154" s="14">
        <f>'9. Maintenance'!$K9</f>
        <v>0</v>
      </c>
      <c r="J154" s="14" t="str">
        <f t="shared" si="34"/>
        <v>Blank</v>
      </c>
      <c r="K154" s="155" t="s">
        <v>1131</v>
      </c>
      <c r="L154" s="14" t="str">
        <f t="shared" si="25"/>
        <v>Blank</v>
      </c>
      <c r="N154" s="14" t="str">
        <f t="shared" si="27"/>
        <v/>
      </c>
      <c r="O154" s="14" t="str">
        <f t="shared" si="28"/>
        <v/>
      </c>
      <c r="P154" s="14" t="str">
        <f t="shared" si="29"/>
        <v>Comment is required</v>
      </c>
      <c r="Q154" s="14" t="str">
        <f t="shared" si="30"/>
        <v>Blank</v>
      </c>
      <c r="R154" s="14" t="str">
        <f t="shared" si="31"/>
        <v>No Override</v>
      </c>
      <c r="S154" s="14">
        <f t="shared" si="32"/>
        <v>4</v>
      </c>
      <c r="T154" s="14" t="str">
        <f t="shared" si="33"/>
        <v/>
      </c>
    </row>
    <row r="155" spans="1:20" ht="22.8" x14ac:dyDescent="0.3">
      <c r="A155" s="224">
        <v>4</v>
      </c>
      <c r="C155" s="14">
        <f t="shared" si="26"/>
        <v>4</v>
      </c>
      <c r="D155" s="14" t="s">
        <v>661</v>
      </c>
      <c r="E155" s="58" t="s">
        <v>682</v>
      </c>
      <c r="F155" s="82" t="s">
        <v>684</v>
      </c>
      <c r="G155" s="176" t="s">
        <v>685</v>
      </c>
      <c r="H155" s="170" t="str">
        <f>'9. Maintenance'!$L10</f>
        <v>Comment is required</v>
      </c>
      <c r="I155" s="14">
        <f>'9. Maintenance'!$K10</f>
        <v>0</v>
      </c>
      <c r="J155" s="48" t="str">
        <f>IF(AND($I155="Yes",$I156="Yes",$I157="Yes",$I158="Yes",$I159="Yes"),"Adequate",IF(AND($I155="Yes",OR(NOT($I156="Yes"),NOT($I157="Yes"),NOT($I158="Yes"),NOT($I159="Yes"))),"Inadequate",IF($I155="No","N/A",IF($I155="Partial","Inadequate",IF($I155="N/A","N/A",IF(OR($I155="",$I155=0),"Blank","Error"))))))</f>
        <v>Blank</v>
      </c>
      <c r="K155" s="155" t="s">
        <v>1131</v>
      </c>
      <c r="L155" s="14" t="str">
        <f t="shared" si="25"/>
        <v>Blank</v>
      </c>
      <c r="N155" s="14" t="str">
        <f t="shared" si="27"/>
        <v/>
      </c>
      <c r="O155" s="14" t="str">
        <f t="shared" si="28"/>
        <v/>
      </c>
      <c r="P155" s="14" t="str">
        <f t="shared" si="29"/>
        <v>Comment is required</v>
      </c>
      <c r="Q155" s="14" t="str">
        <f t="shared" si="30"/>
        <v>Blank</v>
      </c>
      <c r="R155" s="14" t="str">
        <f t="shared" si="31"/>
        <v>No Override</v>
      </c>
      <c r="S155" s="14">
        <f t="shared" si="32"/>
        <v>4</v>
      </c>
      <c r="T155" s="14" t="str">
        <f t="shared" si="33"/>
        <v/>
      </c>
    </row>
    <row r="156" spans="1:20" x14ac:dyDescent="0.3">
      <c r="A156" s="224">
        <v>1</v>
      </c>
      <c r="C156" s="14">
        <f t="shared" si="26"/>
        <v>1</v>
      </c>
      <c r="D156" s="14" t="s">
        <v>661</v>
      </c>
      <c r="E156" s="58" t="s">
        <v>686</v>
      </c>
      <c r="F156" s="82" t="s">
        <v>684</v>
      </c>
      <c r="G156" s="176" t="s">
        <v>687</v>
      </c>
      <c r="H156" s="170" t="str">
        <f>'9. Maintenance'!$L11</f>
        <v>Comment is required</v>
      </c>
      <c r="I156" s="14">
        <f>'9. Maintenance'!$K11</f>
        <v>0</v>
      </c>
      <c r="J156" s="60" t="str">
        <f>IF(OR($I155="N/A",$I155="No"),"N/A",IF($I156="Yes","Adequate",IF($I156="No","Inadequate",IF($I156="Partial","Inadequate",IF(AND($I156="N/A",NOT($I155="No"),NOT($I155="N/A")),"Inadequate",IF(OR($I156="",$I156=0),"Blank","Error"))))))</f>
        <v>Blank</v>
      </c>
      <c r="K156" s="155" t="s">
        <v>1131</v>
      </c>
      <c r="L156" s="14" t="str">
        <f t="shared" si="25"/>
        <v>Blank</v>
      </c>
      <c r="N156" s="14" t="str">
        <f t="shared" si="27"/>
        <v/>
      </c>
      <c r="O156" s="14" t="str">
        <f t="shared" si="28"/>
        <v/>
      </c>
      <c r="P156" s="14" t="str">
        <f t="shared" si="29"/>
        <v>Comment is required</v>
      </c>
      <c r="Q156" s="14" t="str">
        <f t="shared" si="30"/>
        <v>Blank</v>
      </c>
      <c r="R156" s="14" t="str">
        <f t="shared" si="31"/>
        <v>No Override</v>
      </c>
      <c r="S156" s="14">
        <f t="shared" si="32"/>
        <v>1</v>
      </c>
      <c r="T156" s="14" t="str">
        <f t="shared" si="33"/>
        <v/>
      </c>
    </row>
    <row r="157" spans="1:20" x14ac:dyDescent="0.3">
      <c r="A157" s="224">
        <v>1</v>
      </c>
      <c r="C157" s="14">
        <f t="shared" si="26"/>
        <v>1</v>
      </c>
      <c r="D157" s="14" t="s">
        <v>661</v>
      </c>
      <c r="E157" s="58" t="s">
        <v>688</v>
      </c>
      <c r="F157" s="82" t="s">
        <v>684</v>
      </c>
      <c r="G157" s="176" t="s">
        <v>689</v>
      </c>
      <c r="H157" s="170" t="str">
        <f>'9. Maintenance'!$L12</f>
        <v>Comment is required</v>
      </c>
      <c r="I157" s="14">
        <f>'9. Maintenance'!$K12</f>
        <v>0</v>
      </c>
      <c r="J157" s="60" t="str">
        <f>IF(OR($I155="N/A",$I155="No"),"N/A",IF($I157="Yes","Adequate",IF($I157="No","Inadequate",IF($I157="Partial","Inadequate",IF(AND($I157="N/A",NOT($I155="No"),NOT($I155="N/A")),"Inadequate",IF(OR($I157="",$I157=0),"Blank","Error"))))))</f>
        <v>Blank</v>
      </c>
      <c r="K157" s="155" t="s">
        <v>1131</v>
      </c>
      <c r="L157" s="14" t="str">
        <f t="shared" si="25"/>
        <v>Blank</v>
      </c>
      <c r="N157" s="14" t="str">
        <f t="shared" si="27"/>
        <v/>
      </c>
      <c r="O157" s="14" t="str">
        <f t="shared" si="28"/>
        <v/>
      </c>
      <c r="P157" s="14" t="str">
        <f t="shared" si="29"/>
        <v>Comment is required</v>
      </c>
      <c r="Q157" s="14" t="str">
        <f t="shared" si="30"/>
        <v>Blank</v>
      </c>
      <c r="R157" s="14" t="str">
        <f t="shared" si="31"/>
        <v>No Override</v>
      </c>
      <c r="S157" s="14">
        <f t="shared" si="32"/>
        <v>1</v>
      </c>
      <c r="T157" s="14" t="str">
        <f t="shared" si="33"/>
        <v/>
      </c>
    </row>
    <row r="158" spans="1:20" x14ac:dyDescent="0.3">
      <c r="A158" s="224">
        <v>1</v>
      </c>
      <c r="C158" s="14">
        <f t="shared" si="26"/>
        <v>1</v>
      </c>
      <c r="D158" s="14" t="s">
        <v>661</v>
      </c>
      <c r="E158" s="58" t="s">
        <v>690</v>
      </c>
      <c r="F158" s="82" t="s">
        <v>684</v>
      </c>
      <c r="G158" s="176" t="s">
        <v>691</v>
      </c>
      <c r="H158" s="170" t="str">
        <f>'9. Maintenance'!$L13</f>
        <v>Comment is required</v>
      </c>
      <c r="I158" s="14">
        <f>'9. Maintenance'!$K13</f>
        <v>0</v>
      </c>
      <c r="J158" s="60" t="str">
        <f>IF(OR($I155="N/A",$I155="No"),"N/A",IF($I158="Yes","Adequate",IF($I158="No","Inadequate",IF($I158="Partial","Inadequate",IF(AND($I158="N/A",NOT($I155="No"),NOT($I155="N/A")),"Inadequate",IF(OR($I158="",$I158=0),"Blank","Error"))))))</f>
        <v>Blank</v>
      </c>
      <c r="K158" s="155" t="s">
        <v>1131</v>
      </c>
      <c r="L158" s="14" t="str">
        <f t="shared" si="25"/>
        <v>Blank</v>
      </c>
      <c r="N158" s="14" t="str">
        <f t="shared" si="27"/>
        <v/>
      </c>
      <c r="O158" s="14" t="str">
        <f t="shared" si="28"/>
        <v/>
      </c>
      <c r="P158" s="14" t="str">
        <f t="shared" si="29"/>
        <v>Comment is required</v>
      </c>
      <c r="Q158" s="14" t="str">
        <f t="shared" si="30"/>
        <v>Blank</v>
      </c>
      <c r="R158" s="14" t="str">
        <f t="shared" si="31"/>
        <v>No Override</v>
      </c>
      <c r="S158" s="14">
        <f t="shared" si="32"/>
        <v>1</v>
      </c>
      <c r="T158" s="14" t="str">
        <f t="shared" si="33"/>
        <v/>
      </c>
    </row>
    <row r="159" spans="1:20" x14ac:dyDescent="0.3">
      <c r="A159" s="224">
        <v>1</v>
      </c>
      <c r="C159" s="14">
        <f t="shared" si="26"/>
        <v>1</v>
      </c>
      <c r="D159" s="14" t="s">
        <v>661</v>
      </c>
      <c r="E159" s="58" t="s">
        <v>692</v>
      </c>
      <c r="F159" s="82" t="s">
        <v>684</v>
      </c>
      <c r="G159" s="176" t="s">
        <v>693</v>
      </c>
      <c r="H159" s="170" t="str">
        <f>'9. Maintenance'!$L14</f>
        <v>Comment is required</v>
      </c>
      <c r="I159" s="14">
        <f>'9. Maintenance'!$K14</f>
        <v>0</v>
      </c>
      <c r="J159" s="60" t="str">
        <f>IF(OR($I155="N/A",$I155="No"),"N/A",IF($I159="Yes","Adequate",IF($I159="No","Inadequate",IF($I159="Partial","Inadequate",IF(AND($I159="N/A",NOT($I155="No"),NOT($I155="N/A")),"Inadequate",IF(OR($I159="",$I159=0),"Blank","Error"))))))</f>
        <v>Blank</v>
      </c>
      <c r="K159" s="155" t="s">
        <v>1131</v>
      </c>
      <c r="L159" s="14" t="str">
        <f t="shared" si="25"/>
        <v>Blank</v>
      </c>
      <c r="N159" s="14" t="str">
        <f t="shared" si="27"/>
        <v/>
      </c>
      <c r="O159" s="14" t="str">
        <f t="shared" si="28"/>
        <v/>
      </c>
      <c r="P159" s="14" t="str">
        <f t="shared" si="29"/>
        <v>Comment is required</v>
      </c>
      <c r="Q159" s="14" t="str">
        <f t="shared" si="30"/>
        <v>Blank</v>
      </c>
      <c r="R159" s="14" t="str">
        <f t="shared" si="31"/>
        <v>No Override</v>
      </c>
      <c r="S159" s="14">
        <f t="shared" si="32"/>
        <v>1</v>
      </c>
      <c r="T159" s="14" t="str">
        <f t="shared" si="33"/>
        <v/>
      </c>
    </row>
    <row r="160" spans="1:20" x14ac:dyDescent="0.3">
      <c r="A160" s="224">
        <v>4</v>
      </c>
      <c r="C160" s="14">
        <f t="shared" si="26"/>
        <v>4</v>
      </c>
      <c r="D160" s="14" t="s">
        <v>661</v>
      </c>
      <c r="E160" s="62" t="s">
        <v>694</v>
      </c>
      <c r="F160" s="86" t="s">
        <v>696</v>
      </c>
      <c r="G160" s="176" t="s">
        <v>697</v>
      </c>
      <c r="H160" s="170" t="str">
        <f>'9. Maintenance'!$L15</f>
        <v>Comment is required</v>
      </c>
      <c r="I160" s="14">
        <f>'9. Maintenance'!$K15</f>
        <v>0</v>
      </c>
      <c r="J160" s="14" t="str">
        <f t="shared" si="34"/>
        <v>Blank</v>
      </c>
      <c r="K160" s="155" t="s">
        <v>1131</v>
      </c>
      <c r="L160" s="14" t="str">
        <f t="shared" si="25"/>
        <v>Blank</v>
      </c>
      <c r="N160" s="14" t="str">
        <f t="shared" si="27"/>
        <v/>
      </c>
      <c r="O160" s="14" t="str">
        <f t="shared" si="28"/>
        <v/>
      </c>
      <c r="P160" s="14" t="str">
        <f t="shared" si="29"/>
        <v>Comment is required</v>
      </c>
      <c r="Q160" s="14" t="str">
        <f t="shared" si="30"/>
        <v>Blank</v>
      </c>
      <c r="R160" s="14" t="str">
        <f t="shared" si="31"/>
        <v>No Override</v>
      </c>
      <c r="S160" s="14">
        <f t="shared" si="32"/>
        <v>4</v>
      </c>
      <c r="T160" s="14" t="str">
        <f t="shared" si="33"/>
        <v/>
      </c>
    </row>
    <row r="161" spans="1:20" ht="22.8" x14ac:dyDescent="0.3">
      <c r="A161" s="224">
        <v>4</v>
      </c>
      <c r="C161" s="14">
        <f t="shared" si="26"/>
        <v>4</v>
      </c>
      <c r="D161" s="14" t="s">
        <v>661</v>
      </c>
      <c r="E161" s="62" t="s">
        <v>698</v>
      </c>
      <c r="F161" s="86" t="s">
        <v>696</v>
      </c>
      <c r="G161" s="176" t="s">
        <v>699</v>
      </c>
      <c r="H161" s="170" t="str">
        <f>'9. Maintenance'!$L16</f>
        <v>Comment is required</v>
      </c>
      <c r="I161" s="14">
        <f>'9. Maintenance'!$K16</f>
        <v>0</v>
      </c>
      <c r="J161" s="14" t="str">
        <f t="shared" si="34"/>
        <v>Blank</v>
      </c>
      <c r="K161" s="155" t="s">
        <v>1131</v>
      </c>
      <c r="L161" s="14" t="str">
        <f t="shared" si="25"/>
        <v>Blank</v>
      </c>
      <c r="N161" s="14" t="str">
        <f t="shared" si="27"/>
        <v/>
      </c>
      <c r="O161" s="14" t="str">
        <f t="shared" si="28"/>
        <v/>
      </c>
      <c r="P161" s="14" t="str">
        <f t="shared" si="29"/>
        <v>Comment is required</v>
      </c>
      <c r="Q161" s="14" t="str">
        <f t="shared" si="30"/>
        <v>Blank</v>
      </c>
      <c r="R161" s="14" t="str">
        <f t="shared" si="31"/>
        <v>No Override</v>
      </c>
      <c r="S161" s="14">
        <f t="shared" si="32"/>
        <v>4</v>
      </c>
      <c r="T161" s="14" t="str">
        <f t="shared" si="33"/>
        <v/>
      </c>
    </row>
    <row r="162" spans="1:20" ht="22.8" x14ac:dyDescent="0.3">
      <c r="A162" s="224">
        <v>4</v>
      </c>
      <c r="C162" s="14">
        <f t="shared" si="26"/>
        <v>4</v>
      </c>
      <c r="D162" s="14" t="s">
        <v>661</v>
      </c>
      <c r="E162" s="62" t="s">
        <v>700</v>
      </c>
      <c r="F162" s="86" t="s">
        <v>696</v>
      </c>
      <c r="G162" s="176" t="s">
        <v>701</v>
      </c>
      <c r="H162" s="170" t="str">
        <f>'9. Maintenance'!$L17</f>
        <v>Comment is required</v>
      </c>
      <c r="I162" s="14">
        <f>'9. Maintenance'!$K17</f>
        <v>0</v>
      </c>
      <c r="J162" s="14" t="str">
        <f t="shared" si="34"/>
        <v>Blank</v>
      </c>
      <c r="K162" s="155" t="s">
        <v>1131</v>
      </c>
      <c r="L162" s="14" t="str">
        <f t="shared" si="25"/>
        <v>Blank</v>
      </c>
      <c r="N162" s="14" t="str">
        <f t="shared" si="27"/>
        <v/>
      </c>
      <c r="O162" s="14" t="str">
        <f t="shared" si="28"/>
        <v/>
      </c>
      <c r="P162" s="14" t="str">
        <f t="shared" si="29"/>
        <v>Comment is required</v>
      </c>
      <c r="Q162" s="14" t="str">
        <f t="shared" si="30"/>
        <v>Blank</v>
      </c>
      <c r="R162" s="14" t="str">
        <f t="shared" si="31"/>
        <v>No Override</v>
      </c>
      <c r="S162" s="14">
        <f t="shared" si="32"/>
        <v>4</v>
      </c>
      <c r="T162" s="14" t="str">
        <f t="shared" si="33"/>
        <v/>
      </c>
    </row>
    <row r="163" spans="1:20" ht="34.200000000000003" x14ac:dyDescent="0.3">
      <c r="A163" s="224">
        <v>4</v>
      </c>
      <c r="C163" s="14">
        <f t="shared" si="26"/>
        <v>4</v>
      </c>
      <c r="D163" s="14" t="s">
        <v>661</v>
      </c>
      <c r="E163" s="58" t="s">
        <v>702</v>
      </c>
      <c r="F163" s="82" t="s">
        <v>704</v>
      </c>
      <c r="G163" s="177" t="s">
        <v>705</v>
      </c>
      <c r="H163" s="170" t="str">
        <f>'9. Maintenance'!$L18</f>
        <v>Comment is required</v>
      </c>
      <c r="I163" s="14">
        <f>'9. Maintenance'!$K18</f>
        <v>0</v>
      </c>
      <c r="J163" s="14" t="str">
        <f t="shared" si="34"/>
        <v>Blank</v>
      </c>
      <c r="K163" s="155" t="s">
        <v>1131</v>
      </c>
      <c r="L163" s="14" t="str">
        <f t="shared" si="25"/>
        <v>Blank</v>
      </c>
      <c r="N163" s="14" t="str">
        <f t="shared" si="27"/>
        <v/>
      </c>
      <c r="O163" s="14" t="str">
        <f t="shared" si="28"/>
        <v/>
      </c>
      <c r="P163" s="14" t="str">
        <f t="shared" si="29"/>
        <v>Comment is required</v>
      </c>
      <c r="Q163" s="14" t="str">
        <f t="shared" si="30"/>
        <v>Blank</v>
      </c>
      <c r="R163" s="14" t="str">
        <f t="shared" si="31"/>
        <v>No Override</v>
      </c>
      <c r="S163" s="14">
        <f t="shared" si="32"/>
        <v>4</v>
      </c>
      <c r="T163" s="14" t="str">
        <f t="shared" si="33"/>
        <v/>
      </c>
    </row>
    <row r="164" spans="1:20" x14ac:dyDescent="0.3">
      <c r="A164" s="224">
        <v>4</v>
      </c>
      <c r="C164" s="14">
        <f t="shared" si="26"/>
        <v>4</v>
      </c>
      <c r="D164" s="14" t="s">
        <v>706</v>
      </c>
      <c r="E164" s="58" t="s">
        <v>707</v>
      </c>
      <c r="F164" s="82" t="s">
        <v>706</v>
      </c>
      <c r="G164" s="170" t="s">
        <v>1120</v>
      </c>
      <c r="H164" s="170" t="str">
        <f>'10. Media Protection'!$L3</f>
        <v>Comment is required</v>
      </c>
      <c r="I164" s="14">
        <f>'10. Media Protection'!$K3</f>
        <v>0</v>
      </c>
      <c r="J164" s="14" t="str">
        <f t="shared" si="34"/>
        <v>Blank</v>
      </c>
      <c r="K164" s="155" t="s">
        <v>1131</v>
      </c>
      <c r="L164" s="14" t="str">
        <f t="shared" si="25"/>
        <v>Blank</v>
      </c>
      <c r="N164" s="14" t="str">
        <f t="shared" si="27"/>
        <v/>
      </c>
      <c r="O164" s="14" t="str">
        <f t="shared" si="28"/>
        <v/>
      </c>
      <c r="P164" s="14" t="str">
        <f t="shared" si="29"/>
        <v>Comment is required</v>
      </c>
      <c r="Q164" s="14" t="str">
        <f t="shared" si="30"/>
        <v>Blank</v>
      </c>
      <c r="R164" s="14" t="str">
        <f t="shared" si="31"/>
        <v>No Override</v>
      </c>
      <c r="S164" s="14">
        <f t="shared" si="32"/>
        <v>4</v>
      </c>
      <c r="T164" s="14" t="str">
        <f t="shared" si="33"/>
        <v/>
      </c>
    </row>
    <row r="165" spans="1:20" x14ac:dyDescent="0.3">
      <c r="A165" s="224">
        <v>4</v>
      </c>
      <c r="C165" s="14">
        <f t="shared" si="26"/>
        <v>4</v>
      </c>
      <c r="D165" s="14" t="s">
        <v>706</v>
      </c>
      <c r="E165" s="58" t="s">
        <v>710</v>
      </c>
      <c r="F165" s="82" t="s">
        <v>711</v>
      </c>
      <c r="G165" s="170" t="s">
        <v>712</v>
      </c>
      <c r="H165" s="170" t="str">
        <f>'10. Media Protection'!$L4</f>
        <v>Comment is required</v>
      </c>
      <c r="I165" s="14">
        <f>'10. Media Protection'!$K4</f>
        <v>0</v>
      </c>
      <c r="J165" s="14" t="str">
        <f t="shared" si="34"/>
        <v>Blank</v>
      </c>
      <c r="K165" s="155" t="s">
        <v>1131</v>
      </c>
      <c r="L165" s="14" t="str">
        <f t="shared" si="25"/>
        <v>Blank</v>
      </c>
      <c r="N165" s="14" t="str">
        <f t="shared" si="27"/>
        <v/>
      </c>
      <c r="O165" s="14" t="str">
        <f t="shared" si="28"/>
        <v/>
      </c>
      <c r="P165" s="14" t="str">
        <f t="shared" si="29"/>
        <v>Comment is required</v>
      </c>
      <c r="Q165" s="14" t="str">
        <f t="shared" si="30"/>
        <v>Blank</v>
      </c>
      <c r="R165" s="14" t="str">
        <f t="shared" si="31"/>
        <v>No Override</v>
      </c>
      <c r="S165" s="14">
        <f t="shared" si="32"/>
        <v>4</v>
      </c>
      <c r="T165" s="14" t="str">
        <f t="shared" si="33"/>
        <v/>
      </c>
    </row>
    <row r="166" spans="1:20" ht="22.8" x14ac:dyDescent="0.3">
      <c r="A166" s="224">
        <v>4</v>
      </c>
      <c r="C166" s="14">
        <f t="shared" si="26"/>
        <v>4</v>
      </c>
      <c r="D166" s="14" t="s">
        <v>706</v>
      </c>
      <c r="E166" s="58" t="s">
        <v>713</v>
      </c>
      <c r="F166" s="82" t="s">
        <v>716</v>
      </c>
      <c r="G166" s="176" t="s">
        <v>717</v>
      </c>
      <c r="H166" s="170" t="str">
        <f>'10. Media Protection'!$L5</f>
        <v>Comment is required</v>
      </c>
      <c r="I166" s="14">
        <f>'10. Media Protection'!$K5</f>
        <v>0</v>
      </c>
      <c r="J166" s="14" t="str">
        <f t="shared" si="34"/>
        <v>Blank</v>
      </c>
      <c r="K166" s="155" t="s">
        <v>1131</v>
      </c>
      <c r="L166" s="14" t="str">
        <f t="shared" si="25"/>
        <v>Blank</v>
      </c>
      <c r="N166" s="14" t="str">
        <f t="shared" si="27"/>
        <v/>
      </c>
      <c r="O166" s="14" t="str">
        <f t="shared" si="28"/>
        <v/>
      </c>
      <c r="P166" s="14" t="str">
        <f t="shared" si="29"/>
        <v>Comment is required</v>
      </c>
      <c r="Q166" s="14" t="str">
        <f t="shared" si="30"/>
        <v>Blank</v>
      </c>
      <c r="R166" s="14" t="str">
        <f t="shared" si="31"/>
        <v>No Override</v>
      </c>
      <c r="S166" s="14">
        <f t="shared" si="32"/>
        <v>4</v>
      </c>
      <c r="T166" s="14" t="str">
        <f t="shared" si="33"/>
        <v/>
      </c>
    </row>
    <row r="167" spans="1:20" ht="22.8" x14ac:dyDescent="0.3">
      <c r="A167" s="224">
        <v>3</v>
      </c>
      <c r="C167" s="14">
        <f t="shared" si="26"/>
        <v>3</v>
      </c>
      <c r="D167" s="14" t="s">
        <v>706</v>
      </c>
      <c r="E167" s="58" t="s">
        <v>718</v>
      </c>
      <c r="F167" s="82" t="s">
        <v>721</v>
      </c>
      <c r="G167" s="176" t="s">
        <v>722</v>
      </c>
      <c r="H167" s="170" t="str">
        <f>'10. Media Protection'!$L6</f>
        <v>Comment is required</v>
      </c>
      <c r="I167" s="14">
        <f>'10. Media Protection'!$K6</f>
        <v>0</v>
      </c>
      <c r="J167" s="14" t="str">
        <f t="shared" si="34"/>
        <v>Blank</v>
      </c>
      <c r="K167" s="155" t="s">
        <v>1131</v>
      </c>
      <c r="L167" s="14" t="str">
        <f t="shared" si="25"/>
        <v>Blank</v>
      </c>
      <c r="N167" s="14" t="str">
        <f t="shared" si="27"/>
        <v/>
      </c>
      <c r="O167" s="14" t="str">
        <f t="shared" si="28"/>
        <v/>
      </c>
      <c r="P167" s="14" t="str">
        <f t="shared" si="29"/>
        <v>Comment is required</v>
      </c>
      <c r="Q167" s="14" t="str">
        <f t="shared" si="30"/>
        <v>Blank</v>
      </c>
      <c r="R167" s="14" t="str">
        <f t="shared" si="31"/>
        <v>No Override</v>
      </c>
      <c r="S167" s="14">
        <f t="shared" si="32"/>
        <v>3</v>
      </c>
      <c r="T167" s="14" t="str">
        <f t="shared" si="33"/>
        <v/>
      </c>
    </row>
    <row r="168" spans="1:20" x14ac:dyDescent="0.3">
      <c r="A168" s="224">
        <v>2</v>
      </c>
      <c r="C168" s="14">
        <f t="shared" si="26"/>
        <v>2</v>
      </c>
      <c r="D168" s="14" t="s">
        <v>706</v>
      </c>
      <c r="E168" s="58" t="s">
        <v>723</v>
      </c>
      <c r="F168" s="82" t="s">
        <v>726</v>
      </c>
      <c r="G168" s="176" t="s">
        <v>727</v>
      </c>
      <c r="H168" s="170" t="str">
        <f>'10. Media Protection'!$L7</f>
        <v>Comment is required</v>
      </c>
      <c r="I168" s="14">
        <f>'10. Media Protection'!$K7</f>
        <v>0</v>
      </c>
      <c r="J168" s="14" t="str">
        <f t="shared" si="34"/>
        <v>Blank</v>
      </c>
      <c r="K168" s="155" t="s">
        <v>1131</v>
      </c>
      <c r="L168" s="14" t="str">
        <f t="shared" si="25"/>
        <v>Blank</v>
      </c>
      <c r="N168" s="14" t="str">
        <f t="shared" si="27"/>
        <v/>
      </c>
      <c r="O168" s="14" t="str">
        <f t="shared" si="28"/>
        <v/>
      </c>
      <c r="P168" s="14" t="str">
        <f t="shared" si="29"/>
        <v>Comment is required</v>
      </c>
      <c r="Q168" s="14" t="str">
        <f t="shared" si="30"/>
        <v>Blank</v>
      </c>
      <c r="R168" s="14" t="str">
        <f t="shared" si="31"/>
        <v>No Override</v>
      </c>
      <c r="S168" s="14">
        <f t="shared" si="32"/>
        <v>2</v>
      </c>
      <c r="T168" s="14" t="str">
        <f t="shared" si="33"/>
        <v/>
      </c>
    </row>
    <row r="169" spans="1:20" x14ac:dyDescent="0.3">
      <c r="A169" s="224">
        <v>4</v>
      </c>
      <c r="C169" s="14">
        <f t="shared" si="26"/>
        <v>4</v>
      </c>
      <c r="D169" s="14" t="s">
        <v>706</v>
      </c>
      <c r="E169" s="62" t="s">
        <v>728</v>
      </c>
      <c r="F169" s="82" t="s">
        <v>731</v>
      </c>
      <c r="G169" s="176" t="s">
        <v>732</v>
      </c>
      <c r="H169" s="170" t="str">
        <f>'10. Media Protection'!$L8</f>
        <v>Comment is required</v>
      </c>
      <c r="I169" s="14">
        <f>'10. Media Protection'!$K8</f>
        <v>0</v>
      </c>
      <c r="J169" s="48" t="str">
        <f>IF(AND($I169="Yes",$I170="Yes"),"Adequate",IF(AND($I169="Yes",NOT($I170="Yes")),"Inadequate",IF($I169="No","N/A",IF($I169="Partial","Inadequate",IF($I169="N/A","N/A",IF(OR($I169="",$I169=0),"Blank","Error"))))))</f>
        <v>Blank</v>
      </c>
      <c r="K169" s="155" t="s">
        <v>1131</v>
      </c>
      <c r="L169" s="14" t="str">
        <f t="shared" si="25"/>
        <v>Blank</v>
      </c>
      <c r="N169" s="14" t="str">
        <f t="shared" si="27"/>
        <v/>
      </c>
      <c r="O169" s="14" t="str">
        <f t="shared" si="28"/>
        <v/>
      </c>
      <c r="P169" s="14" t="str">
        <f t="shared" si="29"/>
        <v>Comment is required</v>
      </c>
      <c r="Q169" s="14" t="str">
        <f t="shared" si="30"/>
        <v>Blank</v>
      </c>
      <c r="R169" s="14" t="str">
        <f t="shared" si="31"/>
        <v>No Override</v>
      </c>
      <c r="S169" s="14">
        <f t="shared" si="32"/>
        <v>4</v>
      </c>
      <c r="T169" s="14" t="str">
        <f t="shared" si="33"/>
        <v/>
      </c>
    </row>
    <row r="170" spans="1:20" ht="22.8" x14ac:dyDescent="0.3">
      <c r="A170" s="224">
        <v>3</v>
      </c>
      <c r="C170" s="14">
        <f t="shared" si="26"/>
        <v>3</v>
      </c>
      <c r="D170" s="14" t="s">
        <v>706</v>
      </c>
      <c r="E170" s="62" t="s">
        <v>733</v>
      </c>
      <c r="F170" s="82" t="s">
        <v>731</v>
      </c>
      <c r="G170" s="176" t="s">
        <v>734</v>
      </c>
      <c r="H170" s="170" t="str">
        <f>'10. Media Protection'!$L9</f>
        <v>Comment is required</v>
      </c>
      <c r="I170" s="14">
        <f>'10. Media Protection'!$K9</f>
        <v>0</v>
      </c>
      <c r="J170" s="60" t="str">
        <f>IF(OR($I169="N/A",$I169="No"),"N/A",IF($I170="Yes","Adequate",IF($I170="No","Inadequate",IF($I170="Partial","Inadequate",IF(AND($I170="N/A",NOT($I169="No"),NOT($I169="N/A")),"Inadequate",IF(OR($I170="",$I170=0),"Blank","Error"))))))</f>
        <v>Blank</v>
      </c>
      <c r="K170" s="155" t="s">
        <v>1131</v>
      </c>
      <c r="L170" s="14" t="str">
        <f t="shared" si="25"/>
        <v>Blank</v>
      </c>
      <c r="N170" s="14" t="str">
        <f t="shared" si="27"/>
        <v/>
      </c>
      <c r="O170" s="14" t="str">
        <f t="shared" si="28"/>
        <v/>
      </c>
      <c r="P170" s="14" t="str">
        <f t="shared" si="29"/>
        <v>Comment is required</v>
      </c>
      <c r="Q170" s="14" t="str">
        <f t="shared" si="30"/>
        <v>Blank</v>
      </c>
      <c r="R170" s="14" t="str">
        <f t="shared" si="31"/>
        <v>No Override</v>
      </c>
      <c r="S170" s="14">
        <f t="shared" si="32"/>
        <v>3</v>
      </c>
      <c r="T170" s="14" t="str">
        <f t="shared" si="33"/>
        <v/>
      </c>
    </row>
    <row r="171" spans="1:20" x14ac:dyDescent="0.3">
      <c r="A171" s="224">
        <v>4</v>
      </c>
      <c r="C171" s="14">
        <f t="shared" si="26"/>
        <v>4</v>
      </c>
      <c r="D171" s="14" t="s">
        <v>706</v>
      </c>
      <c r="E171" s="58" t="s">
        <v>735</v>
      </c>
      <c r="F171" s="82" t="s">
        <v>738</v>
      </c>
      <c r="G171" s="176" t="s">
        <v>739</v>
      </c>
      <c r="H171" s="170" t="str">
        <f>'10. Media Protection'!$L10</f>
        <v>Comment is required</v>
      </c>
      <c r="I171" s="14">
        <f>'10. Media Protection'!$K10</f>
        <v>0</v>
      </c>
      <c r="J171" s="14" t="str">
        <f t="shared" si="34"/>
        <v>Blank</v>
      </c>
      <c r="K171" s="155" t="s">
        <v>1131</v>
      </c>
      <c r="L171" s="14" t="str">
        <f t="shared" si="25"/>
        <v>Blank</v>
      </c>
      <c r="N171" s="14" t="str">
        <f t="shared" si="27"/>
        <v/>
      </c>
      <c r="O171" s="14" t="str">
        <f t="shared" si="28"/>
        <v/>
      </c>
      <c r="P171" s="14" t="str">
        <f t="shared" si="29"/>
        <v>Comment is required</v>
      </c>
      <c r="Q171" s="14" t="str">
        <f t="shared" si="30"/>
        <v>Blank</v>
      </c>
      <c r="R171" s="14" t="str">
        <f t="shared" si="31"/>
        <v>No Override</v>
      </c>
      <c r="S171" s="14">
        <f t="shared" si="32"/>
        <v>4</v>
      </c>
      <c r="T171" s="14" t="str">
        <f t="shared" si="33"/>
        <v/>
      </c>
    </row>
    <row r="172" spans="1:20" ht="22.8" x14ac:dyDescent="0.3">
      <c r="A172" s="224">
        <v>4</v>
      </c>
      <c r="C172" s="14">
        <f t="shared" si="26"/>
        <v>4</v>
      </c>
      <c r="D172" s="14" t="s">
        <v>706</v>
      </c>
      <c r="E172" s="58" t="s">
        <v>740</v>
      </c>
      <c r="F172" s="82" t="s">
        <v>742</v>
      </c>
      <c r="G172" s="170" t="s">
        <v>743</v>
      </c>
      <c r="H172" s="170" t="str">
        <f>'10. Media Protection'!$L11</f>
        <v>Comment is required</v>
      </c>
      <c r="I172" s="14">
        <f>'10. Media Protection'!$K11</f>
        <v>0</v>
      </c>
      <c r="J172" s="14" t="str">
        <f t="shared" si="34"/>
        <v>Blank</v>
      </c>
      <c r="K172" s="155" t="s">
        <v>1131</v>
      </c>
      <c r="L172" s="14" t="str">
        <f t="shared" si="25"/>
        <v>Blank</v>
      </c>
      <c r="N172" s="14" t="str">
        <f t="shared" si="27"/>
        <v/>
      </c>
      <c r="O172" s="14" t="str">
        <f t="shared" si="28"/>
        <v/>
      </c>
      <c r="P172" s="14" t="str">
        <f t="shared" si="29"/>
        <v>Comment is required</v>
      </c>
      <c r="Q172" s="14" t="str">
        <f t="shared" si="30"/>
        <v>Blank</v>
      </c>
      <c r="R172" s="14" t="str">
        <f t="shared" si="31"/>
        <v>No Override</v>
      </c>
      <c r="S172" s="14">
        <f t="shared" si="32"/>
        <v>4</v>
      </c>
      <c r="T172" s="14" t="str">
        <f t="shared" si="33"/>
        <v/>
      </c>
    </row>
    <row r="173" spans="1:20" ht="22.8" x14ac:dyDescent="0.3">
      <c r="A173" s="224">
        <v>4</v>
      </c>
      <c r="C173" s="14">
        <f t="shared" si="26"/>
        <v>4</v>
      </c>
      <c r="D173" s="14" t="s">
        <v>706</v>
      </c>
      <c r="E173" s="58" t="s">
        <v>744</v>
      </c>
      <c r="F173" s="82" t="s">
        <v>742</v>
      </c>
      <c r="G173" s="170" t="s">
        <v>745</v>
      </c>
      <c r="H173" s="170" t="str">
        <f>'10. Media Protection'!$L12</f>
        <v>Comment is required</v>
      </c>
      <c r="I173" s="14">
        <f>'10. Media Protection'!$K12</f>
        <v>0</v>
      </c>
      <c r="J173" s="14" t="str">
        <f t="shared" si="34"/>
        <v>Blank</v>
      </c>
      <c r="K173" s="155" t="s">
        <v>1131</v>
      </c>
      <c r="L173" s="14" t="str">
        <f t="shared" si="25"/>
        <v>Blank</v>
      </c>
      <c r="N173" s="14" t="str">
        <f t="shared" si="27"/>
        <v/>
      </c>
      <c r="O173" s="14" t="str">
        <f t="shared" si="28"/>
        <v/>
      </c>
      <c r="P173" s="14" t="str">
        <f t="shared" si="29"/>
        <v>Comment is required</v>
      </c>
      <c r="Q173" s="14" t="str">
        <f t="shared" si="30"/>
        <v>Blank</v>
      </c>
      <c r="R173" s="14" t="str">
        <f t="shared" si="31"/>
        <v>No Override</v>
      </c>
      <c r="S173" s="14">
        <f t="shared" si="32"/>
        <v>4</v>
      </c>
      <c r="T173" s="14" t="str">
        <f t="shared" si="33"/>
        <v/>
      </c>
    </row>
    <row r="174" spans="1:20" ht="22.8" x14ac:dyDescent="0.3">
      <c r="A174" s="224">
        <v>4</v>
      </c>
      <c r="C174" s="14">
        <f t="shared" si="26"/>
        <v>4</v>
      </c>
      <c r="D174" s="14" t="s">
        <v>1137</v>
      </c>
      <c r="E174" s="58" t="s">
        <v>747</v>
      </c>
      <c r="F174" s="82" t="s">
        <v>750</v>
      </c>
      <c r="G174" s="170" t="s">
        <v>1303</v>
      </c>
      <c r="H174" s="170" t="str">
        <f>'11. Physical Security'!$L3</f>
        <v>Comment is required</v>
      </c>
      <c r="I174" s="14">
        <f>'11. Physical Security'!$K3</f>
        <v>0</v>
      </c>
      <c r="J174" s="14" t="str">
        <f t="shared" si="34"/>
        <v>Blank</v>
      </c>
      <c r="K174" s="155" t="s">
        <v>1131</v>
      </c>
      <c r="L174" s="14" t="str">
        <f t="shared" si="25"/>
        <v>Blank</v>
      </c>
      <c r="N174" s="14" t="str">
        <f t="shared" si="27"/>
        <v/>
      </c>
      <c r="O174" s="14" t="str">
        <f t="shared" si="28"/>
        <v/>
      </c>
      <c r="P174" s="14" t="str">
        <f t="shared" si="29"/>
        <v>Comment is required</v>
      </c>
      <c r="Q174" s="14" t="str">
        <f t="shared" si="30"/>
        <v>Blank</v>
      </c>
      <c r="R174" s="14" t="str">
        <f t="shared" si="31"/>
        <v>No Override</v>
      </c>
      <c r="S174" s="14">
        <f t="shared" si="32"/>
        <v>4</v>
      </c>
      <c r="T174" s="14" t="str">
        <f t="shared" si="33"/>
        <v/>
      </c>
    </row>
    <row r="175" spans="1:20" ht="22.8" x14ac:dyDescent="0.3">
      <c r="A175" s="224">
        <v>4</v>
      </c>
      <c r="C175" s="14">
        <f t="shared" si="26"/>
        <v>4</v>
      </c>
      <c r="D175" s="14" t="s">
        <v>1137</v>
      </c>
      <c r="E175" s="62" t="s">
        <v>751</v>
      </c>
      <c r="F175" s="86" t="s">
        <v>753</v>
      </c>
      <c r="G175" s="176" t="s">
        <v>754</v>
      </c>
      <c r="H175" s="170" t="str">
        <f>'11. Physical Security'!$L4</f>
        <v>Comment is required</v>
      </c>
      <c r="I175" s="14">
        <f>'11. Physical Security'!$K4</f>
        <v>0</v>
      </c>
      <c r="J175" s="14" t="str">
        <f t="shared" si="34"/>
        <v>Blank</v>
      </c>
      <c r="K175" s="155" t="s">
        <v>1131</v>
      </c>
      <c r="L175" s="14" t="str">
        <f t="shared" si="25"/>
        <v>Blank</v>
      </c>
      <c r="N175" s="14" t="str">
        <f t="shared" si="27"/>
        <v/>
      </c>
      <c r="O175" s="14" t="str">
        <f t="shared" si="28"/>
        <v/>
      </c>
      <c r="P175" s="14" t="str">
        <f t="shared" si="29"/>
        <v>Comment is required</v>
      </c>
      <c r="Q175" s="14" t="str">
        <f t="shared" si="30"/>
        <v>Blank</v>
      </c>
      <c r="R175" s="14" t="str">
        <f t="shared" si="31"/>
        <v>No Override</v>
      </c>
      <c r="S175" s="14">
        <f t="shared" si="32"/>
        <v>4</v>
      </c>
      <c r="T175" s="14" t="str">
        <f t="shared" si="33"/>
        <v/>
      </c>
    </row>
    <row r="176" spans="1:20" x14ac:dyDescent="0.3">
      <c r="A176" s="224">
        <v>4</v>
      </c>
      <c r="C176" s="14">
        <f t="shared" si="26"/>
        <v>4</v>
      </c>
      <c r="D176" s="14" t="s">
        <v>1137</v>
      </c>
      <c r="E176" s="62" t="s">
        <v>755</v>
      </c>
      <c r="F176" s="86" t="s">
        <v>753</v>
      </c>
      <c r="G176" s="176" t="s">
        <v>756</v>
      </c>
      <c r="H176" s="170" t="str">
        <f>'11. Physical Security'!$L5</f>
        <v>Comment is required</v>
      </c>
      <c r="I176" s="14">
        <f>'11. Physical Security'!$K5</f>
        <v>0</v>
      </c>
      <c r="J176" s="14" t="str">
        <f t="shared" si="34"/>
        <v>Blank</v>
      </c>
      <c r="K176" s="155" t="s">
        <v>1131</v>
      </c>
      <c r="L176" s="14" t="str">
        <f t="shared" si="25"/>
        <v>Blank</v>
      </c>
      <c r="N176" s="14" t="str">
        <f t="shared" si="27"/>
        <v/>
      </c>
      <c r="O176" s="14" t="str">
        <f t="shared" si="28"/>
        <v/>
      </c>
      <c r="P176" s="14" t="str">
        <f t="shared" si="29"/>
        <v>Comment is required</v>
      </c>
      <c r="Q176" s="14" t="str">
        <f t="shared" si="30"/>
        <v>Blank</v>
      </c>
      <c r="R176" s="14" t="str">
        <f t="shared" si="31"/>
        <v>No Override</v>
      </c>
      <c r="S176" s="14">
        <f t="shared" si="32"/>
        <v>4</v>
      </c>
      <c r="T176" s="14" t="str">
        <f t="shared" si="33"/>
        <v/>
      </c>
    </row>
    <row r="177" spans="1:20" x14ac:dyDescent="0.3">
      <c r="A177" s="224">
        <v>4</v>
      </c>
      <c r="C177" s="14">
        <f t="shared" si="26"/>
        <v>4</v>
      </c>
      <c r="D177" s="14" t="s">
        <v>1137</v>
      </c>
      <c r="E177" s="62" t="s">
        <v>757</v>
      </c>
      <c r="F177" s="86" t="s">
        <v>753</v>
      </c>
      <c r="G177" s="176" t="s">
        <v>758</v>
      </c>
      <c r="H177" s="170" t="str">
        <f>'11. Physical Security'!$L6</f>
        <v>Comment is required</v>
      </c>
      <c r="I177" s="14">
        <f>'11. Physical Security'!$K6</f>
        <v>0</v>
      </c>
      <c r="J177" s="14" t="str">
        <f t="shared" si="34"/>
        <v>Blank</v>
      </c>
      <c r="K177" s="155" t="s">
        <v>1131</v>
      </c>
      <c r="L177" s="14" t="str">
        <f t="shared" si="25"/>
        <v>Blank</v>
      </c>
      <c r="N177" s="14" t="str">
        <f t="shared" si="27"/>
        <v/>
      </c>
      <c r="O177" s="14" t="str">
        <f t="shared" si="28"/>
        <v/>
      </c>
      <c r="P177" s="14" t="str">
        <f t="shared" si="29"/>
        <v>Comment is required</v>
      </c>
      <c r="Q177" s="14" t="str">
        <f t="shared" si="30"/>
        <v>Blank</v>
      </c>
      <c r="R177" s="14" t="str">
        <f t="shared" si="31"/>
        <v>No Override</v>
      </c>
      <c r="S177" s="14">
        <f t="shared" si="32"/>
        <v>4</v>
      </c>
      <c r="T177" s="14" t="str">
        <f t="shared" si="33"/>
        <v/>
      </c>
    </row>
    <row r="178" spans="1:20" ht="22.8" x14ac:dyDescent="0.3">
      <c r="A178" s="224">
        <v>4</v>
      </c>
      <c r="C178" s="14">
        <f t="shared" si="26"/>
        <v>4</v>
      </c>
      <c r="D178" s="14" t="s">
        <v>1137</v>
      </c>
      <c r="E178" s="62" t="s">
        <v>759</v>
      </c>
      <c r="F178" s="86" t="s">
        <v>761</v>
      </c>
      <c r="G178" s="176" t="s">
        <v>762</v>
      </c>
      <c r="H178" s="170" t="str">
        <f>'11. Physical Security'!$L7</f>
        <v>Comment is required</v>
      </c>
      <c r="I178" s="14">
        <f>'11. Physical Security'!$K7</f>
        <v>0</v>
      </c>
      <c r="J178" s="14" t="str">
        <f t="shared" si="34"/>
        <v>Blank</v>
      </c>
      <c r="K178" s="155" t="s">
        <v>1131</v>
      </c>
      <c r="L178" s="14" t="str">
        <f t="shared" si="25"/>
        <v>Blank</v>
      </c>
      <c r="N178" s="14" t="str">
        <f t="shared" si="27"/>
        <v/>
      </c>
      <c r="O178" s="14" t="str">
        <f t="shared" si="28"/>
        <v/>
      </c>
      <c r="P178" s="14" t="str">
        <f t="shared" si="29"/>
        <v>Comment is required</v>
      </c>
      <c r="Q178" s="14" t="str">
        <f t="shared" si="30"/>
        <v>Blank</v>
      </c>
      <c r="R178" s="14" t="str">
        <f t="shared" si="31"/>
        <v>No Override</v>
      </c>
      <c r="S178" s="14">
        <f t="shared" si="32"/>
        <v>4</v>
      </c>
      <c r="T178" s="14" t="str">
        <f t="shared" si="33"/>
        <v/>
      </c>
    </row>
    <row r="179" spans="1:20" x14ac:dyDescent="0.3">
      <c r="A179" s="224">
        <v>4</v>
      </c>
      <c r="C179" s="14">
        <f t="shared" si="26"/>
        <v>4</v>
      </c>
      <c r="D179" s="14" t="s">
        <v>1137</v>
      </c>
      <c r="E179" s="62" t="s">
        <v>763</v>
      </c>
      <c r="F179" s="86" t="s">
        <v>761</v>
      </c>
      <c r="G179" s="176" t="s">
        <v>764</v>
      </c>
      <c r="H179" s="170" t="str">
        <f>'11. Physical Security'!$L8</f>
        <v>Comment is required</v>
      </c>
      <c r="I179" s="14">
        <f>'11. Physical Security'!$K8</f>
        <v>0</v>
      </c>
      <c r="J179" s="14" t="str">
        <f t="shared" si="34"/>
        <v>Blank</v>
      </c>
      <c r="K179" s="155" t="s">
        <v>1131</v>
      </c>
      <c r="L179" s="14" t="str">
        <f t="shared" si="25"/>
        <v>Blank</v>
      </c>
      <c r="N179" s="14" t="str">
        <f t="shared" si="27"/>
        <v/>
      </c>
      <c r="O179" s="14" t="str">
        <f t="shared" si="28"/>
        <v/>
      </c>
      <c r="P179" s="14" t="str">
        <f t="shared" si="29"/>
        <v>Comment is required</v>
      </c>
      <c r="Q179" s="14" t="str">
        <f t="shared" si="30"/>
        <v>Blank</v>
      </c>
      <c r="R179" s="14" t="str">
        <f t="shared" si="31"/>
        <v>No Override</v>
      </c>
      <c r="S179" s="14">
        <f t="shared" si="32"/>
        <v>4</v>
      </c>
      <c r="T179" s="14" t="str">
        <f t="shared" si="33"/>
        <v/>
      </c>
    </row>
    <row r="180" spans="1:20" ht="22.8" x14ac:dyDescent="0.3">
      <c r="A180" s="224">
        <v>4</v>
      </c>
      <c r="C180" s="14">
        <f t="shared" si="26"/>
        <v>4</v>
      </c>
      <c r="D180" s="14" t="s">
        <v>1137</v>
      </c>
      <c r="E180" s="62" t="s">
        <v>765</v>
      </c>
      <c r="F180" s="86" t="s">
        <v>761</v>
      </c>
      <c r="G180" s="176" t="s">
        <v>766</v>
      </c>
      <c r="H180" s="170" t="str">
        <f>'11. Physical Security'!$L9</f>
        <v>Comment is required</v>
      </c>
      <c r="I180" s="14">
        <f>'11. Physical Security'!$K9</f>
        <v>0</v>
      </c>
      <c r="J180" s="14" t="str">
        <f>IF($I180="Yes","Adequate",IF($I180="No","Adequate",IF($I180="Partial","Inadequate",IF($I180="N/A","Inadequate",IF(OR($I180="",$I180=0),"Blank","Error")))))</f>
        <v>Blank</v>
      </c>
      <c r="K180" s="155" t="s">
        <v>1131</v>
      </c>
      <c r="L180" s="14" t="str">
        <f t="shared" si="25"/>
        <v>Blank</v>
      </c>
      <c r="N180" s="14" t="str">
        <f t="shared" si="27"/>
        <v/>
      </c>
      <c r="O180" s="14" t="str">
        <f t="shared" si="28"/>
        <v/>
      </c>
      <c r="P180" s="14" t="str">
        <f t="shared" si="29"/>
        <v>Comment is required</v>
      </c>
      <c r="Q180" s="14" t="str">
        <f t="shared" si="30"/>
        <v>Blank</v>
      </c>
      <c r="R180" s="14" t="str">
        <f t="shared" si="31"/>
        <v>No Override</v>
      </c>
      <c r="S180" s="14">
        <f t="shared" si="32"/>
        <v>4</v>
      </c>
      <c r="T180" s="14" t="str">
        <f t="shared" si="33"/>
        <v/>
      </c>
    </row>
    <row r="181" spans="1:20" x14ac:dyDescent="0.3">
      <c r="A181" s="224">
        <v>4</v>
      </c>
      <c r="C181" s="14">
        <f t="shared" si="26"/>
        <v>4</v>
      </c>
      <c r="D181" s="14" t="s">
        <v>1137</v>
      </c>
      <c r="E181" s="62" t="s">
        <v>767</v>
      </c>
      <c r="F181" s="86" t="s">
        <v>761</v>
      </c>
      <c r="G181" s="176" t="s">
        <v>768</v>
      </c>
      <c r="H181" s="170" t="str">
        <f>'11. Physical Security'!$L10</f>
        <v>Comment is required</v>
      </c>
      <c r="I181" s="14">
        <f>'11. Physical Security'!$K10</f>
        <v>0</v>
      </c>
      <c r="J181" s="14" t="str">
        <f t="shared" si="34"/>
        <v>Blank</v>
      </c>
      <c r="K181" s="155" t="s">
        <v>1131</v>
      </c>
      <c r="L181" s="14" t="str">
        <f t="shared" si="25"/>
        <v>Blank</v>
      </c>
      <c r="N181" s="14" t="str">
        <f t="shared" si="27"/>
        <v/>
      </c>
      <c r="O181" s="14" t="str">
        <f t="shared" si="28"/>
        <v/>
      </c>
      <c r="P181" s="14" t="str">
        <f t="shared" si="29"/>
        <v>Comment is required</v>
      </c>
      <c r="Q181" s="14" t="str">
        <f t="shared" si="30"/>
        <v>Blank</v>
      </c>
      <c r="R181" s="14" t="str">
        <f t="shared" si="31"/>
        <v>No Override</v>
      </c>
      <c r="S181" s="14">
        <f t="shared" si="32"/>
        <v>4</v>
      </c>
      <c r="T181" s="14" t="str">
        <f t="shared" si="33"/>
        <v/>
      </c>
    </row>
    <row r="182" spans="1:20" x14ac:dyDescent="0.3">
      <c r="A182" s="224">
        <v>4</v>
      </c>
      <c r="C182" s="14">
        <f t="shared" si="26"/>
        <v>4</v>
      </c>
      <c r="D182" s="14" t="s">
        <v>1137</v>
      </c>
      <c r="E182" s="62" t="s">
        <v>769</v>
      </c>
      <c r="F182" s="86" t="s">
        <v>761</v>
      </c>
      <c r="G182" s="176" t="s">
        <v>770</v>
      </c>
      <c r="H182" s="170" t="str">
        <f>'11. Physical Security'!$L11</f>
        <v>Comment is required</v>
      </c>
      <c r="I182" s="14">
        <f>'11. Physical Security'!$K11</f>
        <v>0</v>
      </c>
      <c r="J182" s="14" t="str">
        <f t="shared" si="34"/>
        <v>Blank</v>
      </c>
      <c r="K182" s="155" t="s">
        <v>1131</v>
      </c>
      <c r="L182" s="14" t="str">
        <f t="shared" si="25"/>
        <v>Blank</v>
      </c>
      <c r="N182" s="14" t="str">
        <f t="shared" si="27"/>
        <v/>
      </c>
      <c r="O182" s="14" t="str">
        <f t="shared" si="28"/>
        <v/>
      </c>
      <c r="P182" s="14" t="str">
        <f t="shared" si="29"/>
        <v>Comment is required</v>
      </c>
      <c r="Q182" s="14" t="str">
        <f t="shared" si="30"/>
        <v>Blank</v>
      </c>
      <c r="R182" s="14" t="str">
        <f t="shared" si="31"/>
        <v>No Override</v>
      </c>
      <c r="S182" s="14">
        <f t="shared" si="32"/>
        <v>4</v>
      </c>
      <c r="T182" s="14" t="str">
        <f t="shared" si="33"/>
        <v/>
      </c>
    </row>
    <row r="183" spans="1:20" x14ac:dyDescent="0.3">
      <c r="A183" s="224">
        <v>4</v>
      </c>
      <c r="C183" s="14">
        <f t="shared" si="26"/>
        <v>4</v>
      </c>
      <c r="D183" s="14" t="s">
        <v>1137</v>
      </c>
      <c r="E183" s="62" t="s">
        <v>771</v>
      </c>
      <c r="F183" s="86" t="s">
        <v>761</v>
      </c>
      <c r="G183" s="176" t="s">
        <v>772</v>
      </c>
      <c r="H183" s="170" t="str">
        <f>'11. Physical Security'!$L12</f>
        <v>Comment is required</v>
      </c>
      <c r="I183" s="14">
        <f>'11. Physical Security'!$K12</f>
        <v>0</v>
      </c>
      <c r="J183" s="14" t="str">
        <f t="shared" si="34"/>
        <v>Blank</v>
      </c>
      <c r="K183" s="155" t="s">
        <v>1131</v>
      </c>
      <c r="L183" s="14" t="str">
        <f t="shared" si="25"/>
        <v>Blank</v>
      </c>
      <c r="N183" s="14" t="str">
        <f t="shared" si="27"/>
        <v/>
      </c>
      <c r="O183" s="14" t="str">
        <f t="shared" si="28"/>
        <v/>
      </c>
      <c r="P183" s="14" t="str">
        <f t="shared" si="29"/>
        <v>Comment is required</v>
      </c>
      <c r="Q183" s="14" t="str">
        <f t="shared" si="30"/>
        <v>Blank</v>
      </c>
      <c r="R183" s="14" t="str">
        <f t="shared" si="31"/>
        <v>No Override</v>
      </c>
      <c r="S183" s="14">
        <f t="shared" si="32"/>
        <v>4</v>
      </c>
      <c r="T183" s="14" t="str">
        <f t="shared" si="33"/>
        <v/>
      </c>
    </row>
    <row r="184" spans="1:20" ht="22.8" x14ac:dyDescent="0.3">
      <c r="A184" s="224">
        <v>4</v>
      </c>
      <c r="C184" s="14">
        <f t="shared" si="26"/>
        <v>4</v>
      </c>
      <c r="D184" s="14" t="s">
        <v>1137</v>
      </c>
      <c r="E184" s="62" t="s">
        <v>773</v>
      </c>
      <c r="F184" s="86" t="s">
        <v>761</v>
      </c>
      <c r="G184" s="176" t="s">
        <v>774</v>
      </c>
      <c r="H184" s="170" t="str">
        <f>'11. Physical Security'!$L13</f>
        <v>Comment is required</v>
      </c>
      <c r="I184" s="14">
        <f>'11. Physical Security'!$K13</f>
        <v>0</v>
      </c>
      <c r="J184" s="14" t="str">
        <f t="shared" si="34"/>
        <v>Blank</v>
      </c>
      <c r="K184" s="155" t="s">
        <v>1131</v>
      </c>
      <c r="L184" s="14" t="str">
        <f t="shared" si="25"/>
        <v>Blank</v>
      </c>
      <c r="N184" s="14" t="str">
        <f t="shared" si="27"/>
        <v/>
      </c>
      <c r="O184" s="14" t="str">
        <f t="shared" si="28"/>
        <v/>
      </c>
      <c r="P184" s="14" t="str">
        <f t="shared" si="29"/>
        <v>Comment is required</v>
      </c>
      <c r="Q184" s="14" t="str">
        <f t="shared" si="30"/>
        <v>Blank</v>
      </c>
      <c r="R184" s="14" t="str">
        <f t="shared" si="31"/>
        <v>No Override</v>
      </c>
      <c r="S184" s="14">
        <f t="shared" si="32"/>
        <v>4</v>
      </c>
      <c r="T184" s="14" t="str">
        <f t="shared" si="33"/>
        <v/>
      </c>
    </row>
    <row r="185" spans="1:20" ht="34.200000000000003" x14ac:dyDescent="0.3">
      <c r="A185" s="224">
        <v>4</v>
      </c>
      <c r="C185" s="14">
        <f t="shared" si="26"/>
        <v>4</v>
      </c>
      <c r="D185" s="14" t="s">
        <v>1137</v>
      </c>
      <c r="E185" s="58" t="s">
        <v>775</v>
      </c>
      <c r="F185" s="82" t="s">
        <v>778</v>
      </c>
      <c r="G185" s="176" t="s">
        <v>779</v>
      </c>
      <c r="H185" s="170" t="str">
        <f>'11. Physical Security'!$L14</f>
        <v>Comment is required</v>
      </c>
      <c r="I185" s="14">
        <f>'11. Physical Security'!$K14</f>
        <v>0</v>
      </c>
      <c r="J185" s="14" t="str">
        <f t="shared" si="34"/>
        <v>Blank</v>
      </c>
      <c r="K185" s="155" t="s">
        <v>1131</v>
      </c>
      <c r="L185" s="14" t="str">
        <f t="shared" si="25"/>
        <v>Blank</v>
      </c>
      <c r="N185" s="14" t="str">
        <f t="shared" si="27"/>
        <v/>
      </c>
      <c r="O185" s="14" t="str">
        <f t="shared" si="28"/>
        <v/>
      </c>
      <c r="P185" s="14" t="str">
        <f t="shared" si="29"/>
        <v>Comment is required</v>
      </c>
      <c r="Q185" s="14" t="str">
        <f t="shared" si="30"/>
        <v>Blank</v>
      </c>
      <c r="R185" s="14" t="str">
        <f t="shared" si="31"/>
        <v>No Override</v>
      </c>
      <c r="S185" s="14">
        <f t="shared" si="32"/>
        <v>4</v>
      </c>
      <c r="T185" s="14" t="str">
        <f t="shared" si="33"/>
        <v/>
      </c>
    </row>
    <row r="186" spans="1:20" ht="22.8" x14ac:dyDescent="0.3">
      <c r="A186" s="224">
        <v>4</v>
      </c>
      <c r="C186" s="14">
        <f t="shared" si="26"/>
        <v>4</v>
      </c>
      <c r="D186" s="14" t="s">
        <v>1137</v>
      </c>
      <c r="E186" s="58" t="s">
        <v>780</v>
      </c>
      <c r="F186" s="82" t="s">
        <v>783</v>
      </c>
      <c r="G186" s="176" t="s">
        <v>784</v>
      </c>
      <c r="H186" s="170" t="str">
        <f>'11. Physical Security'!$L15</f>
        <v>Comment is required</v>
      </c>
      <c r="I186" s="14">
        <f>'11. Physical Security'!$K15</f>
        <v>0</v>
      </c>
      <c r="J186" s="14" t="str">
        <f t="shared" si="34"/>
        <v>Blank</v>
      </c>
      <c r="K186" s="155" t="s">
        <v>1131</v>
      </c>
      <c r="L186" s="14" t="str">
        <f t="shared" si="25"/>
        <v>Blank</v>
      </c>
      <c r="N186" s="14" t="str">
        <f t="shared" si="27"/>
        <v/>
      </c>
      <c r="O186" s="14" t="str">
        <f t="shared" si="28"/>
        <v/>
      </c>
      <c r="P186" s="14" t="str">
        <f t="shared" si="29"/>
        <v>Comment is required</v>
      </c>
      <c r="Q186" s="14" t="str">
        <f t="shared" si="30"/>
        <v>Blank</v>
      </c>
      <c r="R186" s="14" t="str">
        <f t="shared" si="31"/>
        <v>No Override</v>
      </c>
      <c r="S186" s="14">
        <f t="shared" si="32"/>
        <v>4</v>
      </c>
      <c r="T186" s="14" t="str">
        <f t="shared" si="33"/>
        <v/>
      </c>
    </row>
    <row r="187" spans="1:20" ht="22.8" x14ac:dyDescent="0.3">
      <c r="A187" s="224">
        <v>4</v>
      </c>
      <c r="C187" s="14">
        <f t="shared" si="26"/>
        <v>4</v>
      </c>
      <c r="D187" s="14" t="s">
        <v>1137</v>
      </c>
      <c r="E187" s="62" t="s">
        <v>785</v>
      </c>
      <c r="F187" s="86" t="s">
        <v>787</v>
      </c>
      <c r="G187" s="176" t="s">
        <v>788</v>
      </c>
      <c r="H187" s="170" t="str">
        <f>'11. Physical Security'!$L16</f>
        <v>Comment is required</v>
      </c>
      <c r="I187" s="14">
        <f>'11. Physical Security'!$K16</f>
        <v>0</v>
      </c>
      <c r="J187" s="14" t="str">
        <f t="shared" si="34"/>
        <v>Blank</v>
      </c>
      <c r="K187" s="155" t="s">
        <v>1131</v>
      </c>
      <c r="L187" s="14" t="str">
        <f t="shared" si="25"/>
        <v>Blank</v>
      </c>
      <c r="N187" s="14" t="str">
        <f t="shared" si="27"/>
        <v/>
      </c>
      <c r="O187" s="14" t="str">
        <f t="shared" si="28"/>
        <v/>
      </c>
      <c r="P187" s="14" t="str">
        <f t="shared" si="29"/>
        <v>Comment is required</v>
      </c>
      <c r="Q187" s="14" t="str">
        <f t="shared" si="30"/>
        <v>Blank</v>
      </c>
      <c r="R187" s="14" t="str">
        <f t="shared" si="31"/>
        <v>No Override</v>
      </c>
      <c r="S187" s="14">
        <f t="shared" si="32"/>
        <v>4</v>
      </c>
      <c r="T187" s="14" t="str">
        <f t="shared" si="33"/>
        <v/>
      </c>
    </row>
    <row r="188" spans="1:20" x14ac:dyDescent="0.3">
      <c r="A188" s="224">
        <v>4</v>
      </c>
      <c r="C188" s="14">
        <f t="shared" si="26"/>
        <v>4</v>
      </c>
      <c r="D188" s="14" t="s">
        <v>1137</v>
      </c>
      <c r="E188" s="62" t="s">
        <v>789</v>
      </c>
      <c r="F188" s="86" t="s">
        <v>787</v>
      </c>
      <c r="G188" s="176" t="s">
        <v>790</v>
      </c>
      <c r="H188" s="170" t="str">
        <f>'11. Physical Security'!$L17</f>
        <v>Comment is required</v>
      </c>
      <c r="I188" s="14">
        <f>'11. Physical Security'!$K17</f>
        <v>0</v>
      </c>
      <c r="J188" s="14" t="str">
        <f t="shared" si="34"/>
        <v>Blank</v>
      </c>
      <c r="K188" s="155" t="s">
        <v>1131</v>
      </c>
      <c r="L188" s="14" t="str">
        <f t="shared" si="25"/>
        <v>Blank</v>
      </c>
      <c r="N188" s="14" t="str">
        <f t="shared" si="27"/>
        <v/>
      </c>
      <c r="O188" s="14" t="str">
        <f t="shared" si="28"/>
        <v/>
      </c>
      <c r="P188" s="14" t="str">
        <f t="shared" si="29"/>
        <v>Comment is required</v>
      </c>
      <c r="Q188" s="14" t="str">
        <f t="shared" si="30"/>
        <v>Blank</v>
      </c>
      <c r="R188" s="14" t="str">
        <f t="shared" si="31"/>
        <v>No Override</v>
      </c>
      <c r="S188" s="14">
        <f t="shared" si="32"/>
        <v>4</v>
      </c>
      <c r="T188" s="14" t="str">
        <f t="shared" si="33"/>
        <v/>
      </c>
    </row>
    <row r="189" spans="1:20" x14ac:dyDescent="0.3">
      <c r="A189" s="224">
        <v>4</v>
      </c>
      <c r="C189" s="14">
        <f t="shared" si="26"/>
        <v>4</v>
      </c>
      <c r="D189" s="14" t="s">
        <v>1137</v>
      </c>
      <c r="E189" s="62" t="s">
        <v>791</v>
      </c>
      <c r="F189" s="86" t="s">
        <v>787</v>
      </c>
      <c r="G189" s="176" t="s">
        <v>792</v>
      </c>
      <c r="H189" s="170" t="str">
        <f>'11. Physical Security'!$L18</f>
        <v>Comment is required</v>
      </c>
      <c r="I189" s="14">
        <f>'11. Physical Security'!$K18</f>
        <v>0</v>
      </c>
      <c r="J189" s="14" t="str">
        <f t="shared" si="34"/>
        <v>Blank</v>
      </c>
      <c r="K189" s="155" t="s">
        <v>1131</v>
      </c>
      <c r="L189" s="14" t="str">
        <f t="shared" si="25"/>
        <v>Blank</v>
      </c>
      <c r="N189" s="14" t="str">
        <f t="shared" si="27"/>
        <v/>
      </c>
      <c r="O189" s="14" t="str">
        <f t="shared" si="28"/>
        <v/>
      </c>
      <c r="P189" s="14" t="str">
        <f t="shared" si="29"/>
        <v>Comment is required</v>
      </c>
      <c r="Q189" s="14" t="str">
        <f t="shared" si="30"/>
        <v>Blank</v>
      </c>
      <c r="R189" s="14" t="str">
        <f t="shared" si="31"/>
        <v>No Override</v>
      </c>
      <c r="S189" s="14">
        <f t="shared" si="32"/>
        <v>4</v>
      </c>
      <c r="T189" s="14" t="str">
        <f t="shared" si="33"/>
        <v/>
      </c>
    </row>
    <row r="190" spans="1:20" x14ac:dyDescent="0.3">
      <c r="A190" s="224">
        <v>4</v>
      </c>
      <c r="C190" s="14">
        <f t="shared" si="26"/>
        <v>4</v>
      </c>
      <c r="D190" s="14" t="s">
        <v>1137</v>
      </c>
      <c r="E190" s="62" t="s">
        <v>793</v>
      </c>
      <c r="F190" s="86" t="s">
        <v>794</v>
      </c>
      <c r="G190" s="176" t="s">
        <v>795</v>
      </c>
      <c r="H190" s="170" t="str">
        <f>'11. Physical Security'!$L19</f>
        <v>Comment is required</v>
      </c>
      <c r="I190" s="14">
        <f>'11. Physical Security'!$K19</f>
        <v>0</v>
      </c>
      <c r="J190" s="14" t="str">
        <f t="shared" si="34"/>
        <v>Blank</v>
      </c>
      <c r="K190" s="155" t="s">
        <v>1131</v>
      </c>
      <c r="L190" s="14" t="str">
        <f t="shared" si="25"/>
        <v>Blank</v>
      </c>
      <c r="N190" s="14" t="str">
        <f t="shared" si="27"/>
        <v/>
      </c>
      <c r="O190" s="14" t="str">
        <f t="shared" si="28"/>
        <v/>
      </c>
      <c r="P190" s="14" t="str">
        <f t="shared" si="29"/>
        <v>Comment is required</v>
      </c>
      <c r="Q190" s="14" t="str">
        <f t="shared" si="30"/>
        <v>Blank</v>
      </c>
      <c r="R190" s="14" t="str">
        <f t="shared" si="31"/>
        <v>No Override</v>
      </c>
      <c r="S190" s="14">
        <f t="shared" si="32"/>
        <v>4</v>
      </c>
      <c r="T190" s="14" t="str">
        <f t="shared" si="33"/>
        <v/>
      </c>
    </row>
    <row r="191" spans="1:20" x14ac:dyDescent="0.3">
      <c r="A191" s="224">
        <v>4</v>
      </c>
      <c r="C191" s="14">
        <f t="shared" si="26"/>
        <v>4</v>
      </c>
      <c r="D191" s="14" t="s">
        <v>1137</v>
      </c>
      <c r="E191" s="62" t="s">
        <v>796</v>
      </c>
      <c r="F191" s="86" t="s">
        <v>794</v>
      </c>
      <c r="G191" s="176" t="s">
        <v>797</v>
      </c>
      <c r="H191" s="170" t="str">
        <f>'11. Physical Security'!$L20</f>
        <v>Comment is required</v>
      </c>
      <c r="I191" s="14">
        <f>'11. Physical Security'!$K20</f>
        <v>0</v>
      </c>
      <c r="J191" s="14" t="str">
        <f t="shared" si="34"/>
        <v>Blank</v>
      </c>
      <c r="K191" s="155" t="s">
        <v>1131</v>
      </c>
      <c r="L191" s="14" t="str">
        <f t="shared" si="25"/>
        <v>Blank</v>
      </c>
      <c r="N191" s="14" t="str">
        <f t="shared" si="27"/>
        <v/>
      </c>
      <c r="O191" s="14" t="str">
        <f t="shared" si="28"/>
        <v/>
      </c>
      <c r="P191" s="14" t="str">
        <f t="shared" si="29"/>
        <v>Comment is required</v>
      </c>
      <c r="Q191" s="14" t="str">
        <f t="shared" si="30"/>
        <v>Blank</v>
      </c>
      <c r="R191" s="14" t="str">
        <f t="shared" si="31"/>
        <v>No Override</v>
      </c>
      <c r="S191" s="14">
        <f t="shared" si="32"/>
        <v>4</v>
      </c>
      <c r="T191" s="14" t="str">
        <f t="shared" si="33"/>
        <v/>
      </c>
    </row>
    <row r="192" spans="1:20" x14ac:dyDescent="0.3">
      <c r="A192" s="224">
        <v>4</v>
      </c>
      <c r="C192" s="14">
        <f t="shared" si="26"/>
        <v>4</v>
      </c>
      <c r="D192" s="14" t="s">
        <v>1137</v>
      </c>
      <c r="E192" s="58" t="s">
        <v>798</v>
      </c>
      <c r="F192" s="82" t="s">
        <v>800</v>
      </c>
      <c r="G192" s="176" t="s">
        <v>801</v>
      </c>
      <c r="H192" s="170" t="str">
        <f>'11. Physical Security'!$L21</f>
        <v>Comment is required</v>
      </c>
      <c r="I192" s="14">
        <f>'11. Physical Security'!$K21</f>
        <v>0</v>
      </c>
      <c r="J192" s="14" t="str">
        <f t="shared" si="34"/>
        <v>Blank</v>
      </c>
      <c r="K192" s="155" t="s">
        <v>1131</v>
      </c>
      <c r="L192" s="14" t="str">
        <f t="shared" si="25"/>
        <v>Blank</v>
      </c>
      <c r="N192" s="14" t="str">
        <f t="shared" si="27"/>
        <v/>
      </c>
      <c r="O192" s="14" t="str">
        <f t="shared" si="28"/>
        <v/>
      </c>
      <c r="P192" s="14" t="str">
        <f t="shared" si="29"/>
        <v>Comment is required</v>
      </c>
      <c r="Q192" s="14" t="str">
        <f t="shared" si="30"/>
        <v>Blank</v>
      </c>
      <c r="R192" s="14" t="str">
        <f t="shared" si="31"/>
        <v>No Override</v>
      </c>
      <c r="S192" s="14">
        <f t="shared" si="32"/>
        <v>4</v>
      </c>
      <c r="T192" s="14" t="str">
        <f t="shared" si="33"/>
        <v/>
      </c>
    </row>
    <row r="193" spans="1:20" ht="22.8" x14ac:dyDescent="0.3">
      <c r="A193" s="224">
        <v>4</v>
      </c>
      <c r="C193" s="14">
        <f t="shared" si="26"/>
        <v>4</v>
      </c>
      <c r="D193" s="14" t="s">
        <v>1137</v>
      </c>
      <c r="E193" s="58" t="s">
        <v>802</v>
      </c>
      <c r="F193" s="82" t="s">
        <v>804</v>
      </c>
      <c r="G193" s="170" t="s">
        <v>805</v>
      </c>
      <c r="H193" s="170" t="str">
        <f>'11. Physical Security'!$L22</f>
        <v>Comment is required</v>
      </c>
      <c r="I193" s="14">
        <f>'11. Physical Security'!$K22</f>
        <v>0</v>
      </c>
      <c r="J193" s="14" t="str">
        <f t="shared" si="34"/>
        <v>Blank</v>
      </c>
      <c r="K193" s="155" t="s">
        <v>1131</v>
      </c>
      <c r="L193" s="14" t="str">
        <f t="shared" si="25"/>
        <v>Blank</v>
      </c>
      <c r="N193" s="14" t="str">
        <f t="shared" si="27"/>
        <v/>
      </c>
      <c r="O193" s="14" t="str">
        <f t="shared" si="28"/>
        <v/>
      </c>
      <c r="P193" s="14" t="str">
        <f t="shared" si="29"/>
        <v>Comment is required</v>
      </c>
      <c r="Q193" s="14" t="str">
        <f t="shared" si="30"/>
        <v>Blank</v>
      </c>
      <c r="R193" s="14" t="str">
        <f t="shared" si="31"/>
        <v>No Override</v>
      </c>
      <c r="S193" s="14">
        <f t="shared" si="32"/>
        <v>4</v>
      </c>
      <c r="T193" s="14" t="str">
        <f t="shared" si="33"/>
        <v/>
      </c>
    </row>
    <row r="194" spans="1:20" ht="22.8" x14ac:dyDescent="0.3">
      <c r="A194" s="224">
        <v>4</v>
      </c>
      <c r="C194" s="14">
        <f t="shared" si="26"/>
        <v>4</v>
      </c>
      <c r="D194" s="14" t="s">
        <v>1137</v>
      </c>
      <c r="E194" s="58" t="s">
        <v>806</v>
      </c>
      <c r="F194" s="82" t="s">
        <v>808</v>
      </c>
      <c r="G194" s="176" t="s">
        <v>809</v>
      </c>
      <c r="H194" s="170" t="str">
        <f>'11. Physical Security'!$L23</f>
        <v>Comment is required</v>
      </c>
      <c r="I194" s="14">
        <f>'11. Physical Security'!$K23</f>
        <v>0</v>
      </c>
      <c r="J194" s="14" t="str">
        <f t="shared" si="34"/>
        <v>Blank</v>
      </c>
      <c r="K194" s="155" t="s">
        <v>1131</v>
      </c>
      <c r="L194" s="14" t="str">
        <f t="shared" si="25"/>
        <v>Blank</v>
      </c>
      <c r="N194" s="14" t="str">
        <f t="shared" si="27"/>
        <v/>
      </c>
      <c r="O194" s="14" t="str">
        <f t="shared" si="28"/>
        <v/>
      </c>
      <c r="P194" s="14" t="str">
        <f t="shared" si="29"/>
        <v>Comment is required</v>
      </c>
      <c r="Q194" s="14" t="str">
        <f t="shared" si="30"/>
        <v>Blank</v>
      </c>
      <c r="R194" s="14" t="str">
        <f t="shared" si="31"/>
        <v>No Override</v>
      </c>
      <c r="S194" s="14">
        <f t="shared" si="32"/>
        <v>4</v>
      </c>
      <c r="T194" s="14" t="str">
        <f t="shared" si="33"/>
        <v/>
      </c>
    </row>
    <row r="195" spans="1:20" ht="22.8" x14ac:dyDescent="0.3">
      <c r="A195" s="224">
        <v>4</v>
      </c>
      <c r="C195" s="14">
        <f t="shared" si="26"/>
        <v>4</v>
      </c>
      <c r="D195" s="14" t="s">
        <v>1137</v>
      </c>
      <c r="E195" s="58" t="s">
        <v>810</v>
      </c>
      <c r="F195" s="82" t="s">
        <v>812</v>
      </c>
      <c r="G195" s="176" t="s">
        <v>813</v>
      </c>
      <c r="H195" s="170" t="str">
        <f>'11. Physical Security'!$L24</f>
        <v>Comment is required</v>
      </c>
      <c r="I195" s="14">
        <f>'11. Physical Security'!$K24</f>
        <v>0</v>
      </c>
      <c r="J195" s="14" t="str">
        <f t="shared" si="34"/>
        <v>Blank</v>
      </c>
      <c r="K195" s="155" t="s">
        <v>1131</v>
      </c>
      <c r="L195" s="14" t="str">
        <f t="shared" si="25"/>
        <v>Blank</v>
      </c>
      <c r="N195" s="14" t="str">
        <f t="shared" si="27"/>
        <v/>
      </c>
      <c r="O195" s="14" t="str">
        <f t="shared" si="28"/>
        <v/>
      </c>
      <c r="P195" s="14" t="str">
        <f t="shared" si="29"/>
        <v>Comment is required</v>
      </c>
      <c r="Q195" s="14" t="str">
        <f t="shared" si="30"/>
        <v>Blank</v>
      </c>
      <c r="R195" s="14" t="str">
        <f t="shared" si="31"/>
        <v>No Override</v>
      </c>
      <c r="S195" s="14">
        <f t="shared" si="32"/>
        <v>4</v>
      </c>
      <c r="T195" s="14" t="str">
        <f t="shared" si="33"/>
        <v/>
      </c>
    </row>
    <row r="196" spans="1:20" x14ac:dyDescent="0.3">
      <c r="A196" s="224">
        <v>4</v>
      </c>
      <c r="C196" s="14">
        <f t="shared" si="26"/>
        <v>4</v>
      </c>
      <c r="D196" s="14" t="s">
        <v>1137</v>
      </c>
      <c r="E196" s="58" t="s">
        <v>814</v>
      </c>
      <c r="F196" s="82" t="s">
        <v>816</v>
      </c>
      <c r="G196" s="176" t="s">
        <v>817</v>
      </c>
      <c r="H196" s="170" t="str">
        <f>'11. Physical Security'!$L25</f>
        <v>Comment is required</v>
      </c>
      <c r="I196" s="14">
        <f>'11. Physical Security'!$K25</f>
        <v>0</v>
      </c>
      <c r="J196" s="14" t="str">
        <f t="shared" si="34"/>
        <v>Blank</v>
      </c>
      <c r="K196" s="155" t="s">
        <v>1131</v>
      </c>
      <c r="L196" s="14" t="str">
        <f t="shared" si="25"/>
        <v>Blank</v>
      </c>
      <c r="N196" s="14" t="str">
        <f t="shared" si="27"/>
        <v/>
      </c>
      <c r="O196" s="14" t="str">
        <f t="shared" si="28"/>
        <v/>
      </c>
      <c r="P196" s="14" t="str">
        <f t="shared" si="29"/>
        <v>Comment is required</v>
      </c>
      <c r="Q196" s="14" t="str">
        <f t="shared" si="30"/>
        <v>Blank</v>
      </c>
      <c r="R196" s="14" t="str">
        <f t="shared" si="31"/>
        <v>No Override</v>
      </c>
      <c r="S196" s="14">
        <f t="shared" si="32"/>
        <v>4</v>
      </c>
      <c r="T196" s="14" t="str">
        <f t="shared" si="33"/>
        <v/>
      </c>
    </row>
    <row r="197" spans="1:20" ht="22.8" x14ac:dyDescent="0.3">
      <c r="A197" s="224">
        <v>4</v>
      </c>
      <c r="C197" s="14">
        <f t="shared" si="26"/>
        <v>4</v>
      </c>
      <c r="D197" s="14" t="s">
        <v>1137</v>
      </c>
      <c r="E197" s="58" t="s">
        <v>818</v>
      </c>
      <c r="F197" s="82" t="s">
        <v>820</v>
      </c>
      <c r="G197" s="176" t="s">
        <v>821</v>
      </c>
      <c r="H197" s="170" t="str">
        <f>'11. Physical Security'!$L26</f>
        <v>Comment is required</v>
      </c>
      <c r="I197" s="14">
        <f>'11. Physical Security'!$K26</f>
        <v>0</v>
      </c>
      <c r="J197" s="14" t="str">
        <f t="shared" si="34"/>
        <v>Blank</v>
      </c>
      <c r="K197" s="155" t="s">
        <v>1131</v>
      </c>
      <c r="L197" s="14" t="str">
        <f t="shared" si="25"/>
        <v>Blank</v>
      </c>
      <c r="N197" s="14" t="str">
        <f t="shared" si="27"/>
        <v/>
      </c>
      <c r="O197" s="14" t="str">
        <f t="shared" si="28"/>
        <v/>
      </c>
      <c r="P197" s="14" t="str">
        <f t="shared" si="29"/>
        <v>Comment is required</v>
      </c>
      <c r="Q197" s="14" t="str">
        <f t="shared" si="30"/>
        <v>Blank</v>
      </c>
      <c r="R197" s="14" t="str">
        <f t="shared" si="31"/>
        <v>No Override</v>
      </c>
      <c r="S197" s="14">
        <f t="shared" si="32"/>
        <v>4</v>
      </c>
      <c r="T197" s="14" t="str">
        <f t="shared" si="33"/>
        <v/>
      </c>
    </row>
    <row r="198" spans="1:20" ht="22.8" x14ac:dyDescent="0.3">
      <c r="A198" s="224">
        <v>4</v>
      </c>
      <c r="C198" s="14">
        <f t="shared" si="26"/>
        <v>4</v>
      </c>
      <c r="D198" s="14" t="s">
        <v>1137</v>
      </c>
      <c r="E198" s="58" t="s">
        <v>822</v>
      </c>
      <c r="F198" s="82" t="s">
        <v>824</v>
      </c>
      <c r="G198" s="176" t="s">
        <v>825</v>
      </c>
      <c r="H198" s="170" t="str">
        <f>'11. Physical Security'!$L27</f>
        <v>Comment is required</v>
      </c>
      <c r="I198" s="14">
        <f>'11. Physical Security'!$K27</f>
        <v>0</v>
      </c>
      <c r="J198" s="14" t="str">
        <f t="shared" si="34"/>
        <v>Blank</v>
      </c>
      <c r="K198" s="155" t="s">
        <v>1131</v>
      </c>
      <c r="L198" s="14" t="str">
        <f t="shared" si="25"/>
        <v>Blank</v>
      </c>
      <c r="N198" s="14" t="str">
        <f t="shared" si="27"/>
        <v/>
      </c>
      <c r="O198" s="14" t="str">
        <f t="shared" si="28"/>
        <v/>
      </c>
      <c r="P198" s="14" t="str">
        <f t="shared" si="29"/>
        <v>Comment is required</v>
      </c>
      <c r="Q198" s="14" t="str">
        <f t="shared" si="30"/>
        <v>Blank</v>
      </c>
      <c r="R198" s="14" t="str">
        <f t="shared" si="31"/>
        <v>No Override</v>
      </c>
      <c r="S198" s="14">
        <f t="shared" si="32"/>
        <v>4</v>
      </c>
      <c r="T198" s="14" t="str">
        <f t="shared" si="33"/>
        <v/>
      </c>
    </row>
    <row r="199" spans="1:20" x14ac:dyDescent="0.3">
      <c r="A199" s="224">
        <v>4</v>
      </c>
      <c r="C199" s="14">
        <f t="shared" si="26"/>
        <v>4</v>
      </c>
      <c r="D199" s="14" t="s">
        <v>1137</v>
      </c>
      <c r="E199" s="58" t="s">
        <v>826</v>
      </c>
      <c r="F199" s="82" t="s">
        <v>829</v>
      </c>
      <c r="G199" s="176" t="s">
        <v>830</v>
      </c>
      <c r="H199" s="170" t="str">
        <f>'11. Physical Security'!$L28</f>
        <v>Comment is required</v>
      </c>
      <c r="I199" s="14">
        <f>'11. Physical Security'!$K28</f>
        <v>0</v>
      </c>
      <c r="J199" s="14" t="str">
        <f t="shared" si="34"/>
        <v>Blank</v>
      </c>
      <c r="K199" s="155" t="s">
        <v>1131</v>
      </c>
      <c r="L199" s="14" t="str">
        <f t="shared" si="25"/>
        <v>Blank</v>
      </c>
      <c r="N199" s="14" t="str">
        <f t="shared" si="27"/>
        <v/>
      </c>
      <c r="O199" s="14" t="str">
        <f t="shared" si="28"/>
        <v/>
      </c>
      <c r="P199" s="14" t="str">
        <f t="shared" si="29"/>
        <v>Comment is required</v>
      </c>
      <c r="Q199" s="14" t="str">
        <f t="shared" si="30"/>
        <v>Blank</v>
      </c>
      <c r="R199" s="14" t="str">
        <f t="shared" si="31"/>
        <v>No Override</v>
      </c>
      <c r="S199" s="14">
        <f t="shared" si="32"/>
        <v>4</v>
      </c>
      <c r="T199" s="14" t="str">
        <f t="shared" si="33"/>
        <v/>
      </c>
    </row>
    <row r="200" spans="1:20" ht="22.8" x14ac:dyDescent="0.3">
      <c r="A200" s="224">
        <v>4</v>
      </c>
      <c r="C200" s="14">
        <f t="shared" si="26"/>
        <v>4</v>
      </c>
      <c r="D200" s="14" t="s">
        <v>1137</v>
      </c>
      <c r="E200" s="58" t="s">
        <v>831</v>
      </c>
      <c r="F200" s="82" t="s">
        <v>834</v>
      </c>
      <c r="G200" s="176" t="s">
        <v>835</v>
      </c>
      <c r="H200" s="170" t="str">
        <f>'11. Physical Security'!$L29</f>
        <v>Comment is required</v>
      </c>
      <c r="I200" s="14">
        <f>'11. Physical Security'!$K29</f>
        <v>0</v>
      </c>
      <c r="J200" s="14" t="str">
        <f t="shared" si="34"/>
        <v>Blank</v>
      </c>
      <c r="K200" s="155" t="s">
        <v>1131</v>
      </c>
      <c r="L200" s="14" t="str">
        <f t="shared" si="25"/>
        <v>Blank</v>
      </c>
      <c r="N200" s="14" t="str">
        <f t="shared" si="27"/>
        <v/>
      </c>
      <c r="O200" s="14" t="str">
        <f t="shared" si="28"/>
        <v/>
      </c>
      <c r="P200" s="14" t="str">
        <f t="shared" si="29"/>
        <v>Comment is required</v>
      </c>
      <c r="Q200" s="14" t="str">
        <f t="shared" si="30"/>
        <v>Blank</v>
      </c>
      <c r="R200" s="14" t="str">
        <f t="shared" si="31"/>
        <v>No Override</v>
      </c>
      <c r="S200" s="14">
        <f t="shared" si="32"/>
        <v>4</v>
      </c>
      <c r="T200" s="14" t="str">
        <f t="shared" si="33"/>
        <v/>
      </c>
    </row>
    <row r="201" spans="1:20" x14ac:dyDescent="0.3">
      <c r="A201" s="224">
        <v>4</v>
      </c>
      <c r="C201" s="14">
        <f t="shared" si="26"/>
        <v>4</v>
      </c>
      <c r="D201" s="14" t="s">
        <v>836</v>
      </c>
      <c r="E201" s="58" t="s">
        <v>837</v>
      </c>
      <c r="F201" s="82" t="s">
        <v>840</v>
      </c>
      <c r="G201" s="170" t="s">
        <v>841</v>
      </c>
      <c r="H201" s="170" t="str">
        <f>'12. Planning'!$L3</f>
        <v>Comment is required</v>
      </c>
      <c r="I201" s="14">
        <f>'12. Planning'!$K3</f>
        <v>0</v>
      </c>
      <c r="J201" s="14" t="str">
        <f t="shared" si="34"/>
        <v>Blank</v>
      </c>
      <c r="K201" s="155" t="s">
        <v>1131</v>
      </c>
      <c r="L201" s="14" t="str">
        <f t="shared" si="25"/>
        <v>Blank</v>
      </c>
      <c r="N201" s="14" t="str">
        <f t="shared" si="27"/>
        <v/>
      </c>
      <c r="O201" s="14" t="str">
        <f t="shared" si="28"/>
        <v/>
      </c>
      <c r="P201" s="14" t="str">
        <f t="shared" si="29"/>
        <v>Comment is required</v>
      </c>
      <c r="Q201" s="14" t="str">
        <f t="shared" si="30"/>
        <v>Blank</v>
      </c>
      <c r="R201" s="14" t="str">
        <f t="shared" si="31"/>
        <v>No Override</v>
      </c>
      <c r="S201" s="14">
        <f t="shared" si="32"/>
        <v>4</v>
      </c>
      <c r="T201" s="14" t="str">
        <f t="shared" si="33"/>
        <v/>
      </c>
    </row>
    <row r="202" spans="1:20" ht="114" x14ac:dyDescent="0.3">
      <c r="A202" s="224">
        <v>4</v>
      </c>
      <c r="C202" s="14">
        <f t="shared" si="26"/>
        <v>4</v>
      </c>
      <c r="D202" s="14" t="s">
        <v>836</v>
      </c>
      <c r="E202" s="62" t="s">
        <v>842</v>
      </c>
      <c r="F202" s="86" t="s">
        <v>844</v>
      </c>
      <c r="G202" s="170" t="s">
        <v>845</v>
      </c>
      <c r="H202" s="170" t="str">
        <f>'12. Planning'!$L4</f>
        <v>Comment is required</v>
      </c>
      <c r="I202" s="14">
        <f>'12. Planning'!$K4</f>
        <v>0</v>
      </c>
      <c r="J202" s="14" t="str">
        <f t="shared" si="34"/>
        <v>Blank</v>
      </c>
      <c r="K202" s="155" t="s">
        <v>1131</v>
      </c>
      <c r="L202" s="14" t="str">
        <f t="shared" si="25"/>
        <v>Blank</v>
      </c>
      <c r="N202" s="14" t="str">
        <f t="shared" si="27"/>
        <v/>
      </c>
      <c r="O202" s="14" t="str">
        <f t="shared" si="28"/>
        <v/>
      </c>
      <c r="P202" s="14" t="str">
        <f t="shared" si="29"/>
        <v>Comment is required</v>
      </c>
      <c r="Q202" s="14" t="str">
        <f t="shared" si="30"/>
        <v>Blank</v>
      </c>
      <c r="R202" s="14" t="str">
        <f t="shared" si="31"/>
        <v>No Override</v>
      </c>
      <c r="S202" s="14">
        <f t="shared" si="32"/>
        <v>4</v>
      </c>
      <c r="T202" s="14" t="str">
        <f t="shared" si="33"/>
        <v/>
      </c>
    </row>
    <row r="203" spans="1:20" x14ac:dyDescent="0.3">
      <c r="A203" s="224">
        <v>4</v>
      </c>
      <c r="C203" s="14">
        <f t="shared" si="26"/>
        <v>4</v>
      </c>
      <c r="D203" s="14" t="s">
        <v>836</v>
      </c>
      <c r="E203" s="62" t="s">
        <v>846</v>
      </c>
      <c r="F203" s="86" t="s">
        <v>844</v>
      </c>
      <c r="G203" s="170" t="s">
        <v>847</v>
      </c>
      <c r="H203" s="170" t="str">
        <f>'12. Planning'!$L5</f>
        <v>Comment is required</v>
      </c>
      <c r="I203" s="14">
        <f>'12. Planning'!$K5</f>
        <v>0</v>
      </c>
      <c r="J203" s="14" t="str">
        <f t="shared" si="34"/>
        <v>Blank</v>
      </c>
      <c r="K203" s="155" t="s">
        <v>1131</v>
      </c>
      <c r="L203" s="14" t="str">
        <f t="shared" si="25"/>
        <v>Blank</v>
      </c>
      <c r="N203" s="14" t="str">
        <f t="shared" si="27"/>
        <v/>
      </c>
      <c r="O203" s="14" t="str">
        <f t="shared" si="28"/>
        <v/>
      </c>
      <c r="P203" s="14" t="str">
        <f t="shared" si="29"/>
        <v>Comment is required</v>
      </c>
      <c r="Q203" s="14" t="str">
        <f t="shared" si="30"/>
        <v>Blank</v>
      </c>
      <c r="R203" s="14" t="str">
        <f t="shared" si="31"/>
        <v>No Override</v>
      </c>
      <c r="S203" s="14">
        <f t="shared" si="32"/>
        <v>4</v>
      </c>
      <c r="T203" s="14" t="str">
        <f t="shared" si="33"/>
        <v/>
      </c>
    </row>
    <row r="204" spans="1:20" x14ac:dyDescent="0.3">
      <c r="A204" s="224">
        <v>4</v>
      </c>
      <c r="C204" s="14">
        <f t="shared" si="26"/>
        <v>4</v>
      </c>
      <c r="D204" s="14" t="s">
        <v>836</v>
      </c>
      <c r="E204" s="62" t="s">
        <v>848</v>
      </c>
      <c r="F204" s="86" t="s">
        <v>844</v>
      </c>
      <c r="G204" s="170" t="s">
        <v>849</v>
      </c>
      <c r="H204" s="170" t="str">
        <f>'12. Planning'!$L6</f>
        <v>Comment is required</v>
      </c>
      <c r="I204" s="14">
        <f>'12. Planning'!$K6</f>
        <v>0</v>
      </c>
      <c r="J204" s="14" t="str">
        <f t="shared" si="34"/>
        <v>Blank</v>
      </c>
      <c r="K204" s="155" t="s">
        <v>1131</v>
      </c>
      <c r="L204" s="14" t="str">
        <f t="shared" si="25"/>
        <v>Blank</v>
      </c>
      <c r="N204" s="14" t="str">
        <f t="shared" si="27"/>
        <v/>
      </c>
      <c r="O204" s="14" t="str">
        <f t="shared" si="28"/>
        <v/>
      </c>
      <c r="P204" s="14" t="str">
        <f t="shared" si="29"/>
        <v>Comment is required</v>
      </c>
      <c r="Q204" s="14" t="str">
        <f t="shared" si="30"/>
        <v>Blank</v>
      </c>
      <c r="R204" s="14" t="str">
        <f t="shared" si="31"/>
        <v>No Override</v>
      </c>
      <c r="S204" s="14">
        <f t="shared" si="32"/>
        <v>4</v>
      </c>
      <c r="T204" s="14" t="str">
        <f t="shared" si="33"/>
        <v/>
      </c>
    </row>
    <row r="205" spans="1:20" x14ac:dyDescent="0.3">
      <c r="A205" s="224">
        <v>4</v>
      </c>
      <c r="C205" s="14">
        <f t="shared" si="26"/>
        <v>4</v>
      </c>
      <c r="D205" s="14" t="s">
        <v>836</v>
      </c>
      <c r="E205" s="62" t="s">
        <v>850</v>
      </c>
      <c r="F205" s="86" t="s">
        <v>844</v>
      </c>
      <c r="G205" s="170" t="s">
        <v>851</v>
      </c>
      <c r="H205" s="170" t="str">
        <f>'12. Planning'!$L7</f>
        <v>Comment is required</v>
      </c>
      <c r="I205" s="14">
        <f>'12. Planning'!$K7</f>
        <v>0</v>
      </c>
      <c r="J205" s="14" t="str">
        <f t="shared" si="34"/>
        <v>Blank</v>
      </c>
      <c r="K205" s="155" t="s">
        <v>1131</v>
      </c>
      <c r="L205" s="14" t="str">
        <f t="shared" si="25"/>
        <v>Blank</v>
      </c>
      <c r="N205" s="14" t="str">
        <f t="shared" si="27"/>
        <v/>
      </c>
      <c r="O205" s="14" t="str">
        <f t="shared" si="28"/>
        <v/>
      </c>
      <c r="P205" s="14" t="str">
        <f t="shared" si="29"/>
        <v>Comment is required</v>
      </c>
      <c r="Q205" s="14" t="str">
        <f t="shared" si="30"/>
        <v>Blank</v>
      </c>
      <c r="R205" s="14" t="str">
        <f t="shared" si="31"/>
        <v>No Override</v>
      </c>
      <c r="S205" s="14">
        <f t="shared" si="32"/>
        <v>4</v>
      </c>
      <c r="T205" s="14" t="str">
        <f t="shared" si="33"/>
        <v/>
      </c>
    </row>
    <row r="206" spans="1:20" x14ac:dyDescent="0.3">
      <c r="A206" s="224">
        <v>4</v>
      </c>
      <c r="C206" s="14">
        <f t="shared" si="26"/>
        <v>4</v>
      </c>
      <c r="D206" s="14" t="s">
        <v>836</v>
      </c>
      <c r="E206" s="62" t="s">
        <v>852</v>
      </c>
      <c r="F206" s="86" t="s">
        <v>844</v>
      </c>
      <c r="G206" s="170" t="s">
        <v>853</v>
      </c>
      <c r="H206" s="170" t="str">
        <f>'12. Planning'!$L8</f>
        <v>Comment is required</v>
      </c>
      <c r="I206" s="14">
        <f>'12. Planning'!$K8</f>
        <v>0</v>
      </c>
      <c r="J206" s="14" t="str">
        <f t="shared" si="34"/>
        <v>Blank</v>
      </c>
      <c r="K206" s="155" t="s">
        <v>1131</v>
      </c>
      <c r="L206" s="14" t="str">
        <f t="shared" si="25"/>
        <v>Blank</v>
      </c>
      <c r="N206" s="14" t="str">
        <f t="shared" si="27"/>
        <v/>
      </c>
      <c r="O206" s="14" t="str">
        <f t="shared" si="28"/>
        <v/>
      </c>
      <c r="P206" s="14" t="str">
        <f t="shared" si="29"/>
        <v>Comment is required</v>
      </c>
      <c r="Q206" s="14" t="str">
        <f t="shared" si="30"/>
        <v>Blank</v>
      </c>
      <c r="R206" s="14" t="str">
        <f t="shared" si="31"/>
        <v>No Override</v>
      </c>
      <c r="S206" s="14">
        <f t="shared" si="32"/>
        <v>4</v>
      </c>
      <c r="T206" s="14" t="str">
        <f t="shared" si="33"/>
        <v/>
      </c>
    </row>
    <row r="207" spans="1:20" ht="22.8" x14ac:dyDescent="0.3">
      <c r="A207" s="224">
        <v>4</v>
      </c>
      <c r="C207" s="14">
        <f t="shared" si="26"/>
        <v>4</v>
      </c>
      <c r="D207" s="14" t="s">
        <v>836</v>
      </c>
      <c r="E207" s="58" t="s">
        <v>854</v>
      </c>
      <c r="F207" s="82" t="s">
        <v>856</v>
      </c>
      <c r="G207" s="170" t="s">
        <v>857</v>
      </c>
      <c r="H207" s="170" t="str">
        <f>'12. Planning'!$L9</f>
        <v>Comment is required</v>
      </c>
      <c r="I207" s="14">
        <f>'12. Planning'!$K9</f>
        <v>0</v>
      </c>
      <c r="J207" s="14" t="str">
        <f t="shared" si="34"/>
        <v>Blank</v>
      </c>
      <c r="K207" s="155" t="s">
        <v>1131</v>
      </c>
      <c r="L207" s="14" t="str">
        <f t="shared" si="25"/>
        <v>Blank</v>
      </c>
      <c r="N207" s="14" t="str">
        <f t="shared" si="27"/>
        <v/>
      </c>
      <c r="O207" s="14" t="str">
        <f t="shared" si="28"/>
        <v/>
      </c>
      <c r="P207" s="14" t="str">
        <f t="shared" si="29"/>
        <v>Comment is required</v>
      </c>
      <c r="Q207" s="14" t="str">
        <f t="shared" si="30"/>
        <v>Blank</v>
      </c>
      <c r="R207" s="14" t="str">
        <f t="shared" si="31"/>
        <v>No Override</v>
      </c>
      <c r="S207" s="14">
        <f t="shared" si="32"/>
        <v>4</v>
      </c>
      <c r="T207" s="14" t="str">
        <f t="shared" si="33"/>
        <v/>
      </c>
    </row>
    <row r="208" spans="1:20" ht="22.8" x14ac:dyDescent="0.3">
      <c r="A208" s="224">
        <v>4</v>
      </c>
      <c r="C208" s="14">
        <f t="shared" si="26"/>
        <v>4</v>
      </c>
      <c r="D208" s="14" t="s">
        <v>836</v>
      </c>
      <c r="E208" s="58" t="s">
        <v>858</v>
      </c>
      <c r="F208" s="82" t="s">
        <v>856</v>
      </c>
      <c r="G208" s="170" t="s">
        <v>859</v>
      </c>
      <c r="H208" s="170" t="str">
        <f>'12. Planning'!$L10</f>
        <v>Comment is required</v>
      </c>
      <c r="I208" s="14">
        <f>'12. Planning'!$K10</f>
        <v>0</v>
      </c>
      <c r="J208" s="14" t="str">
        <f t="shared" si="34"/>
        <v>Blank</v>
      </c>
      <c r="K208" s="155" t="s">
        <v>1131</v>
      </c>
      <c r="L208" s="14" t="str">
        <f t="shared" si="25"/>
        <v>Blank</v>
      </c>
      <c r="N208" s="14" t="str">
        <f t="shared" si="27"/>
        <v/>
      </c>
      <c r="O208" s="14" t="str">
        <f t="shared" si="28"/>
        <v/>
      </c>
      <c r="P208" s="14" t="str">
        <f t="shared" si="29"/>
        <v>Comment is required</v>
      </c>
      <c r="Q208" s="14" t="str">
        <f t="shared" si="30"/>
        <v>Blank</v>
      </c>
      <c r="R208" s="14" t="str">
        <f t="shared" si="31"/>
        <v>No Override</v>
      </c>
      <c r="S208" s="14">
        <f t="shared" si="32"/>
        <v>4</v>
      </c>
      <c r="T208" s="14" t="str">
        <f t="shared" si="33"/>
        <v/>
      </c>
    </row>
    <row r="209" spans="1:20" x14ac:dyDescent="0.3">
      <c r="A209" s="224">
        <v>4</v>
      </c>
      <c r="C209" s="14">
        <f t="shared" si="26"/>
        <v>4</v>
      </c>
      <c r="D209" s="14" t="s">
        <v>836</v>
      </c>
      <c r="E209" s="58" t="s">
        <v>860</v>
      </c>
      <c r="F209" s="82" t="s">
        <v>856</v>
      </c>
      <c r="G209" s="170" t="s">
        <v>861</v>
      </c>
      <c r="H209" s="170" t="str">
        <f>'12. Planning'!$L11</f>
        <v>Comment is required</v>
      </c>
      <c r="I209" s="14">
        <f>'12. Planning'!$K11</f>
        <v>0</v>
      </c>
      <c r="J209" s="14" t="str">
        <f t="shared" si="34"/>
        <v>Blank</v>
      </c>
      <c r="K209" s="155" t="s">
        <v>1131</v>
      </c>
      <c r="L209" s="14" t="str">
        <f t="shared" ref="L209:L273" si="35">IF($K209="No Override",$J209,$K209)</f>
        <v>Blank</v>
      </c>
      <c r="N209" s="14" t="str">
        <f t="shared" si="27"/>
        <v/>
      </c>
      <c r="O209" s="14" t="str">
        <f t="shared" si="28"/>
        <v/>
      </c>
      <c r="P209" s="14" t="str">
        <f t="shared" si="29"/>
        <v>Comment is required</v>
      </c>
      <c r="Q209" s="14" t="str">
        <f t="shared" si="30"/>
        <v>Blank</v>
      </c>
      <c r="R209" s="14" t="str">
        <f t="shared" si="31"/>
        <v>No Override</v>
      </c>
      <c r="S209" s="14">
        <f t="shared" si="32"/>
        <v>4</v>
      </c>
      <c r="T209" s="14" t="str">
        <f t="shared" si="33"/>
        <v/>
      </c>
    </row>
    <row r="210" spans="1:20" x14ac:dyDescent="0.3">
      <c r="A210" s="224">
        <v>4</v>
      </c>
      <c r="C210" s="14">
        <f t="shared" ref="C210:C274" si="36">IF($B210="",$A210,$B210)</f>
        <v>4</v>
      </c>
      <c r="D210" s="14" t="s">
        <v>836</v>
      </c>
      <c r="E210" s="58" t="s">
        <v>862</v>
      </c>
      <c r="F210" s="82" t="s">
        <v>856</v>
      </c>
      <c r="G210" s="170" t="s">
        <v>863</v>
      </c>
      <c r="H210" s="170" t="str">
        <f>'12. Planning'!$L12</f>
        <v>Comment is required</v>
      </c>
      <c r="I210" s="14">
        <f>'12. Planning'!$K12</f>
        <v>0</v>
      </c>
      <c r="J210" s="14" t="str">
        <f t="shared" si="34"/>
        <v>Blank</v>
      </c>
      <c r="K210" s="155" t="s">
        <v>1131</v>
      </c>
      <c r="L210" s="14" t="str">
        <f t="shared" si="35"/>
        <v>Blank</v>
      </c>
      <c r="N210" s="14" t="str">
        <f t="shared" ref="N210:N274" si="37">IF($J210=$L210,"","***")</f>
        <v/>
      </c>
      <c r="O210" s="14" t="str">
        <f t="shared" ref="O210:O274" si="38">IF(OR($I210="",$I210=0),"",$I210)</f>
        <v/>
      </c>
      <c r="P210" s="14" t="str">
        <f t="shared" ref="P210:P274" si="39">IF(OR($H210="",$H210=0),"",$H210)</f>
        <v>Comment is required</v>
      </c>
      <c r="Q210" s="14" t="str">
        <f t="shared" ref="Q210:Q274" si="40">$L210</f>
        <v>Blank</v>
      </c>
      <c r="R210" s="14" t="str">
        <f t="shared" ref="R210:R274" si="41">$K210</f>
        <v>No Override</v>
      </c>
      <c r="S210" s="14">
        <f t="shared" ref="S210:S274" si="42">$C210</f>
        <v>4</v>
      </c>
      <c r="T210" s="14" t="str">
        <f t="shared" ref="T210:T274" si="43">IF($L210=$Q210,"","***")</f>
        <v/>
      </c>
    </row>
    <row r="211" spans="1:20" x14ac:dyDescent="0.3">
      <c r="A211" s="224">
        <v>4</v>
      </c>
      <c r="C211" s="14">
        <f t="shared" si="36"/>
        <v>4</v>
      </c>
      <c r="D211" s="14" t="s">
        <v>836</v>
      </c>
      <c r="E211" s="58" t="s">
        <v>864</v>
      </c>
      <c r="F211" s="82" t="s">
        <v>866</v>
      </c>
      <c r="G211" s="176" t="s">
        <v>867</v>
      </c>
      <c r="H211" s="170" t="str">
        <f>'12. Planning'!$L13</f>
        <v>Comment is required</v>
      </c>
      <c r="I211" s="14">
        <f>'12. Planning'!$K13</f>
        <v>0</v>
      </c>
      <c r="J211" s="14" t="str">
        <f t="shared" ref="J211:J275" si="44">IF($I211="Yes","Adequate",IF($I211="No","Inadequate",IF($I211="Partial","Inadequate",IF($I211="N/A","Inadequate",IF(OR($I211="",$I211=0),"Blank","Error")))))</f>
        <v>Blank</v>
      </c>
      <c r="K211" s="155" t="s">
        <v>1131</v>
      </c>
      <c r="L211" s="14" t="str">
        <f t="shared" si="35"/>
        <v>Blank</v>
      </c>
      <c r="N211" s="14" t="str">
        <f t="shared" si="37"/>
        <v/>
      </c>
      <c r="O211" s="14" t="str">
        <f t="shared" si="38"/>
        <v/>
      </c>
      <c r="P211" s="14" t="str">
        <f t="shared" si="39"/>
        <v>Comment is required</v>
      </c>
      <c r="Q211" s="14" t="str">
        <f t="shared" si="40"/>
        <v>Blank</v>
      </c>
      <c r="R211" s="14" t="str">
        <f t="shared" si="41"/>
        <v>No Override</v>
      </c>
      <c r="S211" s="14">
        <f t="shared" si="42"/>
        <v>4</v>
      </c>
      <c r="T211" s="14" t="str">
        <f t="shared" si="43"/>
        <v/>
      </c>
    </row>
    <row r="212" spans="1:20" ht="22.8" x14ac:dyDescent="0.3">
      <c r="A212" s="224">
        <v>4</v>
      </c>
      <c r="C212" s="14">
        <f t="shared" si="36"/>
        <v>4</v>
      </c>
      <c r="D212" s="14" t="s">
        <v>836</v>
      </c>
      <c r="E212" s="58" t="s">
        <v>868</v>
      </c>
      <c r="F212" s="82" t="s">
        <v>866</v>
      </c>
      <c r="G212" s="176" t="s">
        <v>869</v>
      </c>
      <c r="H212" s="170" t="str">
        <f>'12. Planning'!$L14</f>
        <v>Comment is required</v>
      </c>
      <c r="I212" s="14">
        <f>'12. Planning'!$K14</f>
        <v>0</v>
      </c>
      <c r="J212" s="14" t="str">
        <f t="shared" si="44"/>
        <v>Blank</v>
      </c>
      <c r="K212" s="155" t="s">
        <v>1131</v>
      </c>
      <c r="L212" s="14" t="str">
        <f t="shared" si="35"/>
        <v>Blank</v>
      </c>
      <c r="N212" s="14" t="str">
        <f t="shared" si="37"/>
        <v/>
      </c>
      <c r="O212" s="14" t="str">
        <f t="shared" si="38"/>
        <v/>
      </c>
      <c r="P212" s="14" t="str">
        <f t="shared" si="39"/>
        <v>Comment is required</v>
      </c>
      <c r="Q212" s="14" t="str">
        <f t="shared" si="40"/>
        <v>Blank</v>
      </c>
      <c r="R212" s="14" t="str">
        <f t="shared" si="41"/>
        <v>No Override</v>
      </c>
      <c r="S212" s="14">
        <f t="shared" si="42"/>
        <v>4</v>
      </c>
      <c r="T212" s="14" t="str">
        <f t="shared" si="43"/>
        <v/>
      </c>
    </row>
    <row r="213" spans="1:20" x14ac:dyDescent="0.3">
      <c r="A213" s="224">
        <v>4</v>
      </c>
      <c r="C213" s="14">
        <f t="shared" si="36"/>
        <v>4</v>
      </c>
      <c r="D213" s="14" t="s">
        <v>836</v>
      </c>
      <c r="E213" s="58" t="s">
        <v>870</v>
      </c>
      <c r="F213" s="82" t="s">
        <v>866</v>
      </c>
      <c r="G213" s="176" t="s">
        <v>871</v>
      </c>
      <c r="H213" s="170" t="str">
        <f>'12. Planning'!$L15</f>
        <v>Comment is required</v>
      </c>
      <c r="I213" s="14">
        <f>'12. Planning'!$K15</f>
        <v>0</v>
      </c>
      <c r="J213" s="14" t="str">
        <f t="shared" si="44"/>
        <v>Blank</v>
      </c>
      <c r="K213" s="155" t="s">
        <v>1131</v>
      </c>
      <c r="L213" s="14" t="str">
        <f t="shared" si="35"/>
        <v>Blank</v>
      </c>
      <c r="N213" s="14" t="str">
        <f t="shared" si="37"/>
        <v/>
      </c>
      <c r="O213" s="14" t="str">
        <f t="shared" si="38"/>
        <v/>
      </c>
      <c r="P213" s="14" t="str">
        <f t="shared" si="39"/>
        <v>Comment is required</v>
      </c>
      <c r="Q213" s="14" t="str">
        <f t="shared" si="40"/>
        <v>Blank</v>
      </c>
      <c r="R213" s="14" t="str">
        <f t="shared" si="41"/>
        <v>No Override</v>
      </c>
      <c r="S213" s="14">
        <f t="shared" si="42"/>
        <v>4</v>
      </c>
      <c r="T213" s="14" t="str">
        <f t="shared" si="43"/>
        <v/>
      </c>
    </row>
    <row r="214" spans="1:20" x14ac:dyDescent="0.3">
      <c r="A214" s="224">
        <v>4</v>
      </c>
      <c r="C214" s="14">
        <f t="shared" si="36"/>
        <v>4</v>
      </c>
      <c r="D214" s="14" t="s">
        <v>872</v>
      </c>
      <c r="E214" s="58" t="s">
        <v>873</v>
      </c>
      <c r="F214" s="82" t="s">
        <v>876</v>
      </c>
      <c r="G214" s="170" t="s">
        <v>877</v>
      </c>
      <c r="H214" s="170" t="str">
        <f>'13. Personnel Security'!$L3</f>
        <v>Comment is required</v>
      </c>
      <c r="I214" s="14">
        <f>'13. Personnel Security'!$K3</f>
        <v>0</v>
      </c>
      <c r="J214" s="14" t="str">
        <f t="shared" si="44"/>
        <v>Blank</v>
      </c>
      <c r="K214" s="155" t="s">
        <v>1131</v>
      </c>
      <c r="L214" s="14" t="str">
        <f t="shared" si="35"/>
        <v>Blank</v>
      </c>
      <c r="N214" s="14" t="str">
        <f t="shared" si="37"/>
        <v/>
      </c>
      <c r="O214" s="14" t="str">
        <f t="shared" si="38"/>
        <v/>
      </c>
      <c r="P214" s="14" t="str">
        <f t="shared" si="39"/>
        <v>Comment is required</v>
      </c>
      <c r="Q214" s="14" t="str">
        <f t="shared" si="40"/>
        <v>Blank</v>
      </c>
      <c r="R214" s="14" t="str">
        <f t="shared" si="41"/>
        <v>No Override</v>
      </c>
      <c r="S214" s="14">
        <f t="shared" si="42"/>
        <v>4</v>
      </c>
      <c r="T214" s="14" t="str">
        <f t="shared" si="43"/>
        <v/>
      </c>
    </row>
    <row r="215" spans="1:20" x14ac:dyDescent="0.3">
      <c r="A215" s="224">
        <v>4</v>
      </c>
      <c r="C215" s="14">
        <f t="shared" si="36"/>
        <v>4</v>
      </c>
      <c r="D215" s="14" t="s">
        <v>872</v>
      </c>
      <c r="E215" s="58" t="s">
        <v>878</v>
      </c>
      <c r="F215" s="82" t="s">
        <v>880</v>
      </c>
      <c r="G215" s="176" t="s">
        <v>881</v>
      </c>
      <c r="H215" s="170" t="str">
        <f>'13. Personnel Security'!$L4</f>
        <v>Comment is required</v>
      </c>
      <c r="I215" s="14">
        <f>'13. Personnel Security'!$K4</f>
        <v>0</v>
      </c>
      <c r="J215" s="14" t="str">
        <f t="shared" si="44"/>
        <v>Blank</v>
      </c>
      <c r="K215" s="155" t="s">
        <v>1131</v>
      </c>
      <c r="L215" s="14" t="str">
        <f t="shared" si="35"/>
        <v>Blank</v>
      </c>
      <c r="N215" s="14" t="str">
        <f t="shared" si="37"/>
        <v/>
      </c>
      <c r="O215" s="14" t="str">
        <f t="shared" si="38"/>
        <v/>
      </c>
      <c r="P215" s="14" t="str">
        <f t="shared" si="39"/>
        <v>Comment is required</v>
      </c>
      <c r="Q215" s="14" t="str">
        <f t="shared" si="40"/>
        <v>Blank</v>
      </c>
      <c r="R215" s="14" t="str">
        <f t="shared" si="41"/>
        <v>No Override</v>
      </c>
      <c r="S215" s="14">
        <f t="shared" si="42"/>
        <v>4</v>
      </c>
      <c r="T215" s="14" t="str">
        <f t="shared" si="43"/>
        <v/>
      </c>
    </row>
    <row r="216" spans="1:20" x14ac:dyDescent="0.3">
      <c r="A216" s="224">
        <v>4</v>
      </c>
      <c r="C216" s="14">
        <f t="shared" si="36"/>
        <v>4</v>
      </c>
      <c r="D216" s="14" t="s">
        <v>872</v>
      </c>
      <c r="E216" s="58" t="s">
        <v>882</v>
      </c>
      <c r="F216" s="82" t="s">
        <v>880</v>
      </c>
      <c r="G216" s="176" t="s">
        <v>883</v>
      </c>
      <c r="H216" s="170" t="str">
        <f>'13. Personnel Security'!$L5</f>
        <v>Comment is required</v>
      </c>
      <c r="I216" s="14">
        <f>'13. Personnel Security'!$K5</f>
        <v>0</v>
      </c>
      <c r="J216" s="14" t="str">
        <f t="shared" si="44"/>
        <v>Blank</v>
      </c>
      <c r="K216" s="155" t="s">
        <v>1131</v>
      </c>
      <c r="L216" s="14" t="str">
        <f t="shared" si="35"/>
        <v>Blank</v>
      </c>
      <c r="N216" s="14" t="str">
        <f t="shared" si="37"/>
        <v/>
      </c>
      <c r="O216" s="14" t="str">
        <f t="shared" si="38"/>
        <v/>
      </c>
      <c r="P216" s="14" t="str">
        <f t="shared" si="39"/>
        <v>Comment is required</v>
      </c>
      <c r="Q216" s="14" t="str">
        <f t="shared" si="40"/>
        <v>Blank</v>
      </c>
      <c r="R216" s="14" t="str">
        <f t="shared" si="41"/>
        <v>No Override</v>
      </c>
      <c r="S216" s="14">
        <f t="shared" si="42"/>
        <v>4</v>
      </c>
      <c r="T216" s="14" t="str">
        <f t="shared" si="43"/>
        <v/>
      </c>
    </row>
    <row r="217" spans="1:20" x14ac:dyDescent="0.3">
      <c r="A217" s="224">
        <v>4</v>
      </c>
      <c r="C217" s="14">
        <f t="shared" si="36"/>
        <v>4</v>
      </c>
      <c r="D217" s="14" t="s">
        <v>872</v>
      </c>
      <c r="E217" s="58" t="s">
        <v>884</v>
      </c>
      <c r="F217" s="82" t="s">
        <v>880</v>
      </c>
      <c r="G217" s="176" t="s">
        <v>885</v>
      </c>
      <c r="H217" s="170" t="str">
        <f>'13. Personnel Security'!$L6</f>
        <v>Comment is required</v>
      </c>
      <c r="I217" s="14">
        <f>'13. Personnel Security'!$K6</f>
        <v>0</v>
      </c>
      <c r="J217" s="14" t="str">
        <f t="shared" si="44"/>
        <v>Blank</v>
      </c>
      <c r="K217" s="155" t="s">
        <v>1131</v>
      </c>
      <c r="L217" s="14" t="str">
        <f t="shared" si="35"/>
        <v>Blank</v>
      </c>
      <c r="N217" s="14" t="str">
        <f t="shared" si="37"/>
        <v/>
      </c>
      <c r="O217" s="14" t="str">
        <f t="shared" si="38"/>
        <v/>
      </c>
      <c r="P217" s="14" t="str">
        <f t="shared" si="39"/>
        <v>Comment is required</v>
      </c>
      <c r="Q217" s="14" t="str">
        <f t="shared" si="40"/>
        <v>Blank</v>
      </c>
      <c r="R217" s="14" t="str">
        <f t="shared" si="41"/>
        <v>No Override</v>
      </c>
      <c r="S217" s="14">
        <f t="shared" si="42"/>
        <v>4</v>
      </c>
      <c r="T217" s="14" t="str">
        <f t="shared" si="43"/>
        <v/>
      </c>
    </row>
    <row r="218" spans="1:20" x14ac:dyDescent="0.3">
      <c r="A218" s="224">
        <v>4</v>
      </c>
      <c r="C218" s="14">
        <f t="shared" si="36"/>
        <v>4</v>
      </c>
      <c r="D218" s="14" t="s">
        <v>872</v>
      </c>
      <c r="E218" s="58" t="s">
        <v>886</v>
      </c>
      <c r="F218" s="82" t="s">
        <v>887</v>
      </c>
      <c r="G218" s="176" t="s">
        <v>888</v>
      </c>
      <c r="H218" s="170" t="str">
        <f>'13. Personnel Security'!$L7</f>
        <v>Comment is required</v>
      </c>
      <c r="I218" s="14">
        <f>'13. Personnel Security'!$K7</f>
        <v>0</v>
      </c>
      <c r="J218" s="14" t="str">
        <f t="shared" si="44"/>
        <v>Blank</v>
      </c>
      <c r="K218" s="155" t="s">
        <v>1131</v>
      </c>
      <c r="L218" s="14" t="str">
        <f t="shared" si="35"/>
        <v>Blank</v>
      </c>
      <c r="N218" s="14" t="str">
        <f t="shared" si="37"/>
        <v/>
      </c>
      <c r="O218" s="14" t="str">
        <f t="shared" si="38"/>
        <v/>
      </c>
      <c r="P218" s="14" t="str">
        <f t="shared" si="39"/>
        <v>Comment is required</v>
      </c>
      <c r="Q218" s="14" t="str">
        <f t="shared" si="40"/>
        <v>Blank</v>
      </c>
      <c r="R218" s="14" t="str">
        <f t="shared" si="41"/>
        <v>No Override</v>
      </c>
      <c r="S218" s="14">
        <f t="shared" si="42"/>
        <v>4</v>
      </c>
      <c r="T218" s="14" t="str">
        <f t="shared" si="43"/>
        <v/>
      </c>
    </row>
    <row r="219" spans="1:20" x14ac:dyDescent="0.3">
      <c r="A219" s="224">
        <v>4</v>
      </c>
      <c r="C219" s="14">
        <f t="shared" si="36"/>
        <v>4</v>
      </c>
      <c r="D219" s="14" t="s">
        <v>872</v>
      </c>
      <c r="E219" s="58" t="s">
        <v>889</v>
      </c>
      <c r="F219" s="82" t="s">
        <v>887</v>
      </c>
      <c r="G219" s="176" t="s">
        <v>890</v>
      </c>
      <c r="H219" s="170" t="str">
        <f>'13. Personnel Security'!$L8</f>
        <v>Comment is required</v>
      </c>
      <c r="I219" s="14">
        <f>'13. Personnel Security'!$K8</f>
        <v>0</v>
      </c>
      <c r="J219" s="14" t="str">
        <f t="shared" si="44"/>
        <v>Blank</v>
      </c>
      <c r="K219" s="155" t="s">
        <v>1131</v>
      </c>
      <c r="L219" s="14" t="str">
        <f t="shared" si="35"/>
        <v>Blank</v>
      </c>
      <c r="N219" s="14" t="str">
        <f t="shared" si="37"/>
        <v/>
      </c>
      <c r="O219" s="14" t="str">
        <f t="shared" si="38"/>
        <v/>
      </c>
      <c r="P219" s="14" t="str">
        <f t="shared" si="39"/>
        <v>Comment is required</v>
      </c>
      <c r="Q219" s="14" t="str">
        <f t="shared" si="40"/>
        <v>Blank</v>
      </c>
      <c r="R219" s="14" t="str">
        <f t="shared" si="41"/>
        <v>No Override</v>
      </c>
      <c r="S219" s="14">
        <f t="shared" si="42"/>
        <v>4</v>
      </c>
      <c r="T219" s="14" t="str">
        <f t="shared" si="43"/>
        <v/>
      </c>
    </row>
    <row r="220" spans="1:20" ht="22.8" x14ac:dyDescent="0.3">
      <c r="A220" s="224">
        <v>4</v>
      </c>
      <c r="C220" s="14">
        <f t="shared" si="36"/>
        <v>4</v>
      </c>
      <c r="D220" s="14" t="s">
        <v>872</v>
      </c>
      <c r="E220" s="58" t="s">
        <v>891</v>
      </c>
      <c r="F220" s="82" t="s">
        <v>894</v>
      </c>
      <c r="G220" s="176" t="s">
        <v>895</v>
      </c>
      <c r="H220" s="170" t="str">
        <f>'13. Personnel Security'!$L9</f>
        <v>Comment is required</v>
      </c>
      <c r="I220" s="14">
        <f>'13. Personnel Security'!$K9</f>
        <v>0</v>
      </c>
      <c r="J220" s="14" t="str">
        <f t="shared" si="44"/>
        <v>Blank</v>
      </c>
      <c r="K220" s="155" t="s">
        <v>1131</v>
      </c>
      <c r="L220" s="14" t="str">
        <f t="shared" si="35"/>
        <v>Blank</v>
      </c>
      <c r="N220" s="14" t="str">
        <f t="shared" si="37"/>
        <v/>
      </c>
      <c r="O220" s="14" t="str">
        <f t="shared" si="38"/>
        <v/>
      </c>
      <c r="P220" s="14" t="str">
        <f t="shared" si="39"/>
        <v>Comment is required</v>
      </c>
      <c r="Q220" s="14" t="str">
        <f t="shared" si="40"/>
        <v>Blank</v>
      </c>
      <c r="R220" s="14" t="str">
        <f t="shared" si="41"/>
        <v>No Override</v>
      </c>
      <c r="S220" s="14">
        <f t="shared" si="42"/>
        <v>4</v>
      </c>
      <c r="T220" s="14" t="str">
        <f t="shared" si="43"/>
        <v/>
      </c>
    </row>
    <row r="221" spans="1:20" x14ac:dyDescent="0.3">
      <c r="A221" s="224">
        <v>4</v>
      </c>
      <c r="C221" s="14">
        <f t="shared" si="36"/>
        <v>4</v>
      </c>
      <c r="D221" s="14" t="s">
        <v>872</v>
      </c>
      <c r="E221" s="58" t="s">
        <v>896</v>
      </c>
      <c r="F221" s="82" t="s">
        <v>898</v>
      </c>
      <c r="G221" s="176" t="s">
        <v>899</v>
      </c>
      <c r="H221" s="170" t="str">
        <f>'13. Personnel Security'!$L10</f>
        <v>Comment is required</v>
      </c>
      <c r="I221" s="14">
        <f>'13. Personnel Security'!$K10</f>
        <v>0</v>
      </c>
      <c r="J221" s="14" t="str">
        <f t="shared" si="44"/>
        <v>Blank</v>
      </c>
      <c r="K221" s="155" t="s">
        <v>1131</v>
      </c>
      <c r="L221" s="14" t="str">
        <f t="shared" si="35"/>
        <v>Blank</v>
      </c>
      <c r="N221" s="14" t="str">
        <f t="shared" si="37"/>
        <v/>
      </c>
      <c r="O221" s="14" t="str">
        <f t="shared" si="38"/>
        <v/>
      </c>
      <c r="P221" s="14" t="str">
        <f t="shared" si="39"/>
        <v>Comment is required</v>
      </c>
      <c r="Q221" s="14" t="str">
        <f t="shared" si="40"/>
        <v>Blank</v>
      </c>
      <c r="R221" s="14" t="str">
        <f t="shared" si="41"/>
        <v>No Override</v>
      </c>
      <c r="S221" s="14">
        <f t="shared" si="42"/>
        <v>4</v>
      </c>
      <c r="T221" s="14" t="str">
        <f t="shared" si="43"/>
        <v/>
      </c>
    </row>
    <row r="222" spans="1:20" ht="22.8" x14ac:dyDescent="0.3">
      <c r="A222" s="224">
        <v>4</v>
      </c>
      <c r="C222" s="14">
        <f t="shared" si="36"/>
        <v>4</v>
      </c>
      <c r="D222" s="14" t="s">
        <v>872</v>
      </c>
      <c r="E222" s="58" t="s">
        <v>900</v>
      </c>
      <c r="F222" s="82" t="s">
        <v>903</v>
      </c>
      <c r="G222" s="176" t="s">
        <v>904</v>
      </c>
      <c r="H222" s="170" t="str">
        <f>'13. Personnel Security'!$L11</f>
        <v>Comment is required</v>
      </c>
      <c r="I222" s="14">
        <f>'13. Personnel Security'!$K11</f>
        <v>0</v>
      </c>
      <c r="J222" s="14" t="str">
        <f t="shared" si="44"/>
        <v>Blank</v>
      </c>
      <c r="K222" s="155" t="s">
        <v>1131</v>
      </c>
      <c r="L222" s="14" t="str">
        <f t="shared" si="35"/>
        <v>Blank</v>
      </c>
      <c r="N222" s="14" t="str">
        <f t="shared" si="37"/>
        <v/>
      </c>
      <c r="O222" s="14" t="str">
        <f t="shared" si="38"/>
        <v/>
      </c>
      <c r="P222" s="14" t="str">
        <f t="shared" si="39"/>
        <v>Comment is required</v>
      </c>
      <c r="Q222" s="14" t="str">
        <f t="shared" si="40"/>
        <v>Blank</v>
      </c>
      <c r="R222" s="14" t="str">
        <f t="shared" si="41"/>
        <v>No Override</v>
      </c>
      <c r="S222" s="14">
        <f t="shared" si="42"/>
        <v>4</v>
      </c>
      <c r="T222" s="14" t="str">
        <f t="shared" si="43"/>
        <v/>
      </c>
    </row>
    <row r="223" spans="1:20" ht="22.8" x14ac:dyDescent="0.3">
      <c r="A223" s="224">
        <v>4</v>
      </c>
      <c r="C223" s="14">
        <f t="shared" si="36"/>
        <v>4</v>
      </c>
      <c r="D223" s="14" t="s">
        <v>872</v>
      </c>
      <c r="E223" s="58" t="s">
        <v>905</v>
      </c>
      <c r="F223" s="82" t="s">
        <v>908</v>
      </c>
      <c r="G223" s="176" t="s">
        <v>909</v>
      </c>
      <c r="H223" s="170" t="str">
        <f>'13. Personnel Security'!$L12</f>
        <v>Comment is required</v>
      </c>
      <c r="I223" s="14">
        <f>'13. Personnel Security'!$K12</f>
        <v>0</v>
      </c>
      <c r="J223" s="49" t="str">
        <f>IF($I223="Yes","Adequate",IF($I223="No","Inadequate",IF($I223="Partial","Inadequate",IF(AND($I223="N/A",'Vendor Profile Questionnaire'!$B$29="No"),"Adequate",IF(AND($I223="N/A",NOT('Vendor Profile Questionnaire'!$B$29="No")),"Inadequate",IF(OR($I223="",$I223=0),"Blank","Error"))))))</f>
        <v>Blank</v>
      </c>
      <c r="K223" s="155" t="s">
        <v>1131</v>
      </c>
      <c r="L223" s="14" t="str">
        <f t="shared" si="35"/>
        <v>Blank</v>
      </c>
      <c r="N223" s="14" t="str">
        <f t="shared" si="37"/>
        <v/>
      </c>
      <c r="O223" s="14" t="str">
        <f t="shared" si="38"/>
        <v/>
      </c>
      <c r="P223" s="14" t="str">
        <f t="shared" si="39"/>
        <v>Comment is required</v>
      </c>
      <c r="Q223" s="14" t="str">
        <f t="shared" si="40"/>
        <v>Blank</v>
      </c>
      <c r="R223" s="14" t="str">
        <f t="shared" si="41"/>
        <v>No Override</v>
      </c>
      <c r="S223" s="14">
        <f t="shared" si="42"/>
        <v>4</v>
      </c>
      <c r="T223" s="14" t="str">
        <f t="shared" si="43"/>
        <v/>
      </c>
    </row>
    <row r="224" spans="1:20" x14ac:dyDescent="0.3">
      <c r="A224" s="224">
        <v>4</v>
      </c>
      <c r="C224" s="14">
        <f t="shared" si="36"/>
        <v>4</v>
      </c>
      <c r="D224" s="14" t="s">
        <v>872</v>
      </c>
      <c r="E224" s="58" t="s">
        <v>910</v>
      </c>
      <c r="F224" s="82" t="s">
        <v>913</v>
      </c>
      <c r="G224" s="176" t="s">
        <v>914</v>
      </c>
      <c r="H224" s="170" t="str">
        <f>'13. Personnel Security'!$L13</f>
        <v>Comment is required</v>
      </c>
      <c r="I224" s="14">
        <f>'13. Personnel Security'!$K13</f>
        <v>0</v>
      </c>
      <c r="J224" s="14" t="str">
        <f t="shared" si="44"/>
        <v>Blank</v>
      </c>
      <c r="K224" s="155" t="s">
        <v>1131</v>
      </c>
      <c r="L224" s="14" t="str">
        <f t="shared" si="35"/>
        <v>Blank</v>
      </c>
      <c r="N224" s="14" t="str">
        <f t="shared" si="37"/>
        <v/>
      </c>
      <c r="O224" s="14" t="str">
        <f t="shared" si="38"/>
        <v/>
      </c>
      <c r="P224" s="14" t="str">
        <f t="shared" si="39"/>
        <v>Comment is required</v>
      </c>
      <c r="Q224" s="14" t="str">
        <f t="shared" si="40"/>
        <v>Blank</v>
      </c>
      <c r="R224" s="14" t="str">
        <f t="shared" si="41"/>
        <v>No Override</v>
      </c>
      <c r="S224" s="14">
        <f t="shared" si="42"/>
        <v>4</v>
      </c>
      <c r="T224" s="14" t="str">
        <f t="shared" si="43"/>
        <v/>
      </c>
    </row>
    <row r="225" spans="1:20" x14ac:dyDescent="0.3">
      <c r="A225" s="224">
        <v>4</v>
      </c>
      <c r="C225" s="14">
        <f t="shared" si="36"/>
        <v>4</v>
      </c>
      <c r="D225" s="14" t="s">
        <v>1138</v>
      </c>
      <c r="E225" s="58" t="s">
        <v>916</v>
      </c>
      <c r="F225" s="82" t="s">
        <v>919</v>
      </c>
      <c r="G225" s="170" t="s">
        <v>920</v>
      </c>
      <c r="H225" s="170" t="str">
        <f>'14. Risk Assessments'!$L3</f>
        <v>Comment is required</v>
      </c>
      <c r="I225" s="14">
        <f>'14. Risk Assessments'!$K3</f>
        <v>0</v>
      </c>
      <c r="J225" s="14" t="str">
        <f t="shared" si="44"/>
        <v>Blank</v>
      </c>
      <c r="K225" s="155" t="s">
        <v>1131</v>
      </c>
      <c r="L225" s="14" t="str">
        <f t="shared" si="35"/>
        <v>Blank</v>
      </c>
      <c r="N225" s="14" t="str">
        <f t="shared" si="37"/>
        <v/>
      </c>
      <c r="O225" s="14" t="str">
        <f t="shared" si="38"/>
        <v/>
      </c>
      <c r="P225" s="14" t="str">
        <f t="shared" si="39"/>
        <v>Comment is required</v>
      </c>
      <c r="Q225" s="14" t="str">
        <f t="shared" si="40"/>
        <v>Blank</v>
      </c>
      <c r="R225" s="14" t="str">
        <f t="shared" si="41"/>
        <v>No Override</v>
      </c>
      <c r="S225" s="14">
        <f t="shared" si="42"/>
        <v>4</v>
      </c>
      <c r="T225" s="14" t="str">
        <f t="shared" si="43"/>
        <v/>
      </c>
    </row>
    <row r="226" spans="1:20" ht="22.8" x14ac:dyDescent="0.3">
      <c r="A226" s="224">
        <v>3</v>
      </c>
      <c r="C226" s="14">
        <f t="shared" si="36"/>
        <v>3</v>
      </c>
      <c r="D226" s="14" t="s">
        <v>1138</v>
      </c>
      <c r="E226" s="58" t="s">
        <v>921</v>
      </c>
      <c r="F226" s="82" t="s">
        <v>924</v>
      </c>
      <c r="G226" s="176" t="s">
        <v>925</v>
      </c>
      <c r="H226" s="170" t="str">
        <f>'14. Risk Assessments'!$L4</f>
        <v>Comment is required</v>
      </c>
      <c r="I226" s="14">
        <f>'14. Risk Assessments'!$K4</f>
        <v>0</v>
      </c>
      <c r="J226" s="14" t="str">
        <f t="shared" si="44"/>
        <v>Blank</v>
      </c>
      <c r="K226" s="155" t="s">
        <v>1131</v>
      </c>
      <c r="L226" s="14" t="str">
        <f t="shared" si="35"/>
        <v>Blank</v>
      </c>
      <c r="N226" s="14" t="str">
        <f t="shared" si="37"/>
        <v/>
      </c>
      <c r="O226" s="14" t="str">
        <f t="shared" si="38"/>
        <v/>
      </c>
      <c r="P226" s="14" t="str">
        <f t="shared" si="39"/>
        <v>Comment is required</v>
      </c>
      <c r="Q226" s="14" t="str">
        <f t="shared" si="40"/>
        <v>Blank</v>
      </c>
      <c r="R226" s="14" t="str">
        <f t="shared" si="41"/>
        <v>No Override</v>
      </c>
      <c r="S226" s="14">
        <f t="shared" si="42"/>
        <v>3</v>
      </c>
      <c r="T226" s="14" t="str">
        <f t="shared" si="43"/>
        <v/>
      </c>
    </row>
    <row r="227" spans="1:20" ht="34.200000000000003" x14ac:dyDescent="0.3">
      <c r="A227" s="224">
        <v>4</v>
      </c>
      <c r="C227" s="14">
        <f t="shared" si="36"/>
        <v>4</v>
      </c>
      <c r="D227" s="14" t="s">
        <v>1138</v>
      </c>
      <c r="E227" s="58" t="s">
        <v>926</v>
      </c>
      <c r="F227" s="82" t="s">
        <v>929</v>
      </c>
      <c r="G227" s="176" t="s">
        <v>930</v>
      </c>
      <c r="H227" s="170" t="str">
        <f>'14. Risk Assessments'!$L5</f>
        <v>Comment is required</v>
      </c>
      <c r="I227" s="14">
        <f>'14. Risk Assessments'!$K5</f>
        <v>0</v>
      </c>
      <c r="J227" s="14" t="str">
        <f t="shared" si="44"/>
        <v>Blank</v>
      </c>
      <c r="K227" s="155" t="s">
        <v>1131</v>
      </c>
      <c r="L227" s="14" t="str">
        <f t="shared" si="35"/>
        <v>Blank</v>
      </c>
      <c r="N227" s="14" t="str">
        <f t="shared" si="37"/>
        <v/>
      </c>
      <c r="O227" s="14" t="str">
        <f t="shared" si="38"/>
        <v/>
      </c>
      <c r="P227" s="14" t="str">
        <f t="shared" si="39"/>
        <v>Comment is required</v>
      </c>
      <c r="Q227" s="14" t="str">
        <f t="shared" si="40"/>
        <v>Blank</v>
      </c>
      <c r="R227" s="14" t="str">
        <f t="shared" si="41"/>
        <v>No Override</v>
      </c>
      <c r="S227" s="14">
        <f t="shared" si="42"/>
        <v>4</v>
      </c>
      <c r="T227" s="14" t="str">
        <f t="shared" si="43"/>
        <v/>
      </c>
    </row>
    <row r="228" spans="1:20" ht="34.200000000000003" x14ac:dyDescent="0.3">
      <c r="A228" s="224">
        <v>1</v>
      </c>
      <c r="C228" s="14">
        <f t="shared" si="36"/>
        <v>1</v>
      </c>
      <c r="D228" s="14" t="s">
        <v>1138</v>
      </c>
      <c r="E228" s="58" t="s">
        <v>931</v>
      </c>
      <c r="F228" s="82" t="s">
        <v>932</v>
      </c>
      <c r="G228" s="176" t="s">
        <v>1304</v>
      </c>
      <c r="H228" s="170" t="str">
        <f>'14. Risk Assessments'!$L6</f>
        <v>Comment is required</v>
      </c>
      <c r="I228" s="14">
        <f>'14. Risk Assessments'!$K6</f>
        <v>0</v>
      </c>
      <c r="J228" s="14" t="str">
        <f t="shared" si="44"/>
        <v>Blank</v>
      </c>
      <c r="K228" s="155" t="s">
        <v>1131</v>
      </c>
      <c r="L228" s="14" t="str">
        <f t="shared" si="35"/>
        <v>Blank</v>
      </c>
      <c r="N228" s="14" t="str">
        <f t="shared" si="37"/>
        <v/>
      </c>
      <c r="O228" s="14" t="str">
        <f t="shared" si="38"/>
        <v/>
      </c>
      <c r="P228" s="14" t="str">
        <f t="shared" si="39"/>
        <v>Comment is required</v>
      </c>
      <c r="Q228" s="14" t="str">
        <f t="shared" si="40"/>
        <v>Blank</v>
      </c>
      <c r="R228" s="14" t="str">
        <f t="shared" si="41"/>
        <v>No Override</v>
      </c>
      <c r="S228" s="14">
        <f t="shared" si="42"/>
        <v>1</v>
      </c>
      <c r="T228" s="14" t="str">
        <f t="shared" si="43"/>
        <v/>
      </c>
    </row>
    <row r="229" spans="1:20" x14ac:dyDescent="0.3">
      <c r="A229" s="224">
        <v>4</v>
      </c>
      <c r="C229" s="14">
        <f t="shared" si="36"/>
        <v>4</v>
      </c>
      <c r="D229" s="14" t="s">
        <v>1139</v>
      </c>
      <c r="E229" s="58" t="s">
        <v>934</v>
      </c>
      <c r="F229" s="82" t="s">
        <v>936</v>
      </c>
      <c r="G229" s="170" t="s">
        <v>937</v>
      </c>
      <c r="H229" s="170" t="str">
        <f>'15. System Acquisition'!$L3</f>
        <v>Comment is required</v>
      </c>
      <c r="I229" s="14">
        <f>'15. System Acquisition'!$K3</f>
        <v>0</v>
      </c>
      <c r="J229" s="14" t="str">
        <f t="shared" si="44"/>
        <v>Blank</v>
      </c>
      <c r="K229" s="155" t="s">
        <v>1131</v>
      </c>
      <c r="L229" s="14" t="str">
        <f t="shared" si="35"/>
        <v>Blank</v>
      </c>
      <c r="N229" s="14" t="str">
        <f t="shared" si="37"/>
        <v/>
      </c>
      <c r="O229" s="14" t="str">
        <f t="shared" si="38"/>
        <v/>
      </c>
      <c r="P229" s="14" t="str">
        <f t="shared" si="39"/>
        <v>Comment is required</v>
      </c>
      <c r="Q229" s="14" t="str">
        <f t="shared" si="40"/>
        <v>Blank</v>
      </c>
      <c r="R229" s="14" t="str">
        <f t="shared" si="41"/>
        <v>No Override</v>
      </c>
      <c r="S229" s="14">
        <f t="shared" si="42"/>
        <v>4</v>
      </c>
      <c r="T229" s="14" t="str">
        <f t="shared" si="43"/>
        <v/>
      </c>
    </row>
    <row r="230" spans="1:20" x14ac:dyDescent="0.3">
      <c r="A230" s="224">
        <v>4</v>
      </c>
      <c r="C230" s="14">
        <f t="shared" si="36"/>
        <v>4</v>
      </c>
      <c r="D230" s="14" t="s">
        <v>1139</v>
      </c>
      <c r="E230" s="58" t="s">
        <v>938</v>
      </c>
      <c r="F230" s="82" t="s">
        <v>940</v>
      </c>
      <c r="G230" s="176" t="s">
        <v>941</v>
      </c>
      <c r="H230" s="170" t="str">
        <f>'15. System Acquisition'!$L4</f>
        <v>Comment is required</v>
      </c>
      <c r="I230" s="14">
        <f>'15. System Acquisition'!$K4</f>
        <v>0</v>
      </c>
      <c r="J230" s="14" t="str">
        <f t="shared" si="44"/>
        <v>Blank</v>
      </c>
      <c r="K230" s="155" t="s">
        <v>1131</v>
      </c>
      <c r="L230" s="14" t="str">
        <f t="shared" si="35"/>
        <v>Blank</v>
      </c>
      <c r="N230" s="14" t="str">
        <f t="shared" si="37"/>
        <v/>
      </c>
      <c r="O230" s="14" t="str">
        <f t="shared" si="38"/>
        <v/>
      </c>
      <c r="P230" s="14" t="str">
        <f t="shared" si="39"/>
        <v>Comment is required</v>
      </c>
      <c r="Q230" s="14" t="str">
        <f t="shared" si="40"/>
        <v>Blank</v>
      </c>
      <c r="R230" s="14" t="str">
        <f t="shared" si="41"/>
        <v>No Override</v>
      </c>
      <c r="S230" s="14">
        <f t="shared" si="42"/>
        <v>4</v>
      </c>
      <c r="T230" s="14" t="str">
        <f t="shared" si="43"/>
        <v/>
      </c>
    </row>
    <row r="231" spans="1:20" x14ac:dyDescent="0.3">
      <c r="A231" s="224">
        <v>4</v>
      </c>
      <c r="C231" s="14">
        <f t="shared" si="36"/>
        <v>4</v>
      </c>
      <c r="D231" s="14" t="s">
        <v>1139</v>
      </c>
      <c r="E231" s="58" t="s">
        <v>942</v>
      </c>
      <c r="F231" s="82" t="s">
        <v>944</v>
      </c>
      <c r="G231" s="176" t="s">
        <v>945</v>
      </c>
      <c r="H231" s="170" t="str">
        <f>'15. System Acquisition'!$L5</f>
        <v>Comment is required</v>
      </c>
      <c r="I231" s="14">
        <f>'15. System Acquisition'!$K5</f>
        <v>0</v>
      </c>
      <c r="J231" s="14" t="str">
        <f t="shared" si="44"/>
        <v>Blank</v>
      </c>
      <c r="K231" s="155" t="s">
        <v>1131</v>
      </c>
      <c r="L231" s="14" t="str">
        <f t="shared" si="35"/>
        <v>Blank</v>
      </c>
      <c r="N231" s="14" t="str">
        <f t="shared" si="37"/>
        <v/>
      </c>
      <c r="O231" s="14" t="str">
        <f t="shared" si="38"/>
        <v/>
      </c>
      <c r="P231" s="14" t="str">
        <f t="shared" si="39"/>
        <v>Comment is required</v>
      </c>
      <c r="Q231" s="14" t="str">
        <f t="shared" si="40"/>
        <v>Blank</v>
      </c>
      <c r="R231" s="14" t="str">
        <f t="shared" si="41"/>
        <v>No Override</v>
      </c>
      <c r="S231" s="14">
        <f t="shared" si="42"/>
        <v>4</v>
      </c>
      <c r="T231" s="14" t="str">
        <f t="shared" si="43"/>
        <v/>
      </c>
    </row>
    <row r="232" spans="1:20" ht="45.6" x14ac:dyDescent="0.3">
      <c r="A232" s="224">
        <v>1</v>
      </c>
      <c r="C232" s="14">
        <f t="shared" si="36"/>
        <v>1</v>
      </c>
      <c r="D232" s="14" t="s">
        <v>1139</v>
      </c>
      <c r="E232" s="58" t="s">
        <v>946</v>
      </c>
      <c r="F232" s="82" t="s">
        <v>949</v>
      </c>
      <c r="G232" s="176" t="s">
        <v>950</v>
      </c>
      <c r="H232" s="170" t="str">
        <f>'15. System Acquisition'!$L6</f>
        <v>Comment is required</v>
      </c>
      <c r="I232" s="14">
        <f>'15. System Acquisition'!$K6</f>
        <v>0</v>
      </c>
      <c r="J232" s="14" t="str">
        <f t="shared" si="44"/>
        <v>Blank</v>
      </c>
      <c r="K232" s="155" t="s">
        <v>1131</v>
      </c>
      <c r="L232" s="14" t="str">
        <f t="shared" si="35"/>
        <v>Blank</v>
      </c>
      <c r="N232" s="14" t="str">
        <f t="shared" si="37"/>
        <v/>
      </c>
      <c r="O232" s="14" t="str">
        <f t="shared" si="38"/>
        <v/>
      </c>
      <c r="P232" s="14" t="str">
        <f t="shared" si="39"/>
        <v>Comment is required</v>
      </c>
      <c r="Q232" s="14" t="str">
        <f t="shared" si="40"/>
        <v>Blank</v>
      </c>
      <c r="R232" s="14" t="str">
        <f t="shared" si="41"/>
        <v>No Override</v>
      </c>
      <c r="S232" s="14">
        <f t="shared" si="42"/>
        <v>1</v>
      </c>
      <c r="T232" s="14" t="str">
        <f t="shared" si="43"/>
        <v/>
      </c>
    </row>
    <row r="233" spans="1:20" ht="57" x14ac:dyDescent="0.3">
      <c r="A233" s="224">
        <v>4</v>
      </c>
      <c r="C233" s="14">
        <f t="shared" si="36"/>
        <v>4</v>
      </c>
      <c r="D233" s="14" t="s">
        <v>1139</v>
      </c>
      <c r="E233" s="58" t="s">
        <v>951</v>
      </c>
      <c r="F233" s="82" t="s">
        <v>953</v>
      </c>
      <c r="G233" s="170" t="s">
        <v>954</v>
      </c>
      <c r="H233" s="170" t="str">
        <f>'15. System Acquisition'!$L7</f>
        <v>Comment is required</v>
      </c>
      <c r="I233" s="14">
        <f>'15. System Acquisition'!$K7</f>
        <v>0</v>
      </c>
      <c r="J233" s="14" t="str">
        <f t="shared" si="44"/>
        <v>Blank</v>
      </c>
      <c r="K233" s="155" t="s">
        <v>1131</v>
      </c>
      <c r="L233" s="14" t="str">
        <f t="shared" si="35"/>
        <v>Blank</v>
      </c>
      <c r="N233" s="14" t="str">
        <f t="shared" si="37"/>
        <v/>
      </c>
      <c r="O233" s="14" t="str">
        <f t="shared" si="38"/>
        <v/>
      </c>
      <c r="P233" s="14" t="str">
        <f t="shared" si="39"/>
        <v>Comment is required</v>
      </c>
      <c r="Q233" s="14" t="str">
        <f t="shared" si="40"/>
        <v>Blank</v>
      </c>
      <c r="R233" s="14" t="str">
        <f t="shared" si="41"/>
        <v>No Override</v>
      </c>
      <c r="S233" s="14">
        <f t="shared" si="42"/>
        <v>4</v>
      </c>
      <c r="T233" s="14" t="str">
        <f t="shared" si="43"/>
        <v/>
      </c>
    </row>
    <row r="234" spans="1:20" ht="68.400000000000006" x14ac:dyDescent="0.3">
      <c r="A234" s="224">
        <v>4</v>
      </c>
      <c r="C234" s="14">
        <f t="shared" si="36"/>
        <v>4</v>
      </c>
      <c r="D234" s="14" t="s">
        <v>1139</v>
      </c>
      <c r="E234" s="58" t="s">
        <v>955</v>
      </c>
      <c r="F234" s="82" t="s">
        <v>953</v>
      </c>
      <c r="G234" s="170" t="s">
        <v>956</v>
      </c>
      <c r="H234" s="170" t="str">
        <f>'15. System Acquisition'!$L8</f>
        <v>Comment is required</v>
      </c>
      <c r="I234" s="14">
        <f>'15. System Acquisition'!$K8</f>
        <v>0</v>
      </c>
      <c r="J234" s="14" t="str">
        <f t="shared" si="44"/>
        <v>Blank</v>
      </c>
      <c r="K234" s="155" t="s">
        <v>1131</v>
      </c>
      <c r="L234" s="14" t="str">
        <f t="shared" si="35"/>
        <v>Blank</v>
      </c>
      <c r="N234" s="14" t="str">
        <f t="shared" si="37"/>
        <v/>
      </c>
      <c r="O234" s="14" t="str">
        <f t="shared" si="38"/>
        <v/>
      </c>
      <c r="P234" s="14" t="str">
        <f t="shared" si="39"/>
        <v>Comment is required</v>
      </c>
      <c r="Q234" s="14" t="str">
        <f t="shared" si="40"/>
        <v>Blank</v>
      </c>
      <c r="R234" s="14" t="str">
        <f t="shared" si="41"/>
        <v>No Override</v>
      </c>
      <c r="S234" s="14">
        <f t="shared" si="42"/>
        <v>4</v>
      </c>
      <c r="T234" s="14" t="str">
        <f t="shared" si="43"/>
        <v/>
      </c>
    </row>
    <row r="235" spans="1:20" ht="22.8" x14ac:dyDescent="0.3">
      <c r="A235" s="224">
        <v>4</v>
      </c>
      <c r="C235" s="14">
        <f t="shared" si="36"/>
        <v>4</v>
      </c>
      <c r="D235" s="14" t="s">
        <v>1139</v>
      </c>
      <c r="E235" s="58" t="s">
        <v>957</v>
      </c>
      <c r="F235" s="82" t="s">
        <v>953</v>
      </c>
      <c r="G235" s="170" t="s">
        <v>958</v>
      </c>
      <c r="H235" s="170" t="str">
        <f>'15. System Acquisition'!$L9</f>
        <v>Comment is required</v>
      </c>
      <c r="I235" s="14">
        <f>'15. System Acquisition'!$K9</f>
        <v>0</v>
      </c>
      <c r="J235" s="14" t="str">
        <f>IF($I235="Yes","Adequate",IF($I235="No","Inadequate",IF($I235="Partial","Inadequate",IF(AND($I235="N/A",$I234="Yes",$I233="Yes"),"Adequate",IF(AND($I235="N/A",OR(NOT($I234="Yes"),NOT($I233="Yes"))),"Inadequate",IF(OR($I235="",$I235=0),"Blank","Error"))))))</f>
        <v>Blank</v>
      </c>
      <c r="K235" s="155" t="s">
        <v>1131</v>
      </c>
      <c r="L235" s="14" t="str">
        <f t="shared" si="35"/>
        <v>Blank</v>
      </c>
      <c r="N235" s="14" t="str">
        <f t="shared" si="37"/>
        <v/>
      </c>
      <c r="O235" s="14" t="str">
        <f t="shared" si="38"/>
        <v/>
      </c>
      <c r="P235" s="14" t="str">
        <f t="shared" si="39"/>
        <v>Comment is required</v>
      </c>
      <c r="Q235" s="14" t="str">
        <f t="shared" si="40"/>
        <v>Blank</v>
      </c>
      <c r="R235" s="14" t="str">
        <f t="shared" si="41"/>
        <v>No Override</v>
      </c>
      <c r="S235" s="14">
        <f t="shared" si="42"/>
        <v>4</v>
      </c>
      <c r="T235" s="14" t="str">
        <f t="shared" si="43"/>
        <v/>
      </c>
    </row>
    <row r="236" spans="1:20" x14ac:dyDescent="0.3">
      <c r="A236" s="224">
        <v>4</v>
      </c>
      <c r="C236" s="14">
        <f t="shared" si="36"/>
        <v>4</v>
      </c>
      <c r="D236" s="14" t="s">
        <v>1139</v>
      </c>
      <c r="E236" s="58" t="s">
        <v>959</v>
      </c>
      <c r="F236" s="82" t="s">
        <v>953</v>
      </c>
      <c r="G236" s="170" t="s">
        <v>960</v>
      </c>
      <c r="H236" s="170" t="str">
        <f>'15. System Acquisition'!$L10</f>
        <v>Comment is required</v>
      </c>
      <c r="I236" s="14">
        <f>'15. System Acquisition'!$K10</f>
        <v>0</v>
      </c>
      <c r="J236" s="14" t="str">
        <f>IF($I236="Yes","Adequate",IF($I236="No","Inadequate",IF($I236="Partial","Inadequate",IF(AND($I236="N/A",$I234="No",$I233="No"),"Adequate",IF(AND($I236="N/A",OR(NOT($I234="No"),NOT($I233="No"))),"Inadequate",IF(OR($I236="",$I236=0),"Blank","Error"))))))</f>
        <v>Blank</v>
      </c>
      <c r="K236" s="155" t="s">
        <v>1131</v>
      </c>
      <c r="L236" s="14" t="str">
        <f t="shared" si="35"/>
        <v>Blank</v>
      </c>
      <c r="N236" s="14" t="str">
        <f t="shared" si="37"/>
        <v/>
      </c>
      <c r="O236" s="14" t="str">
        <f t="shared" si="38"/>
        <v/>
      </c>
      <c r="P236" s="14" t="str">
        <f t="shared" si="39"/>
        <v>Comment is required</v>
      </c>
      <c r="Q236" s="14" t="str">
        <f t="shared" si="40"/>
        <v>Blank</v>
      </c>
      <c r="R236" s="14" t="str">
        <f t="shared" si="41"/>
        <v>No Override</v>
      </c>
      <c r="S236" s="14">
        <f t="shared" si="42"/>
        <v>4</v>
      </c>
      <c r="T236" s="14" t="str">
        <f t="shared" si="43"/>
        <v/>
      </c>
    </row>
    <row r="237" spans="1:20" ht="22.8" x14ac:dyDescent="0.3">
      <c r="A237" s="224">
        <v>4</v>
      </c>
      <c r="C237" s="14">
        <f t="shared" si="36"/>
        <v>4</v>
      </c>
      <c r="D237" s="14" t="s">
        <v>1139</v>
      </c>
      <c r="E237" s="58" t="s">
        <v>961</v>
      </c>
      <c r="F237" s="82" t="s">
        <v>963</v>
      </c>
      <c r="G237" s="176" t="s">
        <v>964</v>
      </c>
      <c r="H237" s="170" t="str">
        <f>'15. System Acquisition'!$L11</f>
        <v>Comment is required</v>
      </c>
      <c r="I237" s="14">
        <f>'15. System Acquisition'!$K11</f>
        <v>0</v>
      </c>
      <c r="J237" s="14" t="str">
        <f t="shared" si="44"/>
        <v>Blank</v>
      </c>
      <c r="K237" s="155" t="s">
        <v>1131</v>
      </c>
      <c r="L237" s="14" t="str">
        <f t="shared" si="35"/>
        <v>Blank</v>
      </c>
      <c r="N237" s="14" t="str">
        <f t="shared" si="37"/>
        <v/>
      </c>
      <c r="O237" s="14" t="str">
        <f t="shared" si="38"/>
        <v/>
      </c>
      <c r="P237" s="14" t="str">
        <f t="shared" si="39"/>
        <v>Comment is required</v>
      </c>
      <c r="Q237" s="14" t="str">
        <f t="shared" si="40"/>
        <v>Blank</v>
      </c>
      <c r="R237" s="14" t="str">
        <f t="shared" si="41"/>
        <v>No Override</v>
      </c>
      <c r="S237" s="14">
        <f t="shared" si="42"/>
        <v>4</v>
      </c>
      <c r="T237" s="14" t="str">
        <f t="shared" si="43"/>
        <v/>
      </c>
    </row>
    <row r="238" spans="1:20" ht="34.200000000000003" x14ac:dyDescent="0.3">
      <c r="A238" s="224">
        <v>2</v>
      </c>
      <c r="C238" s="14">
        <f t="shared" si="36"/>
        <v>2</v>
      </c>
      <c r="D238" s="14" t="s">
        <v>1139</v>
      </c>
      <c r="E238" s="58" t="s">
        <v>965</v>
      </c>
      <c r="F238" s="82" t="s">
        <v>968</v>
      </c>
      <c r="G238" s="176" t="s">
        <v>969</v>
      </c>
      <c r="H238" s="170" t="str">
        <f>'15. System Acquisition'!$L12</f>
        <v>Comment is required</v>
      </c>
      <c r="I238" s="14">
        <f>'15. System Acquisition'!$K12</f>
        <v>0</v>
      </c>
      <c r="J238" s="14" t="str">
        <f t="shared" si="44"/>
        <v>Blank</v>
      </c>
      <c r="K238" s="155" t="s">
        <v>1131</v>
      </c>
      <c r="L238" s="14" t="str">
        <f t="shared" si="35"/>
        <v>Blank</v>
      </c>
      <c r="N238" s="14" t="str">
        <f t="shared" si="37"/>
        <v/>
      </c>
      <c r="O238" s="14" t="str">
        <f t="shared" si="38"/>
        <v/>
      </c>
      <c r="P238" s="14" t="str">
        <f t="shared" si="39"/>
        <v>Comment is required</v>
      </c>
      <c r="Q238" s="14" t="str">
        <f t="shared" si="40"/>
        <v>Blank</v>
      </c>
      <c r="R238" s="14" t="str">
        <f t="shared" si="41"/>
        <v>No Override</v>
      </c>
      <c r="S238" s="14">
        <f t="shared" si="42"/>
        <v>2</v>
      </c>
      <c r="T238" s="14" t="str">
        <f t="shared" si="43"/>
        <v/>
      </c>
    </row>
    <row r="239" spans="1:20" ht="34.200000000000003" x14ac:dyDescent="0.3">
      <c r="A239" s="224">
        <v>4</v>
      </c>
      <c r="C239" s="14">
        <f t="shared" si="36"/>
        <v>4</v>
      </c>
      <c r="D239" s="14" t="s">
        <v>1139</v>
      </c>
      <c r="E239" s="58" t="s">
        <v>970</v>
      </c>
      <c r="F239" s="82" t="s">
        <v>972</v>
      </c>
      <c r="G239" s="176" t="s">
        <v>973</v>
      </c>
      <c r="H239" s="170" t="str">
        <f>'15. System Acquisition'!$L13</f>
        <v>Comment is required</v>
      </c>
      <c r="I239" s="14">
        <f>'15. System Acquisition'!$K13</f>
        <v>0</v>
      </c>
      <c r="J239" s="14" t="str">
        <f t="shared" si="44"/>
        <v>Blank</v>
      </c>
      <c r="K239" s="155" t="s">
        <v>1131</v>
      </c>
      <c r="L239" s="14" t="str">
        <f t="shared" si="35"/>
        <v>Blank</v>
      </c>
      <c r="N239" s="14" t="str">
        <f t="shared" si="37"/>
        <v/>
      </c>
      <c r="O239" s="14" t="str">
        <f t="shared" si="38"/>
        <v/>
      </c>
      <c r="P239" s="14" t="str">
        <f t="shared" si="39"/>
        <v>Comment is required</v>
      </c>
      <c r="Q239" s="14" t="str">
        <f t="shared" si="40"/>
        <v>Blank</v>
      </c>
      <c r="R239" s="14" t="str">
        <f t="shared" si="41"/>
        <v>No Override</v>
      </c>
      <c r="S239" s="14">
        <f t="shared" si="42"/>
        <v>4</v>
      </c>
      <c r="T239" s="14" t="str">
        <f t="shared" si="43"/>
        <v/>
      </c>
    </row>
    <row r="240" spans="1:20" ht="34.200000000000003" x14ac:dyDescent="0.3">
      <c r="A240" s="224">
        <v>2</v>
      </c>
      <c r="C240" s="14">
        <f t="shared" si="36"/>
        <v>2</v>
      </c>
      <c r="D240" s="14" t="s">
        <v>1139</v>
      </c>
      <c r="E240" s="58" t="s">
        <v>974</v>
      </c>
      <c r="F240" s="82" t="s">
        <v>976</v>
      </c>
      <c r="G240" s="176" t="s">
        <v>977</v>
      </c>
      <c r="H240" s="170" t="str">
        <f>'15. System Acquisition'!$L14</f>
        <v>Comment is required</v>
      </c>
      <c r="I240" s="14">
        <f>'15. System Acquisition'!$K14</f>
        <v>0</v>
      </c>
      <c r="J240" s="14" t="str">
        <f t="shared" si="44"/>
        <v>Blank</v>
      </c>
      <c r="K240" s="155" t="s">
        <v>1131</v>
      </c>
      <c r="L240" s="14" t="str">
        <f t="shared" si="35"/>
        <v>Blank</v>
      </c>
      <c r="N240" s="14" t="str">
        <f t="shared" si="37"/>
        <v/>
      </c>
      <c r="O240" s="14" t="str">
        <f t="shared" si="38"/>
        <v/>
      </c>
      <c r="P240" s="14" t="str">
        <f t="shared" si="39"/>
        <v>Comment is required</v>
      </c>
      <c r="Q240" s="14" t="str">
        <f t="shared" si="40"/>
        <v>Blank</v>
      </c>
      <c r="R240" s="14" t="str">
        <f t="shared" si="41"/>
        <v>No Override</v>
      </c>
      <c r="S240" s="14">
        <f t="shared" si="42"/>
        <v>2</v>
      </c>
      <c r="T240" s="14" t="str">
        <f t="shared" si="43"/>
        <v/>
      </c>
    </row>
    <row r="241" spans="1:20" ht="34.200000000000003" x14ac:dyDescent="0.3">
      <c r="A241" s="224">
        <v>1</v>
      </c>
      <c r="C241" s="14">
        <f t="shared" si="36"/>
        <v>1</v>
      </c>
      <c r="D241" s="14" t="s">
        <v>1139</v>
      </c>
      <c r="E241" s="58" t="s">
        <v>1334</v>
      </c>
      <c r="F241" s="58" t="s">
        <v>1287</v>
      </c>
      <c r="G241" s="191" t="s">
        <v>1333</v>
      </c>
      <c r="H241" s="170" t="str">
        <f>'15. System Acquisition'!$L15</f>
        <v>Comment is required</v>
      </c>
      <c r="I241" s="14">
        <f>'15. System Acquisition'!$K15</f>
        <v>0</v>
      </c>
      <c r="J241" s="14" t="str">
        <f t="shared" si="44"/>
        <v>Blank</v>
      </c>
      <c r="K241" s="155" t="s">
        <v>1131</v>
      </c>
      <c r="L241" s="14" t="str">
        <f t="shared" si="35"/>
        <v>Blank</v>
      </c>
    </row>
    <row r="242" spans="1:20" ht="22.8" x14ac:dyDescent="0.3">
      <c r="A242" s="224">
        <v>4</v>
      </c>
      <c r="C242" s="14">
        <f t="shared" si="36"/>
        <v>4</v>
      </c>
      <c r="D242" s="14" t="s">
        <v>1140</v>
      </c>
      <c r="E242" s="58" t="s">
        <v>979</v>
      </c>
      <c r="F242" s="82" t="s">
        <v>981</v>
      </c>
      <c r="G242" s="170" t="s">
        <v>982</v>
      </c>
      <c r="H242" s="170" t="str">
        <f>'16. System Data Protection'!$L3</f>
        <v>Comment is required</v>
      </c>
      <c r="I242" s="14">
        <f>'16. System Data Protection'!$K3</f>
        <v>0</v>
      </c>
      <c r="J242" s="14" t="str">
        <f t="shared" si="44"/>
        <v>Blank</v>
      </c>
      <c r="K242" s="155" t="s">
        <v>1131</v>
      </c>
      <c r="L242" s="14" t="str">
        <f t="shared" si="35"/>
        <v>Blank</v>
      </c>
      <c r="N242" s="14" t="str">
        <f t="shared" si="37"/>
        <v/>
      </c>
      <c r="O242" s="14" t="str">
        <f t="shared" si="38"/>
        <v/>
      </c>
      <c r="P242" s="14" t="str">
        <f t="shared" si="39"/>
        <v>Comment is required</v>
      </c>
      <c r="Q242" s="14" t="str">
        <f t="shared" si="40"/>
        <v>Blank</v>
      </c>
      <c r="R242" s="14" t="str">
        <f t="shared" si="41"/>
        <v>No Override</v>
      </c>
      <c r="S242" s="14">
        <f t="shared" si="42"/>
        <v>4</v>
      </c>
      <c r="T242" s="14" t="str">
        <f t="shared" si="43"/>
        <v/>
      </c>
    </row>
    <row r="243" spans="1:20" ht="22.8" x14ac:dyDescent="0.3">
      <c r="A243" s="224">
        <v>4</v>
      </c>
      <c r="C243" s="14">
        <f t="shared" si="36"/>
        <v>4</v>
      </c>
      <c r="D243" s="14" t="s">
        <v>1140</v>
      </c>
      <c r="E243" s="58" t="s">
        <v>983</v>
      </c>
      <c r="F243" s="82" t="s">
        <v>985</v>
      </c>
      <c r="G243" s="170" t="s">
        <v>986</v>
      </c>
      <c r="H243" s="170" t="str">
        <f>'16. System Data Protection'!$L4</f>
        <v>Comment is required</v>
      </c>
      <c r="I243" s="14">
        <f>'16. System Data Protection'!$K4</f>
        <v>0</v>
      </c>
      <c r="J243" s="14" t="str">
        <f t="shared" si="44"/>
        <v>Blank</v>
      </c>
      <c r="K243" s="155" t="s">
        <v>1131</v>
      </c>
      <c r="L243" s="14" t="str">
        <f t="shared" si="35"/>
        <v>Blank</v>
      </c>
      <c r="N243" s="14" t="str">
        <f t="shared" si="37"/>
        <v/>
      </c>
      <c r="O243" s="14" t="str">
        <f t="shared" si="38"/>
        <v/>
      </c>
      <c r="P243" s="14" t="str">
        <f t="shared" si="39"/>
        <v>Comment is required</v>
      </c>
      <c r="Q243" s="14" t="str">
        <f t="shared" si="40"/>
        <v>Blank</v>
      </c>
      <c r="R243" s="14" t="str">
        <f t="shared" si="41"/>
        <v>No Override</v>
      </c>
      <c r="S243" s="14">
        <f t="shared" si="42"/>
        <v>4</v>
      </c>
      <c r="T243" s="14" t="str">
        <f t="shared" si="43"/>
        <v/>
      </c>
    </row>
    <row r="244" spans="1:20" ht="22.8" x14ac:dyDescent="0.3">
      <c r="A244" s="224">
        <v>4</v>
      </c>
      <c r="C244" s="14">
        <f t="shared" si="36"/>
        <v>4</v>
      </c>
      <c r="D244" s="14" t="s">
        <v>1140</v>
      </c>
      <c r="E244" s="58" t="s">
        <v>987</v>
      </c>
      <c r="F244" s="82" t="s">
        <v>989</v>
      </c>
      <c r="G244" s="170" t="s">
        <v>990</v>
      </c>
      <c r="H244" s="170" t="str">
        <f>'16. System Data Protection'!$L5</f>
        <v>Comment is required</v>
      </c>
      <c r="I244" s="14">
        <f>'16. System Data Protection'!$K5</f>
        <v>0</v>
      </c>
      <c r="J244" s="14" t="str">
        <f t="shared" si="44"/>
        <v>Blank</v>
      </c>
      <c r="K244" s="155" t="s">
        <v>1131</v>
      </c>
      <c r="L244" s="14" t="str">
        <f t="shared" si="35"/>
        <v>Blank</v>
      </c>
      <c r="N244" s="14" t="str">
        <f t="shared" si="37"/>
        <v/>
      </c>
      <c r="O244" s="14" t="str">
        <f t="shared" si="38"/>
        <v/>
      </c>
      <c r="P244" s="14" t="str">
        <f t="shared" si="39"/>
        <v>Comment is required</v>
      </c>
      <c r="Q244" s="14" t="str">
        <f t="shared" si="40"/>
        <v>Blank</v>
      </c>
      <c r="R244" s="14" t="str">
        <f t="shared" si="41"/>
        <v>No Override</v>
      </c>
      <c r="S244" s="14">
        <f t="shared" si="42"/>
        <v>4</v>
      </c>
      <c r="T244" s="14" t="str">
        <f t="shared" si="43"/>
        <v/>
      </c>
    </row>
    <row r="245" spans="1:20" x14ac:dyDescent="0.3">
      <c r="A245" s="224">
        <v>4</v>
      </c>
      <c r="C245" s="14">
        <f t="shared" si="36"/>
        <v>4</v>
      </c>
      <c r="D245" s="14" t="s">
        <v>1140</v>
      </c>
      <c r="E245" s="58" t="s">
        <v>991</v>
      </c>
      <c r="F245" s="82" t="s">
        <v>993</v>
      </c>
      <c r="G245" s="176" t="s">
        <v>994</v>
      </c>
      <c r="H245" s="170" t="str">
        <f>'16. System Data Protection'!$L6</f>
        <v>Comment is required</v>
      </c>
      <c r="I245" s="14">
        <f>'16. System Data Protection'!$K6</f>
        <v>0</v>
      </c>
      <c r="J245" s="14" t="str">
        <f t="shared" si="44"/>
        <v>Blank</v>
      </c>
      <c r="K245" s="155" t="s">
        <v>1131</v>
      </c>
      <c r="L245" s="14" t="str">
        <f t="shared" si="35"/>
        <v>Blank</v>
      </c>
      <c r="N245" s="14" t="str">
        <f t="shared" si="37"/>
        <v/>
      </c>
      <c r="O245" s="14" t="str">
        <f t="shared" si="38"/>
        <v/>
      </c>
      <c r="P245" s="14" t="str">
        <f t="shared" si="39"/>
        <v>Comment is required</v>
      </c>
      <c r="Q245" s="14" t="str">
        <f t="shared" si="40"/>
        <v>Blank</v>
      </c>
      <c r="R245" s="14" t="str">
        <f t="shared" si="41"/>
        <v>No Override</v>
      </c>
      <c r="S245" s="14">
        <f t="shared" si="42"/>
        <v>4</v>
      </c>
      <c r="T245" s="14" t="str">
        <f t="shared" si="43"/>
        <v/>
      </c>
    </row>
    <row r="246" spans="1:20" x14ac:dyDescent="0.3">
      <c r="A246" s="224">
        <v>4</v>
      </c>
      <c r="C246" s="14">
        <f t="shared" si="36"/>
        <v>4</v>
      </c>
      <c r="D246" s="14" t="s">
        <v>1140</v>
      </c>
      <c r="E246" s="58" t="s">
        <v>995</v>
      </c>
      <c r="F246" s="82" t="s">
        <v>997</v>
      </c>
      <c r="G246" s="170" t="s">
        <v>998</v>
      </c>
      <c r="H246" s="170" t="str">
        <f>'16. System Data Protection'!$L7</f>
        <v>Comment is required</v>
      </c>
      <c r="I246" s="14">
        <f>'16. System Data Protection'!$K7</f>
        <v>0</v>
      </c>
      <c r="J246" s="14" t="str">
        <f t="shared" si="44"/>
        <v>Blank</v>
      </c>
      <c r="K246" s="155" t="s">
        <v>1131</v>
      </c>
      <c r="L246" s="14" t="str">
        <f t="shared" si="35"/>
        <v>Blank</v>
      </c>
      <c r="N246" s="14" t="str">
        <f t="shared" si="37"/>
        <v/>
      </c>
      <c r="O246" s="14" t="str">
        <f t="shared" si="38"/>
        <v/>
      </c>
      <c r="P246" s="14" t="str">
        <f t="shared" si="39"/>
        <v>Comment is required</v>
      </c>
      <c r="Q246" s="14" t="str">
        <f t="shared" si="40"/>
        <v>Blank</v>
      </c>
      <c r="R246" s="14" t="str">
        <f t="shared" si="41"/>
        <v>No Override</v>
      </c>
      <c r="S246" s="14">
        <f t="shared" si="42"/>
        <v>4</v>
      </c>
      <c r="T246" s="14" t="str">
        <f t="shared" si="43"/>
        <v/>
      </c>
    </row>
    <row r="247" spans="1:20" ht="22.8" x14ac:dyDescent="0.3">
      <c r="A247" s="224">
        <v>3</v>
      </c>
      <c r="C247" s="14">
        <f t="shared" si="36"/>
        <v>3</v>
      </c>
      <c r="D247" s="14" t="s">
        <v>1140</v>
      </c>
      <c r="E247" s="58" t="s">
        <v>999</v>
      </c>
      <c r="F247" s="82" t="s">
        <v>1001</v>
      </c>
      <c r="G247" s="176" t="s">
        <v>1002</v>
      </c>
      <c r="H247" s="170" t="str">
        <f>'16. System Data Protection'!$L8</f>
        <v>Comment is required</v>
      </c>
      <c r="I247" s="14">
        <f>'16. System Data Protection'!$K8</f>
        <v>0</v>
      </c>
      <c r="J247" s="14" t="str">
        <f t="shared" si="44"/>
        <v>Blank</v>
      </c>
      <c r="K247" s="155" t="s">
        <v>1131</v>
      </c>
      <c r="L247" s="14" t="str">
        <f t="shared" si="35"/>
        <v>Blank</v>
      </c>
      <c r="N247" s="14" t="str">
        <f t="shared" si="37"/>
        <v/>
      </c>
      <c r="O247" s="14" t="str">
        <f t="shared" si="38"/>
        <v/>
      </c>
      <c r="P247" s="14" t="str">
        <f t="shared" si="39"/>
        <v>Comment is required</v>
      </c>
      <c r="Q247" s="14" t="str">
        <f t="shared" si="40"/>
        <v>Blank</v>
      </c>
      <c r="R247" s="14" t="str">
        <f t="shared" si="41"/>
        <v>No Override</v>
      </c>
      <c r="S247" s="14">
        <f t="shared" si="42"/>
        <v>3</v>
      </c>
      <c r="T247" s="14" t="str">
        <f t="shared" si="43"/>
        <v/>
      </c>
    </row>
    <row r="248" spans="1:20" ht="22.8" x14ac:dyDescent="0.3">
      <c r="A248" s="224">
        <v>3</v>
      </c>
      <c r="C248" s="14">
        <f t="shared" si="36"/>
        <v>3</v>
      </c>
      <c r="D248" s="14" t="s">
        <v>1140</v>
      </c>
      <c r="E248" s="58" t="s">
        <v>1003</v>
      </c>
      <c r="F248" s="82" t="s">
        <v>1001</v>
      </c>
      <c r="G248" s="176" t="s">
        <v>1004</v>
      </c>
      <c r="H248" s="170" t="str">
        <f>'16. System Data Protection'!$L9</f>
        <v>Comment is required</v>
      </c>
      <c r="I248" s="14">
        <f>'16. System Data Protection'!$K9</f>
        <v>0</v>
      </c>
      <c r="J248" s="14" t="str">
        <f t="shared" si="44"/>
        <v>Blank</v>
      </c>
      <c r="K248" s="155" t="s">
        <v>1131</v>
      </c>
      <c r="L248" s="14" t="str">
        <f t="shared" si="35"/>
        <v>Blank</v>
      </c>
      <c r="N248" s="14" t="str">
        <f t="shared" si="37"/>
        <v/>
      </c>
      <c r="O248" s="14" t="str">
        <f t="shared" si="38"/>
        <v/>
      </c>
      <c r="P248" s="14" t="str">
        <f t="shared" si="39"/>
        <v>Comment is required</v>
      </c>
      <c r="Q248" s="14" t="str">
        <f t="shared" si="40"/>
        <v>Blank</v>
      </c>
      <c r="R248" s="14" t="str">
        <f t="shared" si="41"/>
        <v>No Override</v>
      </c>
      <c r="S248" s="14">
        <f t="shared" si="42"/>
        <v>3</v>
      </c>
      <c r="T248" s="14" t="str">
        <f t="shared" si="43"/>
        <v/>
      </c>
    </row>
    <row r="249" spans="1:20" ht="22.8" x14ac:dyDescent="0.3">
      <c r="A249" s="224">
        <v>3</v>
      </c>
      <c r="C249" s="14">
        <f t="shared" si="36"/>
        <v>3</v>
      </c>
      <c r="D249" s="14" t="s">
        <v>1140</v>
      </c>
      <c r="E249" s="58" t="s">
        <v>1005</v>
      </c>
      <c r="F249" s="82" t="s">
        <v>1001</v>
      </c>
      <c r="G249" s="176" t="s">
        <v>1006</v>
      </c>
      <c r="H249" s="170" t="str">
        <f>'16. System Data Protection'!$L10</f>
        <v>Comment is required</v>
      </c>
      <c r="I249" s="14">
        <f>'16. System Data Protection'!$K10</f>
        <v>0</v>
      </c>
      <c r="J249" s="14" t="str">
        <f t="shared" si="44"/>
        <v>Blank</v>
      </c>
      <c r="K249" s="155" t="s">
        <v>1131</v>
      </c>
      <c r="L249" s="14" t="str">
        <f t="shared" si="35"/>
        <v>Blank</v>
      </c>
      <c r="N249" s="14" t="str">
        <f t="shared" si="37"/>
        <v/>
      </c>
      <c r="O249" s="14" t="str">
        <f t="shared" si="38"/>
        <v/>
      </c>
      <c r="P249" s="14" t="str">
        <f t="shared" si="39"/>
        <v>Comment is required</v>
      </c>
      <c r="Q249" s="14" t="str">
        <f t="shared" si="40"/>
        <v>Blank</v>
      </c>
      <c r="R249" s="14" t="str">
        <f t="shared" si="41"/>
        <v>No Override</v>
      </c>
      <c r="S249" s="14">
        <f t="shared" si="42"/>
        <v>3</v>
      </c>
      <c r="T249" s="14" t="str">
        <f t="shared" si="43"/>
        <v/>
      </c>
    </row>
    <row r="250" spans="1:20" ht="22.8" x14ac:dyDescent="0.3">
      <c r="A250" s="224">
        <v>3</v>
      </c>
      <c r="C250" s="14">
        <f t="shared" si="36"/>
        <v>3</v>
      </c>
      <c r="D250" s="14" t="s">
        <v>1140</v>
      </c>
      <c r="E250" s="58" t="s">
        <v>1007</v>
      </c>
      <c r="F250" s="82" t="s">
        <v>1001</v>
      </c>
      <c r="G250" s="176" t="s">
        <v>1008</v>
      </c>
      <c r="H250" s="170" t="str">
        <f>'16. System Data Protection'!$L11</f>
        <v>Comment is required</v>
      </c>
      <c r="I250" s="14">
        <f>'16. System Data Protection'!$K11</f>
        <v>0</v>
      </c>
      <c r="J250" s="14" t="str">
        <f t="shared" si="44"/>
        <v>Blank</v>
      </c>
      <c r="K250" s="155" t="s">
        <v>1131</v>
      </c>
      <c r="L250" s="14" t="str">
        <f t="shared" si="35"/>
        <v>Blank</v>
      </c>
      <c r="N250" s="14" t="str">
        <f t="shared" si="37"/>
        <v/>
      </c>
      <c r="O250" s="14" t="str">
        <f t="shared" si="38"/>
        <v/>
      </c>
      <c r="P250" s="14" t="str">
        <f t="shared" si="39"/>
        <v>Comment is required</v>
      </c>
      <c r="Q250" s="14" t="str">
        <f t="shared" si="40"/>
        <v>Blank</v>
      </c>
      <c r="R250" s="14" t="str">
        <f t="shared" si="41"/>
        <v>No Override</v>
      </c>
      <c r="S250" s="14">
        <f t="shared" si="42"/>
        <v>3</v>
      </c>
      <c r="T250" s="14" t="str">
        <f t="shared" si="43"/>
        <v/>
      </c>
    </row>
    <row r="251" spans="1:20" ht="22.8" x14ac:dyDescent="0.3">
      <c r="A251" s="224">
        <v>3</v>
      </c>
      <c r="C251" s="14">
        <f t="shared" si="36"/>
        <v>3</v>
      </c>
      <c r="D251" s="14" t="s">
        <v>1140</v>
      </c>
      <c r="E251" s="58" t="s">
        <v>1009</v>
      </c>
      <c r="F251" s="82" t="s">
        <v>1001</v>
      </c>
      <c r="G251" s="176" t="s">
        <v>1010</v>
      </c>
      <c r="H251" s="170" t="str">
        <f>'16. System Data Protection'!$L12</f>
        <v>Comment is required</v>
      </c>
      <c r="I251" s="14">
        <f>'16. System Data Protection'!$K12</f>
        <v>0</v>
      </c>
      <c r="J251" s="14" t="str">
        <f t="shared" si="44"/>
        <v>Blank</v>
      </c>
      <c r="K251" s="155" t="s">
        <v>1131</v>
      </c>
      <c r="L251" s="14" t="str">
        <f t="shared" si="35"/>
        <v>Blank</v>
      </c>
      <c r="N251" s="14" t="str">
        <f t="shared" si="37"/>
        <v/>
      </c>
      <c r="O251" s="14" t="str">
        <f t="shared" si="38"/>
        <v/>
      </c>
      <c r="P251" s="14" t="str">
        <f t="shared" si="39"/>
        <v>Comment is required</v>
      </c>
      <c r="Q251" s="14" t="str">
        <f t="shared" si="40"/>
        <v>Blank</v>
      </c>
      <c r="R251" s="14" t="str">
        <f t="shared" si="41"/>
        <v>No Override</v>
      </c>
      <c r="S251" s="14">
        <f t="shared" si="42"/>
        <v>3</v>
      </c>
      <c r="T251" s="14" t="str">
        <f t="shared" si="43"/>
        <v/>
      </c>
    </row>
    <row r="252" spans="1:20" ht="22.8" x14ac:dyDescent="0.3">
      <c r="A252" s="224">
        <v>1</v>
      </c>
      <c r="C252" s="14">
        <f t="shared" si="36"/>
        <v>1</v>
      </c>
      <c r="D252" s="14" t="s">
        <v>1140</v>
      </c>
      <c r="E252" s="62" t="s">
        <v>1011</v>
      </c>
      <c r="F252" s="82" t="s">
        <v>1014</v>
      </c>
      <c r="G252" s="176" t="s">
        <v>1336</v>
      </c>
      <c r="H252" s="170" t="str">
        <f>'16. System Data Protection'!$L13</f>
        <v>Comment is required</v>
      </c>
      <c r="I252" s="14">
        <f>'16. System Data Protection'!$K13</f>
        <v>0</v>
      </c>
      <c r="J252" s="14" t="str">
        <f t="shared" si="44"/>
        <v>Blank</v>
      </c>
      <c r="K252" s="155" t="s">
        <v>1131</v>
      </c>
      <c r="L252" s="14" t="str">
        <f t="shared" si="35"/>
        <v>Blank</v>
      </c>
      <c r="N252" s="14" t="str">
        <f t="shared" si="37"/>
        <v/>
      </c>
      <c r="O252" s="14" t="str">
        <f t="shared" si="38"/>
        <v/>
      </c>
      <c r="P252" s="14" t="str">
        <f t="shared" si="39"/>
        <v>Comment is required</v>
      </c>
      <c r="Q252" s="14" t="str">
        <f t="shared" si="40"/>
        <v>Blank</v>
      </c>
      <c r="R252" s="14" t="str">
        <f t="shared" si="41"/>
        <v>No Override</v>
      </c>
      <c r="S252" s="14">
        <f t="shared" si="42"/>
        <v>1</v>
      </c>
      <c r="T252" s="14" t="str">
        <f t="shared" si="43"/>
        <v/>
      </c>
    </row>
    <row r="253" spans="1:20" ht="22.8" x14ac:dyDescent="0.3">
      <c r="A253" s="224">
        <v>1</v>
      </c>
      <c r="C253" s="14">
        <f t="shared" si="36"/>
        <v>1</v>
      </c>
      <c r="D253" s="14" t="s">
        <v>1140</v>
      </c>
      <c r="E253" s="62" t="s">
        <v>1015</v>
      </c>
      <c r="F253" s="82" t="s">
        <v>1014</v>
      </c>
      <c r="G253" s="176" t="s">
        <v>1016</v>
      </c>
      <c r="H253" s="170" t="str">
        <f>'16. System Data Protection'!$L14</f>
        <v>Comment is required</v>
      </c>
      <c r="I253" s="14">
        <f>'16. System Data Protection'!$K14</f>
        <v>0</v>
      </c>
      <c r="J253" s="14" t="str">
        <f t="shared" si="44"/>
        <v>Blank</v>
      </c>
      <c r="K253" s="155" t="s">
        <v>1131</v>
      </c>
      <c r="L253" s="14" t="str">
        <f t="shared" si="35"/>
        <v>Blank</v>
      </c>
      <c r="N253" s="14" t="str">
        <f t="shared" si="37"/>
        <v/>
      </c>
      <c r="O253" s="14" t="str">
        <f t="shared" si="38"/>
        <v/>
      </c>
      <c r="P253" s="14" t="str">
        <f t="shared" si="39"/>
        <v>Comment is required</v>
      </c>
      <c r="Q253" s="14" t="str">
        <f t="shared" si="40"/>
        <v>Blank</v>
      </c>
      <c r="R253" s="14" t="str">
        <f t="shared" si="41"/>
        <v>No Override</v>
      </c>
      <c r="S253" s="14">
        <f t="shared" si="42"/>
        <v>1</v>
      </c>
      <c r="T253" s="14" t="str">
        <f t="shared" si="43"/>
        <v/>
      </c>
    </row>
    <row r="254" spans="1:20" ht="22.8" x14ac:dyDescent="0.3">
      <c r="A254" s="224">
        <v>4</v>
      </c>
      <c r="C254" s="14">
        <f t="shared" si="36"/>
        <v>4</v>
      </c>
      <c r="D254" s="14" t="s">
        <v>1140</v>
      </c>
      <c r="E254" s="58" t="s">
        <v>1017</v>
      </c>
      <c r="F254" s="82" t="s">
        <v>1019</v>
      </c>
      <c r="G254" s="176" t="s">
        <v>1020</v>
      </c>
      <c r="H254" s="170" t="str">
        <f>'16. System Data Protection'!$L15</f>
        <v>Comment is required</v>
      </c>
      <c r="I254" s="14">
        <f>'16. System Data Protection'!$K15</f>
        <v>0</v>
      </c>
      <c r="J254" s="14" t="str">
        <f t="shared" si="44"/>
        <v>Blank</v>
      </c>
      <c r="K254" s="155" t="s">
        <v>1131</v>
      </c>
      <c r="L254" s="14" t="str">
        <f t="shared" si="35"/>
        <v>Blank</v>
      </c>
      <c r="N254" s="14" t="str">
        <f t="shared" si="37"/>
        <v/>
      </c>
      <c r="O254" s="14" t="str">
        <f t="shared" si="38"/>
        <v/>
      </c>
      <c r="P254" s="14" t="str">
        <f t="shared" si="39"/>
        <v>Comment is required</v>
      </c>
      <c r="Q254" s="14" t="str">
        <f t="shared" si="40"/>
        <v>Blank</v>
      </c>
      <c r="R254" s="14" t="str">
        <f t="shared" si="41"/>
        <v>No Override</v>
      </c>
      <c r="S254" s="14">
        <f t="shared" si="42"/>
        <v>4</v>
      </c>
      <c r="T254" s="14" t="str">
        <f t="shared" si="43"/>
        <v/>
      </c>
    </row>
    <row r="255" spans="1:20" x14ac:dyDescent="0.3">
      <c r="A255" s="224">
        <v>4</v>
      </c>
      <c r="C255" s="14">
        <f t="shared" si="36"/>
        <v>4</v>
      </c>
      <c r="D255" s="14" t="s">
        <v>1140</v>
      </c>
      <c r="E255" s="58" t="s">
        <v>1021</v>
      </c>
      <c r="F255" s="82" t="s">
        <v>1024</v>
      </c>
      <c r="G255" s="176" t="s">
        <v>1025</v>
      </c>
      <c r="H255" s="170" t="str">
        <f>'16. System Data Protection'!$L16</f>
        <v>Comment is required</v>
      </c>
      <c r="I255" s="14">
        <f>'16. System Data Protection'!$K16</f>
        <v>0</v>
      </c>
      <c r="J255" s="14" t="str">
        <f t="shared" si="44"/>
        <v>Blank</v>
      </c>
      <c r="K255" s="155" t="s">
        <v>1131</v>
      </c>
      <c r="L255" s="14" t="str">
        <f t="shared" si="35"/>
        <v>Blank</v>
      </c>
      <c r="N255" s="14" t="str">
        <f t="shared" si="37"/>
        <v/>
      </c>
      <c r="O255" s="14" t="str">
        <f t="shared" si="38"/>
        <v/>
      </c>
      <c r="P255" s="14" t="str">
        <f t="shared" si="39"/>
        <v>Comment is required</v>
      </c>
      <c r="Q255" s="14" t="str">
        <f t="shared" si="40"/>
        <v>Blank</v>
      </c>
      <c r="R255" s="14" t="str">
        <f t="shared" si="41"/>
        <v>No Override</v>
      </c>
      <c r="S255" s="14">
        <f t="shared" si="42"/>
        <v>4</v>
      </c>
      <c r="T255" s="14" t="str">
        <f t="shared" si="43"/>
        <v/>
      </c>
    </row>
    <row r="256" spans="1:20" ht="22.8" x14ac:dyDescent="0.3">
      <c r="A256" s="224">
        <v>4</v>
      </c>
      <c r="C256" s="14">
        <f t="shared" si="36"/>
        <v>4</v>
      </c>
      <c r="D256" s="14" t="s">
        <v>1140</v>
      </c>
      <c r="E256" s="58" t="s">
        <v>1026</v>
      </c>
      <c r="F256" s="82" t="s">
        <v>1028</v>
      </c>
      <c r="G256" s="176" t="s">
        <v>1338</v>
      </c>
      <c r="H256" s="170" t="str">
        <f>'16. System Data Protection'!$L17</f>
        <v>Comment is required</v>
      </c>
      <c r="I256" s="14">
        <f>'16. System Data Protection'!$K17</f>
        <v>0</v>
      </c>
      <c r="J256" s="14" t="str">
        <f t="shared" si="44"/>
        <v>Blank</v>
      </c>
      <c r="K256" s="155" t="s">
        <v>1131</v>
      </c>
      <c r="L256" s="14" t="str">
        <f t="shared" si="35"/>
        <v>Blank</v>
      </c>
      <c r="N256" s="14" t="str">
        <f t="shared" si="37"/>
        <v/>
      </c>
      <c r="O256" s="14" t="str">
        <f t="shared" si="38"/>
        <v/>
      </c>
      <c r="P256" s="14" t="str">
        <f t="shared" si="39"/>
        <v>Comment is required</v>
      </c>
      <c r="Q256" s="14" t="str">
        <f t="shared" si="40"/>
        <v>Blank</v>
      </c>
      <c r="R256" s="14" t="str">
        <f t="shared" si="41"/>
        <v>No Override</v>
      </c>
      <c r="S256" s="14">
        <f t="shared" si="42"/>
        <v>4</v>
      </c>
      <c r="T256" s="14" t="str">
        <f t="shared" si="43"/>
        <v/>
      </c>
    </row>
    <row r="257" spans="1:20" ht="22.8" x14ac:dyDescent="0.3">
      <c r="A257" s="224">
        <v>4</v>
      </c>
      <c r="C257" s="14">
        <f t="shared" si="36"/>
        <v>4</v>
      </c>
      <c r="D257" s="14" t="s">
        <v>1140</v>
      </c>
      <c r="E257" s="58" t="s">
        <v>1029</v>
      </c>
      <c r="F257" s="82" t="s">
        <v>1031</v>
      </c>
      <c r="G257" s="176" t="s">
        <v>1032</v>
      </c>
      <c r="H257" s="170" t="str">
        <f>'16. System Data Protection'!$L18</f>
        <v>Comment is required</v>
      </c>
      <c r="I257" s="14">
        <f>'16. System Data Protection'!$K18</f>
        <v>0</v>
      </c>
      <c r="J257" s="48" t="str">
        <f>IF(AND($I257="Yes",$I258="Yes",$I259="Yes"),"Adequate",IF(AND($I257="Yes",OR(NOT($I258="Yes"),NOT($I259="Yes"))),"Inadequate",IF($I257="No","N/A",IF($I257="Partial","Inadequate",IF($I257="N/A","N/A",IF(OR($I257="",$I257=0),"Blank","Error"))))))</f>
        <v>Blank</v>
      </c>
      <c r="K257" s="155" t="s">
        <v>1131</v>
      </c>
      <c r="L257" s="14" t="str">
        <f t="shared" si="35"/>
        <v>Blank</v>
      </c>
      <c r="N257" s="14" t="str">
        <f t="shared" si="37"/>
        <v/>
      </c>
      <c r="O257" s="14" t="str">
        <f t="shared" si="38"/>
        <v/>
      </c>
      <c r="P257" s="14" t="str">
        <f t="shared" si="39"/>
        <v>Comment is required</v>
      </c>
      <c r="Q257" s="14" t="str">
        <f t="shared" si="40"/>
        <v>Blank</v>
      </c>
      <c r="R257" s="14" t="str">
        <f t="shared" si="41"/>
        <v>No Override</v>
      </c>
      <c r="S257" s="14">
        <f t="shared" si="42"/>
        <v>4</v>
      </c>
      <c r="T257" s="14" t="str">
        <f t="shared" si="43"/>
        <v/>
      </c>
    </row>
    <row r="258" spans="1:20" x14ac:dyDescent="0.3">
      <c r="A258" s="224">
        <v>2</v>
      </c>
      <c r="C258" s="14">
        <f t="shared" si="36"/>
        <v>2</v>
      </c>
      <c r="D258" s="14" t="s">
        <v>1140</v>
      </c>
      <c r="E258" s="58" t="s">
        <v>1033</v>
      </c>
      <c r="F258" s="82" t="s">
        <v>1031</v>
      </c>
      <c r="G258" s="176" t="s">
        <v>1034</v>
      </c>
      <c r="H258" s="170" t="str">
        <f>'16. System Data Protection'!$L19</f>
        <v>Comment is required</v>
      </c>
      <c r="I258" s="14">
        <f>'16. System Data Protection'!$K19</f>
        <v>0</v>
      </c>
      <c r="J258" s="60" t="str">
        <f>IF(OR($I257="N/A",$I257="No"),"N/A",IF($I258="Yes","Adequate",IF($I258="No","Inadequate",IF($I258="Partial","Inadequate",IF(AND($I258="N/A",NOT($I257="No"),NOT($I257="N/A")),"Inadequate",IF(OR($I258="",$I258=0),"Blank","Error"))))))</f>
        <v>Blank</v>
      </c>
      <c r="K258" s="155" t="s">
        <v>1131</v>
      </c>
      <c r="L258" s="14" t="str">
        <f t="shared" si="35"/>
        <v>Blank</v>
      </c>
      <c r="N258" s="14" t="str">
        <f t="shared" si="37"/>
        <v/>
      </c>
      <c r="O258" s="14" t="str">
        <f t="shared" si="38"/>
        <v/>
      </c>
      <c r="P258" s="14" t="str">
        <f t="shared" si="39"/>
        <v>Comment is required</v>
      </c>
      <c r="Q258" s="14" t="str">
        <f t="shared" si="40"/>
        <v>Blank</v>
      </c>
      <c r="R258" s="14" t="str">
        <f t="shared" si="41"/>
        <v>No Override</v>
      </c>
      <c r="S258" s="14">
        <f t="shared" si="42"/>
        <v>2</v>
      </c>
      <c r="T258" s="14" t="str">
        <f t="shared" si="43"/>
        <v/>
      </c>
    </row>
    <row r="259" spans="1:20" ht="22.8" x14ac:dyDescent="0.3">
      <c r="A259" s="224">
        <v>2</v>
      </c>
      <c r="C259" s="14">
        <f t="shared" si="36"/>
        <v>2</v>
      </c>
      <c r="D259" s="14" t="s">
        <v>1140</v>
      </c>
      <c r="E259" s="58" t="s">
        <v>1035</v>
      </c>
      <c r="F259" s="82" t="s">
        <v>1031</v>
      </c>
      <c r="G259" s="176" t="s">
        <v>1036</v>
      </c>
      <c r="H259" s="170" t="str">
        <f>'16. System Data Protection'!$L20</f>
        <v>Comment is required</v>
      </c>
      <c r="I259" s="14">
        <f>'16. System Data Protection'!$K20</f>
        <v>0</v>
      </c>
      <c r="J259" s="60" t="str">
        <f>IF(OR($I257="N/A",$I257="No"),"N/A",IF($I259="Yes","Adequate",IF($I259="No","Inadequate",IF($I259="Partial","Inadequate",IF(AND($I259="N/A",NOT($I257="No"),NOT($I257="N/A")),"Inadequate",IF(OR($I259="",$I259=0),"Blank","Error"))))))</f>
        <v>Blank</v>
      </c>
      <c r="K259" s="155" t="s">
        <v>1131</v>
      </c>
      <c r="L259" s="14" t="str">
        <f t="shared" si="35"/>
        <v>Blank</v>
      </c>
      <c r="N259" s="14" t="str">
        <f t="shared" si="37"/>
        <v/>
      </c>
      <c r="O259" s="14" t="str">
        <f t="shared" si="38"/>
        <v/>
      </c>
      <c r="P259" s="14" t="str">
        <f t="shared" si="39"/>
        <v>Comment is required</v>
      </c>
      <c r="Q259" s="14" t="str">
        <f t="shared" si="40"/>
        <v>Blank</v>
      </c>
      <c r="R259" s="14" t="str">
        <f t="shared" si="41"/>
        <v>No Override</v>
      </c>
      <c r="S259" s="14">
        <f t="shared" si="42"/>
        <v>2</v>
      </c>
      <c r="T259" s="14" t="str">
        <f t="shared" si="43"/>
        <v/>
      </c>
    </row>
    <row r="260" spans="1:20" ht="22.8" x14ac:dyDescent="0.3">
      <c r="A260" s="224">
        <v>2</v>
      </c>
      <c r="C260" s="14">
        <f t="shared" si="36"/>
        <v>2</v>
      </c>
      <c r="D260" s="14" t="s">
        <v>1140</v>
      </c>
      <c r="E260" s="58" t="s">
        <v>1037</v>
      </c>
      <c r="F260" s="82" t="s">
        <v>1039</v>
      </c>
      <c r="G260" s="176" t="s">
        <v>1040</v>
      </c>
      <c r="H260" s="170" t="str">
        <f>'16. System Data Protection'!$L21</f>
        <v>Comment is required</v>
      </c>
      <c r="I260" s="14">
        <f>'16. System Data Protection'!$K21</f>
        <v>0</v>
      </c>
      <c r="J260" s="14" t="str">
        <f t="shared" si="44"/>
        <v>Blank</v>
      </c>
      <c r="K260" s="155" t="s">
        <v>1131</v>
      </c>
      <c r="L260" s="14" t="str">
        <f t="shared" si="35"/>
        <v>Blank</v>
      </c>
      <c r="N260" s="14" t="str">
        <f t="shared" si="37"/>
        <v/>
      </c>
      <c r="O260" s="14" t="str">
        <f t="shared" si="38"/>
        <v/>
      </c>
      <c r="P260" s="14" t="str">
        <f t="shared" si="39"/>
        <v>Comment is required</v>
      </c>
      <c r="Q260" s="14" t="str">
        <f t="shared" si="40"/>
        <v>Blank</v>
      </c>
      <c r="R260" s="14" t="str">
        <f t="shared" si="41"/>
        <v>No Override</v>
      </c>
      <c r="S260" s="14">
        <f t="shared" si="42"/>
        <v>2</v>
      </c>
      <c r="T260" s="14" t="str">
        <f t="shared" si="43"/>
        <v/>
      </c>
    </row>
    <row r="261" spans="1:20" ht="34.200000000000003" x14ac:dyDescent="0.3">
      <c r="A261" s="224">
        <v>1</v>
      </c>
      <c r="C261" s="14">
        <f t="shared" si="36"/>
        <v>1</v>
      </c>
      <c r="D261" s="14" t="s">
        <v>1140</v>
      </c>
      <c r="E261" s="58" t="s">
        <v>1041</v>
      </c>
      <c r="F261" s="82" t="s">
        <v>1043</v>
      </c>
      <c r="G261" s="176" t="s">
        <v>1044</v>
      </c>
      <c r="H261" s="170" t="str">
        <f>'16. System Data Protection'!$L22</f>
        <v>Comment is required</v>
      </c>
      <c r="I261" s="14">
        <f>'16. System Data Protection'!$K22</f>
        <v>0</v>
      </c>
      <c r="J261" s="14" t="str">
        <f t="shared" si="44"/>
        <v>Blank</v>
      </c>
      <c r="K261" s="155" t="s">
        <v>1131</v>
      </c>
      <c r="L261" s="14" t="str">
        <f t="shared" si="35"/>
        <v>Blank</v>
      </c>
      <c r="N261" s="14" t="str">
        <f t="shared" si="37"/>
        <v/>
      </c>
      <c r="O261" s="14" t="str">
        <f t="shared" si="38"/>
        <v/>
      </c>
      <c r="P261" s="14" t="str">
        <f t="shared" si="39"/>
        <v>Comment is required</v>
      </c>
      <c r="Q261" s="14" t="str">
        <f t="shared" si="40"/>
        <v>Blank</v>
      </c>
      <c r="R261" s="14" t="str">
        <f t="shared" si="41"/>
        <v>No Override</v>
      </c>
      <c r="S261" s="14">
        <f t="shared" si="42"/>
        <v>1</v>
      </c>
      <c r="T261" s="14" t="str">
        <f t="shared" si="43"/>
        <v/>
      </c>
    </row>
    <row r="262" spans="1:20" ht="22.8" x14ac:dyDescent="0.3">
      <c r="A262" s="224">
        <v>4</v>
      </c>
      <c r="C262" s="14">
        <f t="shared" si="36"/>
        <v>4</v>
      </c>
      <c r="D262" s="14" t="s">
        <v>1140</v>
      </c>
      <c r="E262" s="58" t="s">
        <v>1045</v>
      </c>
      <c r="F262" s="82" t="s">
        <v>1047</v>
      </c>
      <c r="G262" s="176" t="s">
        <v>1048</v>
      </c>
      <c r="H262" s="170" t="str">
        <f>'16. System Data Protection'!$L23</f>
        <v>Comment is required</v>
      </c>
      <c r="I262" s="14">
        <f>'16. System Data Protection'!$K23</f>
        <v>0</v>
      </c>
      <c r="J262" s="14" t="str">
        <f t="shared" si="44"/>
        <v>Blank</v>
      </c>
      <c r="K262" s="155" t="s">
        <v>1131</v>
      </c>
      <c r="L262" s="14" t="str">
        <f t="shared" si="35"/>
        <v>Blank</v>
      </c>
      <c r="N262" s="14" t="str">
        <f t="shared" si="37"/>
        <v/>
      </c>
      <c r="O262" s="14" t="str">
        <f t="shared" si="38"/>
        <v/>
      </c>
      <c r="P262" s="14" t="str">
        <f t="shared" si="39"/>
        <v>Comment is required</v>
      </c>
      <c r="Q262" s="14" t="str">
        <f t="shared" si="40"/>
        <v>Blank</v>
      </c>
      <c r="R262" s="14" t="str">
        <f t="shared" si="41"/>
        <v>No Override</v>
      </c>
      <c r="S262" s="14">
        <f t="shared" si="42"/>
        <v>4</v>
      </c>
      <c r="T262" s="14" t="str">
        <f t="shared" si="43"/>
        <v/>
      </c>
    </row>
    <row r="263" spans="1:20" ht="22.8" x14ac:dyDescent="0.3">
      <c r="A263" s="224">
        <v>4</v>
      </c>
      <c r="C263" s="14">
        <f t="shared" si="36"/>
        <v>4</v>
      </c>
      <c r="D263" s="14" t="s">
        <v>1140</v>
      </c>
      <c r="E263" s="58" t="s">
        <v>1049</v>
      </c>
      <c r="F263" s="82" t="s">
        <v>1051</v>
      </c>
      <c r="G263" s="176" t="s">
        <v>1052</v>
      </c>
      <c r="H263" s="170" t="str">
        <f>'16. System Data Protection'!$L24</f>
        <v>Comment is required</v>
      </c>
      <c r="I263" s="14">
        <f>'16. System Data Protection'!$K24</f>
        <v>0</v>
      </c>
      <c r="J263" s="14" t="str">
        <f t="shared" si="44"/>
        <v>Blank</v>
      </c>
      <c r="K263" s="155" t="s">
        <v>1131</v>
      </c>
      <c r="L263" s="14" t="str">
        <f t="shared" si="35"/>
        <v>Blank</v>
      </c>
      <c r="N263" s="14" t="str">
        <f t="shared" si="37"/>
        <v/>
      </c>
      <c r="O263" s="14" t="str">
        <f t="shared" si="38"/>
        <v/>
      </c>
      <c r="P263" s="14" t="str">
        <f t="shared" si="39"/>
        <v>Comment is required</v>
      </c>
      <c r="Q263" s="14" t="str">
        <f t="shared" si="40"/>
        <v>Blank</v>
      </c>
      <c r="R263" s="14" t="str">
        <f t="shared" si="41"/>
        <v>No Override</v>
      </c>
      <c r="S263" s="14">
        <f t="shared" si="42"/>
        <v>4</v>
      </c>
      <c r="T263" s="14" t="str">
        <f t="shared" si="43"/>
        <v/>
      </c>
    </row>
    <row r="264" spans="1:20" ht="22.8" x14ac:dyDescent="0.3">
      <c r="A264" s="224">
        <v>4</v>
      </c>
      <c r="C264" s="14">
        <f t="shared" si="36"/>
        <v>4</v>
      </c>
      <c r="D264" s="14" t="s">
        <v>1140</v>
      </c>
      <c r="E264" s="58" t="s">
        <v>1053</v>
      </c>
      <c r="F264" s="82" t="s">
        <v>1055</v>
      </c>
      <c r="G264" s="176" t="s">
        <v>1056</v>
      </c>
      <c r="H264" s="170" t="str">
        <f>'16. System Data Protection'!$L25</f>
        <v>Comment is required</v>
      </c>
      <c r="I264" s="14">
        <f>'16. System Data Protection'!$K25</f>
        <v>0</v>
      </c>
      <c r="J264" s="14" t="str">
        <f t="shared" si="44"/>
        <v>Blank</v>
      </c>
      <c r="K264" s="155" t="s">
        <v>1131</v>
      </c>
      <c r="L264" s="14" t="str">
        <f t="shared" si="35"/>
        <v>Blank</v>
      </c>
      <c r="N264" s="14" t="str">
        <f t="shared" si="37"/>
        <v/>
      </c>
      <c r="O264" s="14" t="str">
        <f t="shared" si="38"/>
        <v/>
      </c>
      <c r="P264" s="14" t="str">
        <f t="shared" si="39"/>
        <v>Comment is required</v>
      </c>
      <c r="Q264" s="14" t="str">
        <f t="shared" si="40"/>
        <v>Blank</v>
      </c>
      <c r="R264" s="14" t="str">
        <f t="shared" si="41"/>
        <v>No Override</v>
      </c>
      <c r="S264" s="14">
        <f t="shared" si="42"/>
        <v>4</v>
      </c>
      <c r="T264" s="14" t="str">
        <f t="shared" si="43"/>
        <v/>
      </c>
    </row>
    <row r="265" spans="1:20" ht="22.8" x14ac:dyDescent="0.3">
      <c r="A265" s="224">
        <v>4</v>
      </c>
      <c r="C265" s="14">
        <f t="shared" si="36"/>
        <v>4</v>
      </c>
      <c r="D265" s="14" t="s">
        <v>1140</v>
      </c>
      <c r="E265" s="58" t="s">
        <v>1057</v>
      </c>
      <c r="F265" s="82" t="s">
        <v>1059</v>
      </c>
      <c r="G265" s="176" t="s">
        <v>1060</v>
      </c>
      <c r="H265" s="170" t="str">
        <f>'16. System Data Protection'!$L26</f>
        <v>Comment is required</v>
      </c>
      <c r="I265" s="14">
        <f>'16. System Data Protection'!$K26</f>
        <v>0</v>
      </c>
      <c r="J265" s="14" t="str">
        <f t="shared" si="44"/>
        <v>Blank</v>
      </c>
      <c r="K265" s="155" t="s">
        <v>1131</v>
      </c>
      <c r="L265" s="14" t="str">
        <f t="shared" si="35"/>
        <v>Blank</v>
      </c>
      <c r="N265" s="14" t="str">
        <f t="shared" si="37"/>
        <v/>
      </c>
      <c r="O265" s="14" t="str">
        <f t="shared" si="38"/>
        <v/>
      </c>
      <c r="P265" s="14" t="str">
        <f t="shared" si="39"/>
        <v>Comment is required</v>
      </c>
      <c r="Q265" s="14" t="str">
        <f t="shared" si="40"/>
        <v>Blank</v>
      </c>
      <c r="R265" s="14" t="str">
        <f t="shared" si="41"/>
        <v>No Override</v>
      </c>
      <c r="S265" s="14">
        <f t="shared" si="42"/>
        <v>4</v>
      </c>
      <c r="T265" s="14" t="str">
        <f t="shared" si="43"/>
        <v/>
      </c>
    </row>
    <row r="266" spans="1:20" x14ac:dyDescent="0.3">
      <c r="A266" s="224">
        <v>3</v>
      </c>
      <c r="C266" s="14">
        <f t="shared" si="36"/>
        <v>3</v>
      </c>
      <c r="D266" s="14" t="s">
        <v>1140</v>
      </c>
      <c r="E266" s="58" t="s">
        <v>1061</v>
      </c>
      <c r="F266" s="82" t="s">
        <v>1063</v>
      </c>
      <c r="G266" s="176" t="s">
        <v>1064</v>
      </c>
      <c r="H266" s="170" t="str">
        <f>'16. System Data Protection'!$L27</f>
        <v>Comment is required</v>
      </c>
      <c r="I266" s="14">
        <f>'16. System Data Protection'!$K27</f>
        <v>0</v>
      </c>
      <c r="J266" s="14" t="str">
        <f t="shared" si="44"/>
        <v>Blank</v>
      </c>
      <c r="K266" s="155" t="s">
        <v>1131</v>
      </c>
      <c r="L266" s="14" t="str">
        <f t="shared" si="35"/>
        <v>Blank</v>
      </c>
      <c r="N266" s="14" t="str">
        <f t="shared" si="37"/>
        <v/>
      </c>
      <c r="O266" s="14" t="str">
        <f t="shared" si="38"/>
        <v/>
      </c>
      <c r="P266" s="14" t="str">
        <f t="shared" si="39"/>
        <v>Comment is required</v>
      </c>
      <c r="Q266" s="14" t="str">
        <f t="shared" si="40"/>
        <v>Blank</v>
      </c>
      <c r="R266" s="14" t="str">
        <f t="shared" si="41"/>
        <v>No Override</v>
      </c>
      <c r="S266" s="14">
        <f t="shared" si="42"/>
        <v>3</v>
      </c>
      <c r="T266" s="14" t="str">
        <f t="shared" si="43"/>
        <v/>
      </c>
    </row>
    <row r="267" spans="1:20" ht="22.8" x14ac:dyDescent="0.3">
      <c r="A267" s="224">
        <v>1</v>
      </c>
      <c r="C267" s="14">
        <f t="shared" si="36"/>
        <v>1</v>
      </c>
      <c r="D267" s="14" t="s">
        <v>1140</v>
      </c>
      <c r="E267" s="58" t="s">
        <v>1065</v>
      </c>
      <c r="F267" s="82" t="s">
        <v>1067</v>
      </c>
      <c r="G267" s="176" t="s">
        <v>1339</v>
      </c>
      <c r="H267" s="170" t="str">
        <f>'16. System Data Protection'!$L28</f>
        <v>Comment is required</v>
      </c>
      <c r="I267" s="14">
        <f>'16. System Data Protection'!$K28</f>
        <v>0</v>
      </c>
      <c r="J267" s="14" t="str">
        <f t="shared" si="44"/>
        <v>Blank</v>
      </c>
      <c r="K267" s="155" t="s">
        <v>1131</v>
      </c>
      <c r="L267" s="14" t="str">
        <f t="shared" si="35"/>
        <v>Blank</v>
      </c>
      <c r="N267" s="14" t="str">
        <f t="shared" si="37"/>
        <v/>
      </c>
      <c r="O267" s="14" t="str">
        <f t="shared" si="38"/>
        <v/>
      </c>
      <c r="P267" s="14" t="str">
        <f t="shared" si="39"/>
        <v>Comment is required</v>
      </c>
      <c r="Q267" s="14" t="str">
        <f t="shared" si="40"/>
        <v>Blank</v>
      </c>
      <c r="R267" s="14" t="str">
        <f t="shared" si="41"/>
        <v>No Override</v>
      </c>
      <c r="S267" s="14">
        <f t="shared" si="42"/>
        <v>1</v>
      </c>
      <c r="T267" s="14" t="str">
        <f t="shared" si="43"/>
        <v/>
      </c>
    </row>
    <row r="268" spans="1:20" ht="22.8" x14ac:dyDescent="0.3">
      <c r="A268" s="224">
        <v>2</v>
      </c>
      <c r="C268" s="14">
        <f t="shared" si="36"/>
        <v>2</v>
      </c>
      <c r="D268" s="14" t="s">
        <v>1140</v>
      </c>
      <c r="E268" s="58" t="s">
        <v>1068</v>
      </c>
      <c r="F268" s="82" t="s">
        <v>1070</v>
      </c>
      <c r="G268" s="170" t="s">
        <v>1309</v>
      </c>
      <c r="H268" s="170" t="str">
        <f>'16. System Data Protection'!$L29</f>
        <v>Comment is required</v>
      </c>
      <c r="I268" s="14">
        <f>'16. System Data Protection'!$K29</f>
        <v>0</v>
      </c>
      <c r="J268" s="14" t="str">
        <f t="shared" si="44"/>
        <v>Blank</v>
      </c>
      <c r="K268" s="155" t="s">
        <v>1131</v>
      </c>
      <c r="L268" s="14" t="str">
        <f t="shared" si="35"/>
        <v>Blank</v>
      </c>
      <c r="N268" s="14" t="str">
        <f t="shared" si="37"/>
        <v/>
      </c>
      <c r="O268" s="14" t="str">
        <f t="shared" si="38"/>
        <v/>
      </c>
      <c r="P268" s="14" t="str">
        <f t="shared" si="39"/>
        <v>Comment is required</v>
      </c>
      <c r="Q268" s="14" t="str">
        <f t="shared" si="40"/>
        <v>Blank</v>
      </c>
      <c r="R268" s="14" t="str">
        <f t="shared" si="41"/>
        <v>No Override</v>
      </c>
      <c r="S268" s="14">
        <f t="shared" si="42"/>
        <v>2</v>
      </c>
      <c r="T268" s="14" t="str">
        <f t="shared" si="43"/>
        <v/>
      </c>
    </row>
    <row r="269" spans="1:20" ht="22.8" x14ac:dyDescent="0.3">
      <c r="A269" s="224">
        <v>4</v>
      </c>
      <c r="C269" s="14">
        <f t="shared" si="36"/>
        <v>4</v>
      </c>
      <c r="D269" s="14" t="s">
        <v>1141</v>
      </c>
      <c r="E269" s="58" t="s">
        <v>1072</v>
      </c>
      <c r="F269" s="82" t="s">
        <v>1075</v>
      </c>
      <c r="G269" s="170" t="s">
        <v>1076</v>
      </c>
      <c r="H269" s="176" t="str">
        <f>'17. System Data Integrity'!$L3</f>
        <v>Comment is required</v>
      </c>
      <c r="I269" s="14">
        <f>'17. System Data Integrity'!$K3</f>
        <v>0</v>
      </c>
      <c r="J269" s="14" t="str">
        <f t="shared" si="44"/>
        <v>Blank</v>
      </c>
      <c r="K269" s="155" t="s">
        <v>1131</v>
      </c>
      <c r="L269" s="14" t="str">
        <f t="shared" si="35"/>
        <v>Blank</v>
      </c>
      <c r="N269" s="14" t="str">
        <f t="shared" si="37"/>
        <v/>
      </c>
      <c r="O269" s="14" t="str">
        <f t="shared" si="38"/>
        <v/>
      </c>
      <c r="P269" s="14" t="str">
        <f t="shared" si="39"/>
        <v>Comment is required</v>
      </c>
      <c r="Q269" s="14" t="str">
        <f t="shared" si="40"/>
        <v>Blank</v>
      </c>
      <c r="R269" s="14" t="str">
        <f t="shared" si="41"/>
        <v>No Override</v>
      </c>
      <c r="S269" s="14">
        <f t="shared" si="42"/>
        <v>4</v>
      </c>
      <c r="T269" s="14" t="str">
        <f t="shared" si="43"/>
        <v/>
      </c>
    </row>
    <row r="270" spans="1:20" ht="22.8" x14ac:dyDescent="0.3">
      <c r="A270" s="224">
        <v>1</v>
      </c>
      <c r="C270" s="14">
        <f t="shared" si="36"/>
        <v>1</v>
      </c>
      <c r="D270" s="14" t="s">
        <v>1141</v>
      </c>
      <c r="E270" s="58" t="s">
        <v>199</v>
      </c>
      <c r="F270" s="82" t="s">
        <v>1078</v>
      </c>
      <c r="G270" s="176" t="s">
        <v>1079</v>
      </c>
      <c r="H270" s="176" t="str">
        <f>'17. System Data Integrity'!$L4</f>
        <v>Comment is required</v>
      </c>
      <c r="I270" s="14">
        <f>'17. System Data Integrity'!$K4</f>
        <v>0</v>
      </c>
      <c r="J270" s="14" t="str">
        <f t="shared" si="44"/>
        <v>Blank</v>
      </c>
      <c r="K270" s="155" t="s">
        <v>1131</v>
      </c>
      <c r="L270" s="14" t="str">
        <f t="shared" si="35"/>
        <v>Blank</v>
      </c>
      <c r="N270" s="14" t="str">
        <f t="shared" si="37"/>
        <v/>
      </c>
      <c r="O270" s="14" t="str">
        <f t="shared" si="38"/>
        <v/>
      </c>
      <c r="P270" s="14" t="str">
        <f t="shared" si="39"/>
        <v>Comment is required</v>
      </c>
      <c r="Q270" s="14" t="str">
        <f t="shared" si="40"/>
        <v>Blank</v>
      </c>
      <c r="R270" s="14" t="str">
        <f t="shared" si="41"/>
        <v>No Override</v>
      </c>
      <c r="S270" s="14">
        <f t="shared" si="42"/>
        <v>1</v>
      </c>
      <c r="T270" s="14" t="str">
        <f t="shared" si="43"/>
        <v/>
      </c>
    </row>
    <row r="271" spans="1:20" x14ac:dyDescent="0.3">
      <c r="A271" s="224">
        <v>1</v>
      </c>
      <c r="C271" s="14">
        <f t="shared" si="36"/>
        <v>1</v>
      </c>
      <c r="D271" s="14" t="s">
        <v>1141</v>
      </c>
      <c r="E271" s="58" t="s">
        <v>1080</v>
      </c>
      <c r="F271" s="82" t="s">
        <v>1078</v>
      </c>
      <c r="G271" s="176" t="s">
        <v>1081</v>
      </c>
      <c r="H271" s="176" t="str">
        <f>'17. System Data Integrity'!$L5</f>
        <v>Comment is required</v>
      </c>
      <c r="I271" s="14">
        <f>'17. System Data Integrity'!$K5</f>
        <v>0</v>
      </c>
      <c r="J271" s="14" t="str">
        <f t="shared" si="44"/>
        <v>Blank</v>
      </c>
      <c r="K271" s="155" t="s">
        <v>1131</v>
      </c>
      <c r="L271" s="14" t="str">
        <f t="shared" si="35"/>
        <v>Blank</v>
      </c>
      <c r="N271" s="14" t="str">
        <f t="shared" si="37"/>
        <v/>
      </c>
      <c r="O271" s="14" t="str">
        <f t="shared" si="38"/>
        <v/>
      </c>
      <c r="P271" s="14" t="str">
        <f t="shared" si="39"/>
        <v>Comment is required</v>
      </c>
      <c r="Q271" s="14" t="str">
        <f t="shared" si="40"/>
        <v>Blank</v>
      </c>
      <c r="R271" s="14" t="str">
        <f t="shared" si="41"/>
        <v>No Override</v>
      </c>
      <c r="S271" s="14">
        <f t="shared" si="42"/>
        <v>1</v>
      </c>
      <c r="T271" s="14" t="str">
        <f t="shared" si="43"/>
        <v/>
      </c>
    </row>
    <row r="272" spans="1:20" x14ac:dyDescent="0.3">
      <c r="A272" s="224">
        <v>1</v>
      </c>
      <c r="C272" s="14">
        <f t="shared" si="36"/>
        <v>1</v>
      </c>
      <c r="D272" s="14" t="s">
        <v>1141</v>
      </c>
      <c r="E272" s="58" t="s">
        <v>1082</v>
      </c>
      <c r="F272" s="82" t="s">
        <v>1078</v>
      </c>
      <c r="G272" s="176" t="s">
        <v>1083</v>
      </c>
      <c r="H272" s="176" t="str">
        <f>'17. System Data Integrity'!$L6</f>
        <v>Comment is required</v>
      </c>
      <c r="I272" s="14">
        <f>'17. System Data Integrity'!$K6</f>
        <v>0</v>
      </c>
      <c r="J272" s="14" t="str">
        <f t="shared" si="44"/>
        <v>Blank</v>
      </c>
      <c r="K272" s="155" t="s">
        <v>1131</v>
      </c>
      <c r="L272" s="14" t="str">
        <f t="shared" si="35"/>
        <v>Blank</v>
      </c>
      <c r="N272" s="14" t="str">
        <f t="shared" si="37"/>
        <v/>
      </c>
      <c r="O272" s="14" t="str">
        <f t="shared" si="38"/>
        <v/>
      </c>
      <c r="P272" s="14" t="str">
        <f t="shared" si="39"/>
        <v>Comment is required</v>
      </c>
      <c r="Q272" s="14" t="str">
        <f t="shared" si="40"/>
        <v>Blank</v>
      </c>
      <c r="R272" s="14" t="str">
        <f t="shared" si="41"/>
        <v>No Override</v>
      </c>
      <c r="S272" s="14">
        <f t="shared" si="42"/>
        <v>1</v>
      </c>
      <c r="T272" s="14" t="str">
        <f t="shared" si="43"/>
        <v/>
      </c>
    </row>
    <row r="273" spans="1:20" ht="22.8" x14ac:dyDescent="0.3">
      <c r="A273" s="224">
        <v>1</v>
      </c>
      <c r="C273" s="14">
        <f t="shared" si="36"/>
        <v>1</v>
      </c>
      <c r="D273" s="14" t="s">
        <v>1141</v>
      </c>
      <c r="E273" s="62" t="s">
        <v>1084</v>
      </c>
      <c r="F273" s="86" t="s">
        <v>1086</v>
      </c>
      <c r="G273" s="176" t="s">
        <v>1307</v>
      </c>
      <c r="H273" s="176" t="str">
        <f>'17. System Data Integrity'!$L7</f>
        <v>Comment is required</v>
      </c>
      <c r="I273" s="14">
        <f>'17. System Data Integrity'!$K7</f>
        <v>0</v>
      </c>
      <c r="J273" s="14" t="str">
        <f t="shared" si="44"/>
        <v>Blank</v>
      </c>
      <c r="K273" s="155" t="s">
        <v>1131</v>
      </c>
      <c r="L273" s="14" t="str">
        <f t="shared" si="35"/>
        <v>Blank</v>
      </c>
      <c r="N273" s="14" t="str">
        <f t="shared" si="37"/>
        <v/>
      </c>
      <c r="O273" s="14" t="str">
        <f t="shared" si="38"/>
        <v/>
      </c>
      <c r="P273" s="14" t="str">
        <f t="shared" si="39"/>
        <v>Comment is required</v>
      </c>
      <c r="Q273" s="14" t="str">
        <f t="shared" si="40"/>
        <v>Blank</v>
      </c>
      <c r="R273" s="14" t="str">
        <f t="shared" si="41"/>
        <v>No Override</v>
      </c>
      <c r="S273" s="14">
        <f t="shared" si="42"/>
        <v>1</v>
      </c>
      <c r="T273" s="14" t="str">
        <f t="shared" si="43"/>
        <v/>
      </c>
    </row>
    <row r="274" spans="1:20" x14ac:dyDescent="0.3">
      <c r="A274" s="224">
        <v>1</v>
      </c>
      <c r="C274" s="14">
        <f t="shared" si="36"/>
        <v>1</v>
      </c>
      <c r="D274" s="14" t="s">
        <v>1141</v>
      </c>
      <c r="E274" s="62" t="s">
        <v>1087</v>
      </c>
      <c r="F274" s="86" t="s">
        <v>1086</v>
      </c>
      <c r="G274" s="176" t="s">
        <v>1088</v>
      </c>
      <c r="H274" s="176" t="str">
        <f>'17. System Data Integrity'!$L8</f>
        <v>Comment is required</v>
      </c>
      <c r="I274" s="14">
        <f>'17. System Data Integrity'!$K8</f>
        <v>0</v>
      </c>
      <c r="J274" s="14" t="str">
        <f t="shared" si="44"/>
        <v>Blank</v>
      </c>
      <c r="K274" s="155" t="s">
        <v>1131</v>
      </c>
      <c r="L274" s="14" t="str">
        <f t="shared" ref="L274:L282" si="45">IF($K274="No Override",$J274,$K274)</f>
        <v>Blank</v>
      </c>
      <c r="N274" s="14" t="str">
        <f t="shared" si="37"/>
        <v/>
      </c>
      <c r="O274" s="14" t="str">
        <f t="shared" si="38"/>
        <v/>
      </c>
      <c r="P274" s="14" t="str">
        <f t="shared" si="39"/>
        <v>Comment is required</v>
      </c>
      <c r="Q274" s="14" t="str">
        <f t="shared" si="40"/>
        <v>Blank</v>
      </c>
      <c r="R274" s="14" t="str">
        <f t="shared" si="41"/>
        <v>No Override</v>
      </c>
      <c r="S274" s="14">
        <f t="shared" si="42"/>
        <v>1</v>
      </c>
      <c r="T274" s="14" t="str">
        <f t="shared" si="43"/>
        <v/>
      </c>
    </row>
    <row r="275" spans="1:20" x14ac:dyDescent="0.3">
      <c r="A275" s="224">
        <v>1</v>
      </c>
      <c r="C275" s="14">
        <f t="shared" ref="C275:C282" si="46">IF($B275="",$A275,$B275)</f>
        <v>1</v>
      </c>
      <c r="D275" s="14" t="s">
        <v>1141</v>
      </c>
      <c r="E275" s="62" t="s">
        <v>1089</v>
      </c>
      <c r="F275" s="86" t="s">
        <v>1086</v>
      </c>
      <c r="G275" s="176" t="s">
        <v>1090</v>
      </c>
      <c r="H275" s="176" t="str">
        <f>'17. System Data Integrity'!$L9</f>
        <v>Comment is required</v>
      </c>
      <c r="I275" s="14">
        <f>'17. System Data Integrity'!$K9</f>
        <v>0</v>
      </c>
      <c r="J275" s="14" t="str">
        <f t="shared" si="44"/>
        <v>Blank</v>
      </c>
      <c r="K275" s="155" t="s">
        <v>1131</v>
      </c>
      <c r="L275" s="14" t="str">
        <f t="shared" si="45"/>
        <v>Blank</v>
      </c>
      <c r="N275" s="14" t="str">
        <f t="shared" ref="N275:N282" si="47">IF($J275=$L275,"","***")</f>
        <v/>
      </c>
      <c r="O275" s="14" t="str">
        <f t="shared" ref="O275:O282" si="48">IF(OR($I275="",$I275=0),"",$I275)</f>
        <v/>
      </c>
      <c r="P275" s="14" t="str">
        <f t="shared" ref="P275:P282" si="49">IF(OR($H275="",$H275=0),"",$H275)</f>
        <v>Comment is required</v>
      </c>
      <c r="Q275" s="14" t="str">
        <f t="shared" ref="Q275:Q282" si="50">$L275</f>
        <v>Blank</v>
      </c>
      <c r="R275" s="14" t="str">
        <f t="shared" ref="R275:R282" si="51">$K275</f>
        <v>No Override</v>
      </c>
      <c r="S275" s="14">
        <f t="shared" ref="S275:S282" si="52">$C275</f>
        <v>1</v>
      </c>
      <c r="T275" s="14" t="str">
        <f t="shared" ref="T275:T282" si="53">IF($L275=$Q275,"","***")</f>
        <v/>
      </c>
    </row>
    <row r="276" spans="1:20" x14ac:dyDescent="0.3">
      <c r="A276" s="224">
        <v>1</v>
      </c>
      <c r="C276" s="14">
        <f t="shared" si="46"/>
        <v>1</v>
      </c>
      <c r="D276" s="14" t="s">
        <v>1141</v>
      </c>
      <c r="E276" s="62" t="s">
        <v>1091</v>
      </c>
      <c r="F276" s="86" t="s">
        <v>1086</v>
      </c>
      <c r="G276" s="176" t="s">
        <v>1092</v>
      </c>
      <c r="H276" s="176" t="str">
        <f>'17. System Data Integrity'!$L10</f>
        <v>Comment is required</v>
      </c>
      <c r="I276" s="14">
        <f>'17. System Data Integrity'!$K10</f>
        <v>0</v>
      </c>
      <c r="J276" s="14" t="str">
        <f t="shared" ref="J276:J282" si="54">IF($I276="Yes","Adequate",IF($I276="No","Inadequate",IF($I276="Partial","Inadequate",IF($I276="N/A","Inadequate",IF(OR($I276="",$I276=0),"Blank","Error")))))</f>
        <v>Blank</v>
      </c>
      <c r="K276" s="155" t="s">
        <v>1131</v>
      </c>
      <c r="L276" s="14" t="str">
        <f t="shared" si="45"/>
        <v>Blank</v>
      </c>
      <c r="N276" s="14" t="str">
        <f t="shared" si="47"/>
        <v/>
      </c>
      <c r="O276" s="14" t="str">
        <f t="shared" si="48"/>
        <v/>
      </c>
      <c r="P276" s="14" t="str">
        <f t="shared" si="49"/>
        <v>Comment is required</v>
      </c>
      <c r="Q276" s="14" t="str">
        <f t="shared" si="50"/>
        <v>Blank</v>
      </c>
      <c r="R276" s="14" t="str">
        <f t="shared" si="51"/>
        <v>No Override</v>
      </c>
      <c r="S276" s="14">
        <f t="shared" si="52"/>
        <v>1</v>
      </c>
      <c r="T276" s="14" t="str">
        <f t="shared" si="53"/>
        <v/>
      </c>
    </row>
    <row r="277" spans="1:20" ht="22.8" x14ac:dyDescent="0.3">
      <c r="A277" s="224">
        <v>1</v>
      </c>
      <c r="C277" s="14">
        <f t="shared" si="46"/>
        <v>1</v>
      </c>
      <c r="D277" s="14" t="s">
        <v>1141</v>
      </c>
      <c r="E277" s="58" t="s">
        <v>1093</v>
      </c>
      <c r="F277" s="82" t="s">
        <v>1096</v>
      </c>
      <c r="G277" s="176" t="s">
        <v>1097</v>
      </c>
      <c r="H277" s="176" t="str">
        <f>'17. System Data Integrity'!$L11</f>
        <v>Comment is required</v>
      </c>
      <c r="I277" s="14">
        <f>'17. System Data Integrity'!$K11</f>
        <v>0</v>
      </c>
      <c r="J277" s="14" t="str">
        <f t="shared" si="54"/>
        <v>Blank</v>
      </c>
      <c r="K277" s="155" t="s">
        <v>1131</v>
      </c>
      <c r="L277" s="14" t="str">
        <f t="shared" si="45"/>
        <v>Blank</v>
      </c>
      <c r="N277" s="14" t="str">
        <f t="shared" si="47"/>
        <v/>
      </c>
      <c r="O277" s="14" t="str">
        <f t="shared" si="48"/>
        <v/>
      </c>
      <c r="P277" s="14" t="str">
        <f t="shared" si="49"/>
        <v>Comment is required</v>
      </c>
      <c r="Q277" s="14" t="str">
        <f t="shared" si="50"/>
        <v>Blank</v>
      </c>
      <c r="R277" s="14" t="str">
        <f t="shared" si="51"/>
        <v>No Override</v>
      </c>
      <c r="S277" s="14">
        <f t="shared" si="52"/>
        <v>1</v>
      </c>
      <c r="T277" s="14" t="str">
        <f t="shared" si="53"/>
        <v/>
      </c>
    </row>
    <row r="278" spans="1:20" ht="22.8" x14ac:dyDescent="0.3">
      <c r="A278" s="224">
        <v>4</v>
      </c>
      <c r="C278" s="14">
        <f t="shared" si="46"/>
        <v>4</v>
      </c>
      <c r="D278" s="14" t="s">
        <v>1141</v>
      </c>
      <c r="E278" s="62" t="s">
        <v>1098</v>
      </c>
      <c r="F278" s="86" t="s">
        <v>1100</v>
      </c>
      <c r="G278" s="176" t="s">
        <v>1101</v>
      </c>
      <c r="H278" s="176" t="str">
        <f>'17. System Data Integrity'!$L12</f>
        <v>Comment is required</v>
      </c>
      <c r="I278" s="14">
        <f>'17. System Data Integrity'!$K12</f>
        <v>0</v>
      </c>
      <c r="J278" s="14" t="str">
        <f t="shared" si="54"/>
        <v>Blank</v>
      </c>
      <c r="K278" s="155" t="s">
        <v>1131</v>
      </c>
      <c r="L278" s="14" t="str">
        <f t="shared" si="45"/>
        <v>Blank</v>
      </c>
      <c r="N278" s="14" t="str">
        <f t="shared" si="47"/>
        <v/>
      </c>
      <c r="O278" s="14" t="str">
        <f t="shared" si="48"/>
        <v/>
      </c>
      <c r="P278" s="14" t="str">
        <f t="shared" si="49"/>
        <v>Comment is required</v>
      </c>
      <c r="Q278" s="14" t="str">
        <f t="shared" si="50"/>
        <v>Blank</v>
      </c>
      <c r="R278" s="14" t="str">
        <f t="shared" si="51"/>
        <v>No Override</v>
      </c>
      <c r="S278" s="14">
        <f t="shared" si="52"/>
        <v>4</v>
      </c>
      <c r="T278" s="14" t="str">
        <f t="shared" si="53"/>
        <v/>
      </c>
    </row>
    <row r="279" spans="1:20" x14ac:dyDescent="0.3">
      <c r="A279" s="224">
        <v>4</v>
      </c>
      <c r="C279" s="14">
        <f t="shared" si="46"/>
        <v>4</v>
      </c>
      <c r="D279" s="14" t="s">
        <v>1141</v>
      </c>
      <c r="E279" s="62" t="s">
        <v>1102</v>
      </c>
      <c r="F279" s="86" t="s">
        <v>1100</v>
      </c>
      <c r="G279" s="176" t="s">
        <v>1103</v>
      </c>
      <c r="H279" s="176" t="str">
        <f>'17. System Data Integrity'!$L13</f>
        <v>Comment is required</v>
      </c>
      <c r="I279" s="14">
        <f>'17. System Data Integrity'!$K13</f>
        <v>0</v>
      </c>
      <c r="J279" s="14" t="str">
        <f t="shared" si="54"/>
        <v>Blank</v>
      </c>
      <c r="K279" s="155" t="s">
        <v>1131</v>
      </c>
      <c r="L279" s="14" t="str">
        <f t="shared" si="45"/>
        <v>Blank</v>
      </c>
      <c r="N279" s="14" t="str">
        <f t="shared" si="47"/>
        <v/>
      </c>
      <c r="O279" s="14" t="str">
        <f t="shared" si="48"/>
        <v/>
      </c>
      <c r="P279" s="14" t="str">
        <f t="shared" si="49"/>
        <v>Comment is required</v>
      </c>
      <c r="Q279" s="14" t="str">
        <f t="shared" si="50"/>
        <v>Blank</v>
      </c>
      <c r="R279" s="14" t="str">
        <f t="shared" si="51"/>
        <v>No Override</v>
      </c>
      <c r="S279" s="14">
        <f t="shared" si="52"/>
        <v>4</v>
      </c>
      <c r="T279" s="14" t="str">
        <f t="shared" si="53"/>
        <v/>
      </c>
    </row>
    <row r="280" spans="1:20" ht="22.8" x14ac:dyDescent="0.3">
      <c r="A280" s="224">
        <v>1</v>
      </c>
      <c r="C280" s="14">
        <f t="shared" si="46"/>
        <v>1</v>
      </c>
      <c r="D280" s="14" t="s">
        <v>1141</v>
      </c>
      <c r="E280" s="58" t="s">
        <v>1104</v>
      </c>
      <c r="F280" s="82" t="s">
        <v>1107</v>
      </c>
      <c r="G280" s="176" t="s">
        <v>1108</v>
      </c>
      <c r="H280" s="176" t="str">
        <f>'17. System Data Integrity'!$L14</f>
        <v>Comment is required</v>
      </c>
      <c r="I280" s="14">
        <f>'17. System Data Integrity'!$K14</f>
        <v>0</v>
      </c>
      <c r="J280" s="14" t="str">
        <f t="shared" si="54"/>
        <v>Blank</v>
      </c>
      <c r="K280" s="155" t="s">
        <v>1131</v>
      </c>
      <c r="L280" s="14" t="str">
        <f t="shared" si="45"/>
        <v>Blank</v>
      </c>
      <c r="N280" s="14" t="str">
        <f t="shared" si="47"/>
        <v/>
      </c>
      <c r="O280" s="14" t="str">
        <f t="shared" si="48"/>
        <v/>
      </c>
      <c r="P280" s="14" t="str">
        <f t="shared" si="49"/>
        <v>Comment is required</v>
      </c>
      <c r="Q280" s="14" t="str">
        <f t="shared" si="50"/>
        <v>Blank</v>
      </c>
      <c r="R280" s="14" t="str">
        <f t="shared" si="51"/>
        <v>No Override</v>
      </c>
      <c r="S280" s="14">
        <f t="shared" si="52"/>
        <v>1</v>
      </c>
      <c r="T280" s="14" t="str">
        <f t="shared" si="53"/>
        <v/>
      </c>
    </row>
    <row r="281" spans="1:20" x14ac:dyDescent="0.3">
      <c r="A281" s="224">
        <v>2</v>
      </c>
      <c r="C281" s="14">
        <f t="shared" si="46"/>
        <v>2</v>
      </c>
      <c r="D281" s="14" t="s">
        <v>1141</v>
      </c>
      <c r="E281" s="58" t="s">
        <v>1109</v>
      </c>
      <c r="F281" s="82" t="s">
        <v>1111</v>
      </c>
      <c r="G281" s="176" t="s">
        <v>1308</v>
      </c>
      <c r="H281" s="176" t="str">
        <f>'17. System Data Integrity'!$L15</f>
        <v>Comment is required</v>
      </c>
      <c r="I281" s="14">
        <f>'17. System Data Integrity'!$K15</f>
        <v>0</v>
      </c>
      <c r="J281" s="14" t="str">
        <f t="shared" si="54"/>
        <v>Blank</v>
      </c>
      <c r="K281" s="155" t="s">
        <v>1131</v>
      </c>
      <c r="L281" s="14" t="str">
        <f t="shared" si="45"/>
        <v>Blank</v>
      </c>
      <c r="N281" s="14" t="str">
        <f t="shared" si="47"/>
        <v/>
      </c>
      <c r="O281" s="14" t="str">
        <f t="shared" si="48"/>
        <v/>
      </c>
      <c r="P281" s="14" t="str">
        <f t="shared" si="49"/>
        <v>Comment is required</v>
      </c>
      <c r="Q281" s="14" t="str">
        <f t="shared" si="50"/>
        <v>Blank</v>
      </c>
      <c r="R281" s="14" t="str">
        <f t="shared" si="51"/>
        <v>No Override</v>
      </c>
      <c r="S281" s="14">
        <f t="shared" si="52"/>
        <v>2</v>
      </c>
      <c r="T281" s="14" t="str">
        <f t="shared" si="53"/>
        <v/>
      </c>
    </row>
    <row r="282" spans="1:20" ht="22.8" x14ac:dyDescent="0.3">
      <c r="A282" s="224">
        <v>4</v>
      </c>
      <c r="C282" s="14">
        <f t="shared" si="46"/>
        <v>4</v>
      </c>
      <c r="D282" s="14" t="s">
        <v>1141</v>
      </c>
      <c r="E282" s="58" t="s">
        <v>1112</v>
      </c>
      <c r="F282" s="82" t="s">
        <v>1114</v>
      </c>
      <c r="G282" s="176" t="s">
        <v>1115</v>
      </c>
      <c r="H282" s="176" t="str">
        <f>'17. System Data Integrity'!$L16</f>
        <v>Comment is required</v>
      </c>
      <c r="I282" s="14">
        <f>'17. System Data Integrity'!$K16</f>
        <v>0</v>
      </c>
      <c r="J282" s="14" t="str">
        <f t="shared" si="54"/>
        <v>Blank</v>
      </c>
      <c r="K282" s="155" t="s">
        <v>1131</v>
      </c>
      <c r="L282" s="14" t="str">
        <f t="shared" si="45"/>
        <v>Blank</v>
      </c>
      <c r="N282" s="14" t="str">
        <f t="shared" si="47"/>
        <v/>
      </c>
      <c r="O282" s="14" t="str">
        <f t="shared" si="48"/>
        <v/>
      </c>
      <c r="P282" s="14" t="str">
        <f t="shared" si="49"/>
        <v>Comment is required</v>
      </c>
      <c r="Q282" s="14" t="str">
        <f t="shared" si="50"/>
        <v>Blank</v>
      </c>
      <c r="R282" s="14" t="str">
        <f t="shared" si="51"/>
        <v>No Override</v>
      </c>
      <c r="S282" s="14">
        <f t="shared" si="52"/>
        <v>4</v>
      </c>
      <c r="T282" s="14" t="str">
        <f t="shared" si="53"/>
        <v/>
      </c>
    </row>
  </sheetData>
  <sheetProtection selectLockedCells="1"/>
  <mergeCells count="1">
    <mergeCell ref="F1:J1"/>
  </mergeCells>
  <conditionalFormatting sqref="M9:M31 M33:M282">
    <cfRule type="expression" dxfId="9" priority="9">
      <formula>AND($I9="N/A",$H9&lt;&gt;0)</formula>
    </cfRule>
    <cfRule type="expression" dxfId="8" priority="10">
      <formula>AND($I9="N/A",$H9=0)</formula>
    </cfRule>
  </conditionalFormatting>
  <conditionalFormatting sqref="L9:L31 L104:L282 L33:L101">
    <cfRule type="expression" dxfId="7" priority="6">
      <formula>AND(AND($I9="Partial",$H9&lt;&gt;0),AND($I9="Partial",$H9&lt;&gt;"Comment is required"))</formula>
    </cfRule>
    <cfRule type="expression" dxfId="6" priority="7">
      <formula>AND(AND($I9="N/A",$H9&lt;&gt;0),AND($I9="N/A",$H9&lt;&gt;"Comment is required"))</formula>
    </cfRule>
    <cfRule type="expression" dxfId="5" priority="8">
      <formula>OR(AND($I9="N/A",OR($H9="Comment is required",$H9=0)),AND($I9="Partial",OR($H9="Comment is required",$H9=0)))</formula>
    </cfRule>
  </conditionalFormatting>
  <conditionalFormatting sqref="L102:L103">
    <cfRule type="expression" dxfId="4" priority="4">
      <formula>AND($I102="N/A",$H102&lt;&gt;0)</formula>
    </cfRule>
    <cfRule type="expression" dxfId="3" priority="5">
      <formula>AND($I102="N/A",$H102=0)</formula>
    </cfRule>
  </conditionalFormatting>
  <pageMargins left="0.7" right="0.7" top="0.75" bottom="0.75" header="0.3" footer="0.3"/>
  <pageSetup orientation="portrait" verticalDpi="0" r:id="rId1"/>
  <legacyDrawing r:id="rId2"/>
  <extLst>
    <ext xmlns:x14="http://schemas.microsoft.com/office/spreadsheetml/2009/9/main" uri="{78C0D931-6437-407d-A8EE-F0AAD7539E65}">
      <x14:conditionalFormattings>
        <x14:conditionalFormatting xmlns:xm="http://schemas.microsoft.com/office/excel/2006/main">
          <x14:cfRule type="expression" priority="1" id="{169070AF-DDBB-4063-9E56-017D9BFB8BBD}">
            <xm:f>AND(AND('Override Control Env1'!$I32="Partial",'Override Control Env1'!$H32&lt;&gt;0),AND('Override Control Env1'!$I32="Partial",'Override Control Env1'!$H32&lt;&gt;"Comment is required"))</xm:f>
            <x14:dxf>
              <fill>
                <patternFill>
                  <bgColor theme="7" tint="0.39994506668294322"/>
                </patternFill>
              </fill>
            </x14:dxf>
          </x14:cfRule>
          <x14:cfRule type="expression" priority="2" id="{AE241B81-9E22-479B-AF39-AA9C29614DCC}">
            <xm:f>AND(AND('Override Control Env1'!$I32="N/A",'Override Control Env1'!$H32&lt;&gt;0),AND('Override Control Env1'!$I32="N/A",'Override Control Env1'!$H32&lt;&gt;"Comment is required"))</xm:f>
            <x14:dxf>
              <fill>
                <patternFill>
                  <bgColor theme="7" tint="0.39994506668294322"/>
                </patternFill>
              </fill>
            </x14:dxf>
          </x14:cfRule>
          <x14:cfRule type="expression" priority="3" id="{D67A1DB4-01E3-4A3C-8BA1-57D5CEFCCE92}">
            <xm:f>OR(AND('Override Control Env1'!$I32="N/A",OR('Override Control Env1'!$H32="Comment is required",'Override Control Env1'!$H32=0)),AND('Override Control Env1'!$I32="Partial",OR('Override Control Env1'!$H32="Comment is required",'Override Control Env1'!$H32=0)))</xm:f>
            <x14:dxf>
              <fill>
                <patternFill>
                  <bgColor theme="5" tint="0.39994506668294322"/>
                </patternFill>
              </fill>
            </x14:dxf>
          </x14:cfRule>
          <xm:sqref>L32</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1D00-000000000000}">
          <x14:formula1>
            <xm:f>'Data Validation Key'!$C$21:$C$24</xm:f>
          </x14:formula1>
          <xm:sqref>K9:K282</xm:sqref>
        </x14:dataValidation>
      </x14:dataValidations>
    </ext>
  </extLst>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G89"/>
  <sheetViews>
    <sheetView showGridLines="0" workbookViewId="0">
      <selection activeCell="G21" sqref="G21"/>
    </sheetView>
  </sheetViews>
  <sheetFormatPr defaultRowHeight="14.4" x14ac:dyDescent="0.3"/>
  <cols>
    <col min="2" max="2" width="11.109375" bestFit="1" customWidth="1"/>
  </cols>
  <sheetData>
    <row r="1" spans="1:7" ht="15" thickBot="1" x14ac:dyDescent="0.35">
      <c r="A1" s="74" t="str">
        <f>Scope!$B$4</f>
        <v xml:space="preserve">Client -server application hosted at the data center </v>
      </c>
      <c r="B1" s="79" t="s">
        <v>80</v>
      </c>
      <c r="C1" s="79" t="s">
        <v>1144</v>
      </c>
      <c r="D1" s="80" t="s">
        <v>1145</v>
      </c>
      <c r="F1" s="318" t="s">
        <v>1153</v>
      </c>
      <c r="G1" s="319"/>
    </row>
    <row r="2" spans="1:7" ht="15" customHeight="1" x14ac:dyDescent="0.3">
      <c r="A2" s="313" t="s">
        <v>1117</v>
      </c>
      <c r="B2" s="65" t="s">
        <v>1132</v>
      </c>
      <c r="C2" s="65">
        <f>COUNTIFS('Override Control Env1'!$C$9:$C$282,1,'Override Control Env1'!$L$9:$L$282,B2)</f>
        <v>0</v>
      </c>
      <c r="D2" s="71">
        <f>$C2/COUNTIF('Override Control Env1'!$C$9:$C$282,1)</f>
        <v>0</v>
      </c>
      <c r="F2" s="77" t="s">
        <v>1148</v>
      </c>
      <c r="G2" s="66" t="str">
        <f>IF(AND($C$3=0,$C$7=0,$C$11=0),"True",IF(AND($C$3=0,($C$7+$C$11)/(COUNTIF('Override Control Env1'!$C$9:$C$282,2)+COUNTIF('Override Control Env1'!$C$9:$C$282,3))&lt;=0.25),"True","False"))</f>
        <v>True</v>
      </c>
    </row>
    <row r="3" spans="1:7" x14ac:dyDescent="0.3">
      <c r="A3" s="314"/>
      <c r="B3" s="63" t="s">
        <v>1133</v>
      </c>
      <c r="C3" s="63">
        <f>COUNTIFS('Override Control Env1'!$C$9:$C$282,1,'Override Control Env1'!$L$9:$L$282,B3)</f>
        <v>0</v>
      </c>
      <c r="D3" s="72">
        <f>$C3/COUNTIF('Override Control Env1'!$C$9:$C$282,1)</f>
        <v>0</v>
      </c>
      <c r="F3" s="77" t="s">
        <v>1149</v>
      </c>
      <c r="G3" s="66" t="str">
        <f>IF(AND($C$3=0,$G$2="False",($C$7+$C$11)/(COUNTIF('Override Control Env1'!$C$9:$C$282,2)+COUNTIF('Override Control Env1'!$C$9:$C$282,3))&lt;=0.5),"True","False")</f>
        <v>False</v>
      </c>
    </row>
    <row r="4" spans="1:7" x14ac:dyDescent="0.3">
      <c r="A4" s="314"/>
      <c r="B4" s="63" t="s">
        <v>48</v>
      </c>
      <c r="C4" s="63">
        <f>COUNTIFS('Override Control Env1'!$C$9:$C$282,1,'Override Control Env1'!$L$9:$L$282,B4)</f>
        <v>0</v>
      </c>
      <c r="D4" s="72">
        <f>$C4/COUNTIF('Override Control Env1'!$C$9:$C$282,1)</f>
        <v>0</v>
      </c>
      <c r="F4" s="77" t="s">
        <v>1150</v>
      </c>
      <c r="G4" s="66" t="str">
        <f>IF(AND($C$3=0,$G$2="False",$G$3="False",($C$7+$C$11)/(COUNTIF('Override Control Env1'!$C$9:$C$282,2)+COUNTIF('Override Control Env1'!$C$9:$C$282,3))&gt;0.5),"True",IF(AND($C$3=1,$C$7=0,$C$11=0),"True","False"))</f>
        <v>False</v>
      </c>
    </row>
    <row r="5" spans="1:7" ht="15" thickBot="1" x14ac:dyDescent="0.35">
      <c r="A5" s="315"/>
      <c r="B5" s="67" t="s">
        <v>1142</v>
      </c>
      <c r="C5" s="67">
        <f>COUNTIFS('Override Control Env1'!$C$9:$C$282,1,'Override Control Env1'!$L$9:$L$282,B5)</f>
        <v>71</v>
      </c>
      <c r="D5" s="73">
        <f>$C5/COUNTIF('Override Control Env1'!$C$9:$C$282,1)</f>
        <v>1</v>
      </c>
      <c r="F5" s="77" t="s">
        <v>1151</v>
      </c>
      <c r="G5" s="66" t="str">
        <f>IF($C$3&gt;1,"True",IF(AND($C$3=1,$C$7+$C$11&gt;0),"True","False"))</f>
        <v>False</v>
      </c>
    </row>
    <row r="6" spans="1:7" ht="15" thickBot="1" x14ac:dyDescent="0.35">
      <c r="A6" s="316" t="s">
        <v>1118</v>
      </c>
      <c r="B6" s="64" t="s">
        <v>1132</v>
      </c>
      <c r="C6" s="64">
        <f>COUNTIFS('Override Control Env1'!$C$9:$C$282,2,'Override Control Env1'!$L$9:$L$282,B6)</f>
        <v>0</v>
      </c>
      <c r="D6" s="75">
        <f>$C6/COUNTIF('Override Control Env1'!$C$9:$C$282,2)</f>
        <v>0</v>
      </c>
      <c r="F6" s="78" t="s">
        <v>1152</v>
      </c>
      <c r="G6" s="68"/>
    </row>
    <row r="7" spans="1:7" ht="15" thickBot="1" x14ac:dyDescent="0.35">
      <c r="A7" s="314"/>
      <c r="B7" s="63" t="s">
        <v>1133</v>
      </c>
      <c r="C7" s="63">
        <f>COUNTIFS('Override Control Env1'!$C$9:$C$282,2,'Override Control Env1'!$L$9:$L$282,B7)</f>
        <v>0</v>
      </c>
      <c r="D7" s="72">
        <f>$C7/COUNTIF('Override Control Env1'!$C$9:$C$282,2)</f>
        <v>0</v>
      </c>
    </row>
    <row r="8" spans="1:7" x14ac:dyDescent="0.3">
      <c r="A8" s="314"/>
      <c r="B8" s="63" t="s">
        <v>48</v>
      </c>
      <c r="C8" s="63">
        <f>COUNTIFS('Override Control Env1'!$C$9:$C$282,2,'Override Control Env1'!$L$9:$L$282,B8)</f>
        <v>0</v>
      </c>
      <c r="D8" s="72">
        <f>$C8/COUNTIF('Override Control Env1'!$C$9:$C$282,2)</f>
        <v>0</v>
      </c>
      <c r="F8" s="318" t="s">
        <v>1154</v>
      </c>
      <c r="G8" s="319"/>
    </row>
    <row r="9" spans="1:7" ht="15" thickBot="1" x14ac:dyDescent="0.35">
      <c r="A9" s="317"/>
      <c r="B9" s="69" t="s">
        <v>1142</v>
      </c>
      <c r="C9" s="69">
        <f>COUNTIFS('Override Control Env1'!$C$9:$C$282,2,'Override Control Env1'!$L$9:$L$282,B9)</f>
        <v>42</v>
      </c>
      <c r="D9" s="76">
        <f>$C9/COUNTIF('Override Control Env1'!$C$9:$C$282,2)</f>
        <v>1</v>
      </c>
      <c r="F9" s="320" t="str">
        <f>IF($G$2="True","A",IF($G$3="True","B",IF($G$4="True","C",IF($G$5="True","D","Error"))))</f>
        <v>A</v>
      </c>
      <c r="G9" s="321"/>
    </row>
    <row r="10" spans="1:7" x14ac:dyDescent="0.3">
      <c r="A10" s="313" t="s">
        <v>1146</v>
      </c>
      <c r="B10" s="65" t="s">
        <v>1132</v>
      </c>
      <c r="C10" s="65">
        <f>COUNTIFS('Override Control Env1'!$C$9:$C$282,3,'Override Control Env1'!$L$9:$L$282,B10)</f>
        <v>0</v>
      </c>
      <c r="D10" s="71">
        <f>$C10/COUNTIF('Override Control Env1'!$C$9:$C$282,3)</f>
        <v>0</v>
      </c>
      <c r="F10" s="320"/>
      <c r="G10" s="321"/>
    </row>
    <row r="11" spans="1:7" x14ac:dyDescent="0.3">
      <c r="A11" s="314"/>
      <c r="B11" s="63" t="s">
        <v>1133</v>
      </c>
      <c r="C11" s="63">
        <f>COUNTIFS('Override Control Env1'!$C$9:$C$282,3,'Override Control Env1'!$L$9:$L$282,B11)</f>
        <v>0</v>
      </c>
      <c r="D11" s="72">
        <f>$C11/COUNTIF('Override Control Env1'!$C$9:$C$282,3)</f>
        <v>0</v>
      </c>
      <c r="F11" s="320"/>
      <c r="G11" s="321"/>
    </row>
    <row r="12" spans="1:7" x14ac:dyDescent="0.3">
      <c r="A12" s="314"/>
      <c r="B12" s="63" t="s">
        <v>48</v>
      </c>
      <c r="C12" s="63">
        <f>COUNTIFS('Override Control Env1'!$C$9:$C$282,3,'Override Control Env1'!$L$9:$L$282,B12)</f>
        <v>0</v>
      </c>
      <c r="D12" s="72">
        <f>$C12/COUNTIF('Override Control Env1'!$C$9:$C$282,3)</f>
        <v>0</v>
      </c>
      <c r="F12" s="320"/>
      <c r="G12" s="321"/>
    </row>
    <row r="13" spans="1:7" ht="15" thickBot="1" x14ac:dyDescent="0.35">
      <c r="A13" s="315"/>
      <c r="B13" s="67" t="s">
        <v>1142</v>
      </c>
      <c r="C13" s="67">
        <f>COUNTIFS('Override Control Env1'!$C$9:$C$282,3,'Override Control Env1'!$L$9:$L$282,B13)</f>
        <v>31</v>
      </c>
      <c r="D13" s="73">
        <f>$C13/COUNTIF('Override Control Env1'!$C$9:$C$282,3)</f>
        <v>1</v>
      </c>
      <c r="F13" s="322"/>
      <c r="G13" s="323"/>
    </row>
    <row r="14" spans="1:7" x14ac:dyDescent="0.3">
      <c r="A14" s="316" t="s">
        <v>1147</v>
      </c>
      <c r="B14" s="64" t="s">
        <v>1132</v>
      </c>
      <c r="C14" s="64">
        <f>COUNTIFS('Override Control Env1'!$C$9:$C$282,4,'Override Control Env1'!$L$9:$L$282,B14)</f>
        <v>0</v>
      </c>
      <c r="D14" s="75">
        <f>$C14/COUNTIF('Override Control Env1'!$C$9:$C$282,4)</f>
        <v>0</v>
      </c>
    </row>
    <row r="15" spans="1:7" x14ac:dyDescent="0.3">
      <c r="A15" s="314"/>
      <c r="B15" s="63" t="s">
        <v>1133</v>
      </c>
      <c r="C15" s="63">
        <f>COUNTIFS('Override Control Env1'!$C$9:$C$282,4,'Override Control Env1'!$L$9:$L$282,B15)</f>
        <v>0</v>
      </c>
      <c r="D15" s="72">
        <f>$C15/COUNTIF('Override Control Env1'!$C$9:$C$282,4)</f>
        <v>0</v>
      </c>
    </row>
    <row r="16" spans="1:7" x14ac:dyDescent="0.3">
      <c r="A16" s="314"/>
      <c r="B16" s="63" t="s">
        <v>48</v>
      </c>
      <c r="C16" s="63">
        <f>COUNTIFS('Override Control Env1'!$C$9:$C$282,4,'Override Control Env1'!$L$9:$L$282,B16)</f>
        <v>0</v>
      </c>
      <c r="D16" s="72">
        <f>$C16/COUNTIF('Override Control Env1'!$C$9:$C$282,4)</f>
        <v>0</v>
      </c>
    </row>
    <row r="17" spans="1:7" ht="15" thickBot="1" x14ac:dyDescent="0.35">
      <c r="A17" s="315"/>
      <c r="B17" s="67" t="s">
        <v>1142</v>
      </c>
      <c r="C17" s="67">
        <f>COUNTIFS('Override Control Env1'!$C$9:$C$282,4,'Override Control Env1'!$L$9:$L$282,B17)</f>
        <v>130</v>
      </c>
      <c r="D17" s="73">
        <f>$C17/COUNTIF('Override Control Env1'!$C$9:$C$282,4)</f>
        <v>1</v>
      </c>
    </row>
    <row r="18" spans="1:7" ht="15" thickBot="1" x14ac:dyDescent="0.35"/>
    <row r="19" spans="1:7" ht="15" thickBot="1" x14ac:dyDescent="0.35">
      <c r="A19" s="74">
        <f>Scope!$D$4</f>
        <v>0</v>
      </c>
      <c r="B19" s="79" t="s">
        <v>80</v>
      </c>
      <c r="C19" s="79" t="s">
        <v>1144</v>
      </c>
      <c r="D19" s="80" t="s">
        <v>1145</v>
      </c>
      <c r="E19" s="14"/>
      <c r="F19" s="318" t="s">
        <v>1153</v>
      </c>
      <c r="G19" s="319"/>
    </row>
    <row r="20" spans="1:7" x14ac:dyDescent="0.3">
      <c r="A20" s="313" t="s">
        <v>1117</v>
      </c>
      <c r="B20" s="65" t="s">
        <v>1132</v>
      </c>
      <c r="C20" s="65">
        <f>COUNTIFS('Override Control Env2'!$C$9:$C$282,1,'Override Control Env2'!$L$9:$L$282,B20)</f>
        <v>0</v>
      </c>
      <c r="D20" s="71">
        <f>$C20/COUNTIF('Override Control Env2'!$C$9:$C$282,1)</f>
        <v>0</v>
      </c>
      <c r="E20" s="14"/>
      <c r="F20" s="77" t="s">
        <v>1148</v>
      </c>
      <c r="G20" s="66" t="str">
        <f>IF(AND($C$21=0,$C$25=0,$C$29=0),"True",IF(AND($C$21=0,($C$25+$C$29)/(COUNTIF('Override Control Env2'!$C$9:$C$282,2)+COUNTIF('Override Control Env2'!$C$9:$C$282,3))&lt;=0.25),"True","False"))</f>
        <v>True</v>
      </c>
    </row>
    <row r="21" spans="1:7" x14ac:dyDescent="0.3">
      <c r="A21" s="314"/>
      <c r="B21" s="63" t="s">
        <v>1133</v>
      </c>
      <c r="C21" s="63">
        <f>COUNTIFS('Override Control Env2'!$C$9:$C$282,1,'Override Control Env2'!$L$9:$L$282,B21)</f>
        <v>0</v>
      </c>
      <c r="D21" s="72">
        <f>$C21/COUNTIF('Override Control Env2'!$C$9:$C$282,1)</f>
        <v>0</v>
      </c>
      <c r="E21" s="14"/>
      <c r="F21" s="77" t="s">
        <v>1149</v>
      </c>
      <c r="G21" s="66" t="str">
        <f>IF(AND($C$21=0,$G$20="False",($C$25+$C$29)/(COUNTIF('Override Control Env2'!$C$9:$C$282,2)+COUNTIF('Override Control Env2'!$C$9:$C$282,3))&lt;=0.5),"True","False")</f>
        <v>False</v>
      </c>
    </row>
    <row r="22" spans="1:7" x14ac:dyDescent="0.3">
      <c r="A22" s="314"/>
      <c r="B22" s="63" t="s">
        <v>48</v>
      </c>
      <c r="C22" s="63">
        <f>COUNTIFS('Override Control Env2'!$C$9:$C$282,1,'Override Control Env2'!$L$9:$L$282,B22)</f>
        <v>0</v>
      </c>
      <c r="D22" s="72">
        <f>$C22/COUNTIF('Override Control Env2'!$C$9:$C$282,1)</f>
        <v>0</v>
      </c>
      <c r="E22" s="14"/>
      <c r="F22" s="77" t="s">
        <v>1150</v>
      </c>
      <c r="G22" s="66" t="str">
        <f>IF(AND($C$21=0,$G$20="False",$G$21="False",($C$25+$C$29)/(COUNTIF('Override Control Env2'!$C$9:$C$282,2)+COUNTIF('Override Control Env2'!$C$9:$C$282,3))&gt;0.5),"True",IF(AND($C$21=1,$C$25=0,$C$29=0),"True","False"))</f>
        <v>False</v>
      </c>
    </row>
    <row r="23" spans="1:7" ht="15" thickBot="1" x14ac:dyDescent="0.35">
      <c r="A23" s="315"/>
      <c r="B23" s="67" t="s">
        <v>1142</v>
      </c>
      <c r="C23" s="67">
        <f>COUNTIFS('Override Control Env2'!$C$9:$C$282,1,'Override Control Env2'!$L$9:$L$282,B23)</f>
        <v>71</v>
      </c>
      <c r="D23" s="73">
        <f>$C23/COUNTIF('Override Control Env2'!$C$9:$C$282,1)</f>
        <v>1</v>
      </c>
      <c r="E23" s="14"/>
      <c r="F23" s="77" t="s">
        <v>1151</v>
      </c>
      <c r="G23" s="66" t="str">
        <f>IF($C$21&gt;1,"True",IF(AND($C$21=1,$C$25+$C$29&gt;0),"True","False"))</f>
        <v>False</v>
      </c>
    </row>
    <row r="24" spans="1:7" ht="15" thickBot="1" x14ac:dyDescent="0.35">
      <c r="A24" s="316" t="s">
        <v>1118</v>
      </c>
      <c r="B24" s="64" t="s">
        <v>1132</v>
      </c>
      <c r="C24" s="64">
        <f>COUNTIFS('Override Control Env2'!$C$9:$C$282,2,'Override Control Env2'!$L$9:$L$282,B24)</f>
        <v>0</v>
      </c>
      <c r="D24" s="75">
        <f>$C24/COUNTIF('Override Control Env2'!$C$9:$C$282,2)</f>
        <v>0</v>
      </c>
      <c r="E24" s="14"/>
      <c r="F24" s="78" t="s">
        <v>1152</v>
      </c>
      <c r="G24" s="68"/>
    </row>
    <row r="25" spans="1:7" ht="15" thickBot="1" x14ac:dyDescent="0.35">
      <c r="A25" s="314"/>
      <c r="B25" s="63" t="s">
        <v>1133</v>
      </c>
      <c r="C25" s="63">
        <f>COUNTIFS('Override Control Env2'!$C$9:$C$282,2,'Override Control Env2'!$L$9:$L$282,B25)</f>
        <v>0</v>
      </c>
      <c r="D25" s="72">
        <f>$C25/COUNTIF('Override Control Env2'!$C$9:$C$282,2)</f>
        <v>0</v>
      </c>
      <c r="E25" s="14"/>
      <c r="F25" s="14"/>
      <c r="G25" s="14"/>
    </row>
    <row r="26" spans="1:7" x14ac:dyDescent="0.3">
      <c r="A26" s="314"/>
      <c r="B26" s="63" t="s">
        <v>48</v>
      </c>
      <c r="C26" s="63">
        <f>COUNTIFS('Override Control Env2'!$C$9:$C$282,2,'Override Control Env2'!$L$9:$L$282,B26)</f>
        <v>0</v>
      </c>
      <c r="D26" s="72">
        <f>$C26/COUNTIF('Override Control Env2'!$C$9:$C$282,2)</f>
        <v>0</v>
      </c>
      <c r="E26" s="14"/>
      <c r="F26" s="318" t="s">
        <v>1154</v>
      </c>
      <c r="G26" s="319"/>
    </row>
    <row r="27" spans="1:7" ht="15" thickBot="1" x14ac:dyDescent="0.35">
      <c r="A27" s="317"/>
      <c r="B27" s="69" t="s">
        <v>1142</v>
      </c>
      <c r="C27" s="69">
        <f>COUNTIFS('Override Control Env2'!$C$9:$C$282,2,'Override Control Env2'!$L$9:$L$282,B27)</f>
        <v>42</v>
      </c>
      <c r="D27" s="76">
        <f>$C27/COUNTIF('Override Control Env2'!$C$9:$C$282,2)</f>
        <v>1</v>
      </c>
      <c r="E27" s="14"/>
      <c r="F27" s="320" t="str">
        <f>IF($G$20="True","A",IF($G$21="True","B",IF($G$22="True","C",IF($G$23="True","D","Error"))))</f>
        <v>A</v>
      </c>
      <c r="G27" s="321"/>
    </row>
    <row r="28" spans="1:7" x14ac:dyDescent="0.3">
      <c r="A28" s="313" t="s">
        <v>1146</v>
      </c>
      <c r="B28" s="65" t="s">
        <v>1132</v>
      </c>
      <c r="C28" s="65">
        <f>COUNTIFS('Override Control Env2'!$C$9:$C$282,3,'Override Control Env2'!$L$9:$L$282,B28)</f>
        <v>0</v>
      </c>
      <c r="D28" s="71">
        <f>$C28/COUNTIF('Override Control Env2'!$C$9:$C$282,3)</f>
        <v>0</v>
      </c>
      <c r="E28" s="14"/>
      <c r="F28" s="320"/>
      <c r="G28" s="321"/>
    </row>
    <row r="29" spans="1:7" x14ac:dyDescent="0.3">
      <c r="A29" s="314"/>
      <c r="B29" s="63" t="s">
        <v>1133</v>
      </c>
      <c r="C29" s="63">
        <f>COUNTIFS('Override Control Env2'!$C$9:$C$282,3,'Override Control Env2'!$L$9:$L$282,B29)</f>
        <v>0</v>
      </c>
      <c r="D29" s="72">
        <f>$C29/COUNTIF('Override Control Env2'!$C$9:$C$282,3)</f>
        <v>0</v>
      </c>
      <c r="E29" s="14"/>
      <c r="F29" s="320"/>
      <c r="G29" s="321"/>
    </row>
    <row r="30" spans="1:7" x14ac:dyDescent="0.3">
      <c r="A30" s="314"/>
      <c r="B30" s="63" t="s">
        <v>48</v>
      </c>
      <c r="C30" s="63">
        <f>COUNTIFS('Override Control Env2'!$C$9:$C$282,3,'Override Control Env2'!$L$9:$L$282,B30)</f>
        <v>0</v>
      </c>
      <c r="D30" s="72">
        <f>$C30/COUNTIF('Override Control Env2'!$C$9:$C$282,3)</f>
        <v>0</v>
      </c>
      <c r="E30" s="14"/>
      <c r="F30" s="320"/>
      <c r="G30" s="321"/>
    </row>
    <row r="31" spans="1:7" ht="15" thickBot="1" x14ac:dyDescent="0.35">
      <c r="A31" s="315"/>
      <c r="B31" s="67" t="s">
        <v>1142</v>
      </c>
      <c r="C31" s="67">
        <f>COUNTIFS('Override Control Env2'!$C$9:$C$282,3,'Override Control Env2'!$L$9:$L$282,B31)</f>
        <v>31</v>
      </c>
      <c r="D31" s="73">
        <f>$C31/COUNTIF('Override Control Env2'!$C$9:$C$282,3)</f>
        <v>1</v>
      </c>
      <c r="E31" s="14"/>
      <c r="F31" s="322"/>
      <c r="G31" s="323"/>
    </row>
    <row r="32" spans="1:7" x14ac:dyDescent="0.3">
      <c r="A32" s="316" t="s">
        <v>1147</v>
      </c>
      <c r="B32" s="64" t="s">
        <v>1132</v>
      </c>
      <c r="C32" s="64">
        <f>COUNTIFS('Override Control Env2'!$C$9:$C$282,4,'Override Control Env2'!$L$9:$L$282,B32)</f>
        <v>0</v>
      </c>
      <c r="D32" s="75">
        <f>$C32/COUNTIF('Override Control Env2'!$C$9:$C$282,4)</f>
        <v>0</v>
      </c>
      <c r="E32" s="14"/>
      <c r="F32" s="14"/>
      <c r="G32" s="14"/>
    </row>
    <row r="33" spans="1:7" x14ac:dyDescent="0.3">
      <c r="A33" s="314"/>
      <c r="B33" s="63" t="s">
        <v>1133</v>
      </c>
      <c r="C33" s="63">
        <f>COUNTIFS('Override Control Env2'!$C$9:$C$282,4,'Override Control Env2'!$L$9:$L$282,B33)</f>
        <v>0</v>
      </c>
      <c r="D33" s="72">
        <f>$C33/COUNTIF('Override Control Env2'!$C$9:$C$282,4)</f>
        <v>0</v>
      </c>
      <c r="E33" s="14"/>
      <c r="F33" s="14"/>
      <c r="G33" s="14"/>
    </row>
    <row r="34" spans="1:7" x14ac:dyDescent="0.3">
      <c r="A34" s="314"/>
      <c r="B34" s="63" t="s">
        <v>48</v>
      </c>
      <c r="C34" s="63">
        <f>COUNTIFS('Override Control Env2'!$C$9:$C$282,4,'Override Control Env2'!$L$9:$L$282,B34)</f>
        <v>0</v>
      </c>
      <c r="D34" s="72">
        <f>$C34/COUNTIF('Override Control Env2'!$C$9:$C$282,4)</f>
        <v>0</v>
      </c>
      <c r="E34" s="14"/>
      <c r="F34" s="14"/>
      <c r="G34" s="14"/>
    </row>
    <row r="35" spans="1:7" ht="15" thickBot="1" x14ac:dyDescent="0.35">
      <c r="A35" s="315"/>
      <c r="B35" s="67" t="s">
        <v>1142</v>
      </c>
      <c r="C35" s="67">
        <f>COUNTIFS('Override Control Env2'!$C$9:$C$282,4,'Override Control Env2'!$L$9:$L$282,B35)</f>
        <v>130</v>
      </c>
      <c r="D35" s="73">
        <f>$C35/COUNTIF('Override Control Env2'!$C$9:$C$282,4)</f>
        <v>1</v>
      </c>
      <c r="E35" s="14"/>
      <c r="F35" s="14"/>
      <c r="G35" s="14"/>
    </row>
    <row r="36" spans="1:7" ht="15" thickBot="1" x14ac:dyDescent="0.35"/>
    <row r="37" spans="1:7" ht="15" thickBot="1" x14ac:dyDescent="0.35">
      <c r="A37" s="74">
        <f>Scope!$F$4</f>
        <v>0</v>
      </c>
      <c r="B37" s="79" t="s">
        <v>80</v>
      </c>
      <c r="C37" s="79" t="s">
        <v>1144</v>
      </c>
      <c r="D37" s="80" t="s">
        <v>1145</v>
      </c>
      <c r="E37" s="14"/>
      <c r="F37" s="318" t="s">
        <v>1153</v>
      </c>
      <c r="G37" s="319"/>
    </row>
    <row r="38" spans="1:7" x14ac:dyDescent="0.3">
      <c r="A38" s="313" t="s">
        <v>1117</v>
      </c>
      <c r="B38" s="65" t="s">
        <v>1132</v>
      </c>
      <c r="C38" s="65">
        <f>COUNTIFS('Override Control Env3'!$C$9:$C$282,1,'Override Control Env3'!$L$9:$L$282,B38)</f>
        <v>0</v>
      </c>
      <c r="D38" s="71">
        <f>$C38/COUNTIF('Override Control Env3'!$C$9:$C$282,1)</f>
        <v>0</v>
      </c>
      <c r="E38" s="14"/>
      <c r="F38" s="77" t="s">
        <v>1148</v>
      </c>
      <c r="G38" s="66" t="str">
        <f>IF(AND($C$39=0,$C$43=0,$C$47=0),"True",IF(AND($C$39=0,($C$43+$C$47)/(COUNTIF('Override Control Env3'!$C$9:$C$282,2)+COUNTIF('Override Control Env3'!$C$9:$C$282,3))&lt;=0.25),"True","False"))</f>
        <v>True</v>
      </c>
    </row>
    <row r="39" spans="1:7" x14ac:dyDescent="0.3">
      <c r="A39" s="314"/>
      <c r="B39" s="63" t="s">
        <v>1133</v>
      </c>
      <c r="C39" s="63">
        <f>COUNTIFS('Override Control Env3'!$C$9:$C$282,1,'Override Control Env3'!$L$9:$L$282,B39)</f>
        <v>0</v>
      </c>
      <c r="D39" s="72">
        <f>$C39/COUNTIF('Override Control Env3'!$C$9:$C$282,1)</f>
        <v>0</v>
      </c>
      <c r="E39" s="14"/>
      <c r="F39" s="77" t="s">
        <v>1149</v>
      </c>
      <c r="G39" s="66" t="str">
        <f>IF(AND($C$39=0,$G$38="False",($C$43+$C$47)/(COUNTIF('Override Control Env3'!$C$9:$C$282,2)+COUNTIF('Override Control Env3'!$C$9:$C$282,3))&lt;=0.5),"True","False")</f>
        <v>False</v>
      </c>
    </row>
    <row r="40" spans="1:7" x14ac:dyDescent="0.3">
      <c r="A40" s="314"/>
      <c r="B40" s="63" t="s">
        <v>48</v>
      </c>
      <c r="C40" s="63">
        <f>COUNTIFS('Override Control Env3'!$C$9:$C$282,1,'Override Control Env3'!$L$9:$L$282,B40)</f>
        <v>0</v>
      </c>
      <c r="D40" s="72">
        <f>$C40/COUNTIF('Override Control Env3'!$C$9:$C$282,1)</f>
        <v>0</v>
      </c>
      <c r="E40" s="14"/>
      <c r="F40" s="77" t="s">
        <v>1150</v>
      </c>
      <c r="G40" s="66" t="str">
        <f>IF(AND($C$39=0,$G$38="False",$G$39="False",($C$43+$C$47)/(COUNTIF('Override Control Env3'!$C$9:$C$282,2)+COUNTIF('Override Control Env3'!$C$9:$C$282,3))&gt;0.5),"True",IF(AND($C$39=1,$C$43=0,$C$47=0),"True","False"))</f>
        <v>False</v>
      </c>
    </row>
    <row r="41" spans="1:7" ht="15" thickBot="1" x14ac:dyDescent="0.35">
      <c r="A41" s="315"/>
      <c r="B41" s="67" t="s">
        <v>1142</v>
      </c>
      <c r="C41" s="67">
        <f>COUNTIFS('Override Control Env3'!$C$9:$C$282,1,'Override Control Env3'!$L$9:$L$282,B41)</f>
        <v>71</v>
      </c>
      <c r="D41" s="73">
        <f>$C41/COUNTIF('Override Control Env3'!$C$9:$C$282,1)</f>
        <v>1</v>
      </c>
      <c r="E41" s="14"/>
      <c r="F41" s="77" t="s">
        <v>1151</v>
      </c>
      <c r="G41" s="66" t="str">
        <f>IF($C$39&gt;1,"True",IF(AND($C$39=1,$C$43+$C$47&gt;0),"True","False"))</f>
        <v>False</v>
      </c>
    </row>
    <row r="42" spans="1:7" ht="15" thickBot="1" x14ac:dyDescent="0.35">
      <c r="A42" s="316" t="s">
        <v>1118</v>
      </c>
      <c r="B42" s="64" t="s">
        <v>1132</v>
      </c>
      <c r="C42" s="64">
        <f>COUNTIFS('Override Control Env3'!$C$9:$C$282,2,'Override Control Env3'!$L$9:$L$282,B42)</f>
        <v>0</v>
      </c>
      <c r="D42" s="75">
        <f>$C42/COUNTIF('Override Control Env3'!$C$9:$C$282,2)</f>
        <v>0</v>
      </c>
      <c r="E42" s="14"/>
      <c r="F42" s="78" t="s">
        <v>1152</v>
      </c>
      <c r="G42" s="68"/>
    </row>
    <row r="43" spans="1:7" ht="15" thickBot="1" x14ac:dyDescent="0.35">
      <c r="A43" s="314"/>
      <c r="B43" s="63" t="s">
        <v>1133</v>
      </c>
      <c r="C43" s="63">
        <f>COUNTIFS('Override Control Env3'!$C$9:$C$282,2,'Override Control Env3'!$L$9:$L$282,B43)</f>
        <v>0</v>
      </c>
      <c r="D43" s="72">
        <f>$C43/COUNTIF('Override Control Env3'!$C$9:$C$282,2)</f>
        <v>0</v>
      </c>
      <c r="E43" s="14"/>
      <c r="F43" s="14"/>
      <c r="G43" s="14"/>
    </row>
    <row r="44" spans="1:7" x14ac:dyDescent="0.3">
      <c r="A44" s="314"/>
      <c r="B44" s="63" t="s">
        <v>48</v>
      </c>
      <c r="C44" s="63">
        <f>COUNTIFS('Override Control Env3'!$C$9:$C$282,2,'Override Control Env3'!$L$9:$L$282,B44)</f>
        <v>0</v>
      </c>
      <c r="D44" s="72">
        <f>$C44/COUNTIF('Override Control Env3'!$C$9:$C$282,2)</f>
        <v>0</v>
      </c>
      <c r="E44" s="14"/>
      <c r="F44" s="318" t="s">
        <v>1154</v>
      </c>
      <c r="G44" s="319"/>
    </row>
    <row r="45" spans="1:7" ht="15" thickBot="1" x14ac:dyDescent="0.35">
      <c r="A45" s="317"/>
      <c r="B45" s="69" t="s">
        <v>1142</v>
      </c>
      <c r="C45" s="69">
        <f>COUNTIFS('Override Control Env3'!$C$9:$C$282,2,'Override Control Env3'!$L$9:$L$282,B45)</f>
        <v>42</v>
      </c>
      <c r="D45" s="76">
        <f>$C45/COUNTIF('Override Control Env3'!$C$9:$C$282,2)</f>
        <v>1</v>
      </c>
      <c r="E45" s="14"/>
      <c r="F45" s="320" t="str">
        <f>IF($G$38="True","A",IF($G$39="True","B",IF($G$40="True","C",IF($G$41="True","D","Error"))))</f>
        <v>A</v>
      </c>
      <c r="G45" s="321"/>
    </row>
    <row r="46" spans="1:7" x14ac:dyDescent="0.3">
      <c r="A46" s="313" t="s">
        <v>1146</v>
      </c>
      <c r="B46" s="65" t="s">
        <v>1132</v>
      </c>
      <c r="C46" s="65">
        <f>COUNTIFS('Override Control Env3'!$C$9:$C$282,3,'Override Control Env3'!$L$9:$L$282,B46)</f>
        <v>0</v>
      </c>
      <c r="D46" s="71">
        <f>$C46/COUNTIF('Override Control Env3'!$C$9:$C$282,3)</f>
        <v>0</v>
      </c>
      <c r="E46" s="14"/>
      <c r="F46" s="320"/>
      <c r="G46" s="321"/>
    </row>
    <row r="47" spans="1:7" x14ac:dyDescent="0.3">
      <c r="A47" s="314"/>
      <c r="B47" s="63" t="s">
        <v>1133</v>
      </c>
      <c r="C47" s="63">
        <f>COUNTIFS('Override Control Env3'!$C$9:$C$282,3,'Override Control Env3'!$L$9:$L$282,B47)</f>
        <v>0</v>
      </c>
      <c r="D47" s="72">
        <f>$C47/COUNTIF('Override Control Env3'!$C$9:$C$282,3)</f>
        <v>0</v>
      </c>
      <c r="E47" s="14"/>
      <c r="F47" s="320"/>
      <c r="G47" s="321"/>
    </row>
    <row r="48" spans="1:7" x14ac:dyDescent="0.3">
      <c r="A48" s="314"/>
      <c r="B48" s="63" t="s">
        <v>48</v>
      </c>
      <c r="C48" s="63">
        <f>COUNTIFS('Override Control Env3'!$C$9:$C$282,3,'Override Control Env3'!$L$9:$L$282,B48)</f>
        <v>0</v>
      </c>
      <c r="D48" s="72">
        <f>$C48/COUNTIF('Override Control Env3'!$C$9:$C$282,3)</f>
        <v>0</v>
      </c>
      <c r="E48" s="14"/>
      <c r="F48" s="320"/>
      <c r="G48" s="321"/>
    </row>
    <row r="49" spans="1:7" ht="15" thickBot="1" x14ac:dyDescent="0.35">
      <c r="A49" s="315"/>
      <c r="B49" s="67" t="s">
        <v>1142</v>
      </c>
      <c r="C49" s="67">
        <f>COUNTIFS('Override Control Env3'!$C$9:$C$282,3,'Override Control Env3'!$L$9:$L$282,B49)</f>
        <v>31</v>
      </c>
      <c r="D49" s="73">
        <f>$C49/COUNTIF('Override Control Env3'!$C$9:$C$282,3)</f>
        <v>1</v>
      </c>
      <c r="E49" s="14"/>
      <c r="F49" s="322"/>
      <c r="G49" s="323"/>
    </row>
    <row r="50" spans="1:7" x14ac:dyDescent="0.3">
      <c r="A50" s="316" t="s">
        <v>1147</v>
      </c>
      <c r="B50" s="64" t="s">
        <v>1132</v>
      </c>
      <c r="C50" s="64">
        <f>COUNTIFS('Override Control Env3'!$C$9:$C$282,4,'Override Control Env3'!$L$9:$L$282,B50)</f>
        <v>0</v>
      </c>
      <c r="D50" s="75">
        <f>$C50/COUNTIF('Override Control Env3'!$C$9:$C$282,4)</f>
        <v>0</v>
      </c>
      <c r="E50" s="14"/>
      <c r="F50" s="14"/>
      <c r="G50" s="14"/>
    </row>
    <row r="51" spans="1:7" x14ac:dyDescent="0.3">
      <c r="A51" s="314"/>
      <c r="B51" s="63" t="s">
        <v>1133</v>
      </c>
      <c r="C51" s="63">
        <f>COUNTIFS('Override Control Env3'!$C$9:$C$282,4,'Override Control Env3'!$L$9:$L$282,B51)</f>
        <v>0</v>
      </c>
      <c r="D51" s="72">
        <f>$C51/COUNTIF('Override Control Env3'!$C$9:$C$282,4)</f>
        <v>0</v>
      </c>
      <c r="E51" s="14"/>
      <c r="F51" s="14"/>
      <c r="G51" s="14"/>
    </row>
    <row r="52" spans="1:7" x14ac:dyDescent="0.3">
      <c r="A52" s="314"/>
      <c r="B52" s="63" t="s">
        <v>48</v>
      </c>
      <c r="C52" s="63">
        <f>COUNTIFS('Override Control Env3'!$C$9:$C$282,4,'Override Control Env3'!$L$9:$L$282,B52)</f>
        <v>0</v>
      </c>
      <c r="D52" s="72">
        <f>$C52/COUNTIF('Override Control Env3'!$C$9:$C$282,4)</f>
        <v>0</v>
      </c>
      <c r="E52" s="14"/>
      <c r="F52" s="14"/>
      <c r="G52" s="14"/>
    </row>
    <row r="53" spans="1:7" ht="15" thickBot="1" x14ac:dyDescent="0.35">
      <c r="A53" s="315"/>
      <c r="B53" s="67" t="s">
        <v>1142</v>
      </c>
      <c r="C53" s="67">
        <f>COUNTIFS('Override Control Env3'!$C$9:$C$282,4,'Override Control Env3'!$L$9:$L$282,B53)</f>
        <v>130</v>
      </c>
      <c r="D53" s="73">
        <f>$C53/COUNTIF('Override Control Env3'!$C$9:$C$282,4)</f>
        <v>1</v>
      </c>
      <c r="E53" s="14"/>
      <c r="F53" s="14"/>
      <c r="G53" s="14"/>
    </row>
    <row r="55" spans="1:7" x14ac:dyDescent="0.3">
      <c r="A55" s="163"/>
      <c r="B55" s="164"/>
      <c r="C55" s="164"/>
      <c r="D55" s="164"/>
      <c r="E55" s="163"/>
      <c r="F55" s="324"/>
      <c r="G55" s="324"/>
    </row>
    <row r="56" spans="1:7" x14ac:dyDescent="0.3">
      <c r="A56" s="325"/>
      <c r="B56" s="163"/>
      <c r="C56" s="163"/>
      <c r="D56" s="165"/>
      <c r="E56" s="163"/>
      <c r="F56" s="163"/>
      <c r="G56" s="163"/>
    </row>
    <row r="57" spans="1:7" x14ac:dyDescent="0.3">
      <c r="A57" s="325"/>
      <c r="B57" s="163"/>
      <c r="C57" s="163"/>
      <c r="D57" s="165"/>
      <c r="E57" s="163"/>
      <c r="F57" s="163"/>
      <c r="G57" s="163"/>
    </row>
    <row r="58" spans="1:7" x14ac:dyDescent="0.3">
      <c r="A58" s="325"/>
      <c r="B58" s="163"/>
      <c r="C58" s="163"/>
      <c r="D58" s="165"/>
      <c r="E58" s="163"/>
      <c r="F58" s="163"/>
      <c r="G58" s="163"/>
    </row>
    <row r="59" spans="1:7" x14ac:dyDescent="0.3">
      <c r="A59" s="325"/>
      <c r="B59" s="163"/>
      <c r="C59" s="163"/>
      <c r="D59" s="165"/>
      <c r="E59" s="163"/>
      <c r="F59" s="163"/>
      <c r="G59" s="163"/>
    </row>
    <row r="60" spans="1:7" x14ac:dyDescent="0.3">
      <c r="A60" s="325"/>
      <c r="B60" s="163"/>
      <c r="C60" s="163"/>
      <c r="D60" s="165"/>
      <c r="E60" s="163"/>
      <c r="F60" s="163"/>
      <c r="G60" s="163"/>
    </row>
    <row r="61" spans="1:7" x14ac:dyDescent="0.3">
      <c r="A61" s="325"/>
      <c r="B61" s="163"/>
      <c r="C61" s="163"/>
      <c r="D61" s="165"/>
      <c r="E61" s="163"/>
      <c r="F61" s="163"/>
      <c r="G61" s="163"/>
    </row>
    <row r="62" spans="1:7" x14ac:dyDescent="0.3">
      <c r="A62" s="325"/>
      <c r="B62" s="163"/>
      <c r="C62" s="163"/>
      <c r="D62" s="165"/>
      <c r="E62" s="163"/>
      <c r="F62" s="324"/>
      <c r="G62" s="324"/>
    </row>
    <row r="63" spans="1:7" x14ac:dyDescent="0.3">
      <c r="A63" s="325"/>
      <c r="B63" s="163"/>
      <c r="C63" s="163"/>
      <c r="D63" s="165"/>
      <c r="E63" s="163"/>
      <c r="F63" s="326"/>
      <c r="G63" s="326"/>
    </row>
    <row r="64" spans="1:7" x14ac:dyDescent="0.3">
      <c r="A64" s="325"/>
      <c r="B64" s="163"/>
      <c r="C64" s="163"/>
      <c r="D64" s="165"/>
      <c r="E64" s="163"/>
      <c r="F64" s="326"/>
      <c r="G64" s="326"/>
    </row>
    <row r="65" spans="1:7" x14ac:dyDescent="0.3">
      <c r="A65" s="325"/>
      <c r="B65" s="163"/>
      <c r="C65" s="163"/>
      <c r="D65" s="165"/>
      <c r="E65" s="163"/>
      <c r="F65" s="326"/>
      <c r="G65" s="326"/>
    </row>
    <row r="66" spans="1:7" x14ac:dyDescent="0.3">
      <c r="A66" s="325"/>
      <c r="B66" s="163"/>
      <c r="C66" s="163"/>
      <c r="D66" s="165"/>
      <c r="E66" s="163"/>
      <c r="F66" s="326"/>
      <c r="G66" s="326"/>
    </row>
    <row r="67" spans="1:7" x14ac:dyDescent="0.3">
      <c r="A67" s="325"/>
      <c r="B67" s="163"/>
      <c r="C67" s="163"/>
      <c r="D67" s="165"/>
      <c r="E67" s="163"/>
      <c r="F67" s="326"/>
      <c r="G67" s="326"/>
    </row>
    <row r="68" spans="1:7" x14ac:dyDescent="0.3">
      <c r="A68" s="325"/>
      <c r="B68" s="163"/>
      <c r="C68" s="163"/>
      <c r="D68" s="165"/>
      <c r="E68" s="163"/>
      <c r="F68" s="163"/>
      <c r="G68" s="163"/>
    </row>
    <row r="69" spans="1:7" x14ac:dyDescent="0.3">
      <c r="A69" s="325"/>
      <c r="B69" s="163"/>
      <c r="C69" s="163"/>
      <c r="D69" s="165"/>
      <c r="E69" s="163"/>
      <c r="F69" s="163"/>
      <c r="G69" s="163"/>
    </row>
    <row r="70" spans="1:7" x14ac:dyDescent="0.3">
      <c r="A70" s="325"/>
      <c r="B70" s="163"/>
      <c r="C70" s="163"/>
      <c r="D70" s="165"/>
      <c r="E70" s="163"/>
      <c r="F70" s="163"/>
      <c r="G70" s="163"/>
    </row>
    <row r="71" spans="1:7" x14ac:dyDescent="0.3">
      <c r="A71" s="325"/>
      <c r="B71" s="163"/>
      <c r="C71" s="163"/>
      <c r="D71" s="165"/>
      <c r="E71" s="163"/>
      <c r="F71" s="163"/>
      <c r="G71" s="163"/>
    </row>
    <row r="72" spans="1:7" x14ac:dyDescent="0.3">
      <c r="A72" s="163"/>
      <c r="B72" s="163"/>
      <c r="C72" s="163"/>
      <c r="D72" s="163"/>
      <c r="E72" s="163"/>
      <c r="F72" s="163"/>
      <c r="G72" s="163"/>
    </row>
    <row r="73" spans="1:7" x14ac:dyDescent="0.3">
      <c r="A73" s="163"/>
      <c r="B73" s="164"/>
      <c r="C73" s="164"/>
      <c r="D73" s="164"/>
      <c r="E73" s="163"/>
      <c r="F73" s="324"/>
      <c r="G73" s="324"/>
    </row>
    <row r="74" spans="1:7" x14ac:dyDescent="0.3">
      <c r="A74" s="325"/>
      <c r="B74" s="163"/>
      <c r="C74" s="163"/>
      <c r="D74" s="165"/>
      <c r="E74" s="163"/>
      <c r="F74" s="163"/>
      <c r="G74" s="163"/>
    </row>
    <row r="75" spans="1:7" x14ac:dyDescent="0.3">
      <c r="A75" s="325"/>
      <c r="B75" s="163"/>
      <c r="C75" s="163"/>
      <c r="D75" s="165"/>
      <c r="E75" s="163"/>
      <c r="F75" s="163"/>
      <c r="G75" s="163"/>
    </row>
    <row r="76" spans="1:7" x14ac:dyDescent="0.3">
      <c r="A76" s="325"/>
      <c r="B76" s="163"/>
      <c r="C76" s="163"/>
      <c r="D76" s="165"/>
      <c r="E76" s="163"/>
      <c r="F76" s="163"/>
      <c r="G76" s="163"/>
    </row>
    <row r="77" spans="1:7" x14ac:dyDescent="0.3">
      <c r="A77" s="325"/>
      <c r="B77" s="163"/>
      <c r="C77" s="163"/>
      <c r="D77" s="165"/>
      <c r="E77" s="163"/>
      <c r="F77" s="163"/>
      <c r="G77" s="163"/>
    </row>
    <row r="78" spans="1:7" x14ac:dyDescent="0.3">
      <c r="A78" s="325"/>
      <c r="B78" s="163"/>
      <c r="C78" s="163"/>
      <c r="D78" s="165"/>
      <c r="E78" s="163"/>
      <c r="F78" s="163"/>
      <c r="G78" s="163"/>
    </row>
    <row r="79" spans="1:7" x14ac:dyDescent="0.3">
      <c r="A79" s="325"/>
      <c r="B79" s="163"/>
      <c r="C79" s="163"/>
      <c r="D79" s="165"/>
      <c r="E79" s="163"/>
      <c r="F79" s="163"/>
      <c r="G79" s="163"/>
    </row>
    <row r="80" spans="1:7" x14ac:dyDescent="0.3">
      <c r="A80" s="325"/>
      <c r="B80" s="163"/>
      <c r="C80" s="163"/>
      <c r="D80" s="165"/>
      <c r="E80" s="163"/>
      <c r="F80" s="324"/>
      <c r="G80" s="324"/>
    </row>
    <row r="81" spans="1:7" x14ac:dyDescent="0.3">
      <c r="A81" s="325"/>
      <c r="B81" s="163"/>
      <c r="C81" s="163"/>
      <c r="D81" s="165"/>
      <c r="E81" s="163"/>
      <c r="F81" s="326"/>
      <c r="G81" s="326"/>
    </row>
    <row r="82" spans="1:7" x14ac:dyDescent="0.3">
      <c r="A82" s="325"/>
      <c r="B82" s="163"/>
      <c r="C82" s="163"/>
      <c r="D82" s="165"/>
      <c r="E82" s="163"/>
      <c r="F82" s="326"/>
      <c r="G82" s="326"/>
    </row>
    <row r="83" spans="1:7" x14ac:dyDescent="0.3">
      <c r="A83" s="325"/>
      <c r="B83" s="163"/>
      <c r="C83" s="163"/>
      <c r="D83" s="165"/>
      <c r="E83" s="163"/>
      <c r="F83" s="326"/>
      <c r="G83" s="326"/>
    </row>
    <row r="84" spans="1:7" x14ac:dyDescent="0.3">
      <c r="A84" s="325"/>
      <c r="B84" s="163"/>
      <c r="C84" s="163"/>
      <c r="D84" s="165"/>
      <c r="E84" s="163"/>
      <c r="F84" s="326"/>
      <c r="G84" s="326"/>
    </row>
    <row r="85" spans="1:7" x14ac:dyDescent="0.3">
      <c r="A85" s="325"/>
      <c r="B85" s="163"/>
      <c r="C85" s="163"/>
      <c r="D85" s="165"/>
      <c r="E85" s="163"/>
      <c r="F85" s="326"/>
      <c r="G85" s="326"/>
    </row>
    <row r="86" spans="1:7" x14ac:dyDescent="0.3">
      <c r="A86" s="325"/>
      <c r="B86" s="163"/>
      <c r="C86" s="163"/>
      <c r="D86" s="165"/>
      <c r="E86" s="163"/>
      <c r="F86" s="163"/>
      <c r="G86" s="163"/>
    </row>
    <row r="87" spans="1:7" x14ac:dyDescent="0.3">
      <c r="A87" s="325"/>
      <c r="B87" s="163"/>
      <c r="C87" s="163"/>
      <c r="D87" s="165"/>
      <c r="E87" s="163"/>
      <c r="F87" s="163"/>
      <c r="G87" s="163"/>
    </row>
    <row r="88" spans="1:7" x14ac:dyDescent="0.3">
      <c r="A88" s="325"/>
      <c r="B88" s="163"/>
      <c r="C88" s="163"/>
      <c r="D88" s="165"/>
      <c r="E88" s="163"/>
      <c r="F88" s="163"/>
      <c r="G88" s="163"/>
    </row>
    <row r="89" spans="1:7" x14ac:dyDescent="0.3">
      <c r="A89" s="325"/>
      <c r="B89" s="163"/>
      <c r="C89" s="163"/>
      <c r="D89" s="165"/>
      <c r="E89" s="163"/>
      <c r="F89" s="163"/>
      <c r="G89" s="163"/>
    </row>
  </sheetData>
  <sheetProtection selectLockedCells="1"/>
  <mergeCells count="35">
    <mergeCell ref="A86:A89"/>
    <mergeCell ref="A68:A71"/>
    <mergeCell ref="F73:G73"/>
    <mergeCell ref="A74:A77"/>
    <mergeCell ref="A78:A81"/>
    <mergeCell ref="F80:G80"/>
    <mergeCell ref="F81:G85"/>
    <mergeCell ref="A82:A85"/>
    <mergeCell ref="A50:A53"/>
    <mergeCell ref="F55:G55"/>
    <mergeCell ref="A56:A59"/>
    <mergeCell ref="A60:A63"/>
    <mergeCell ref="F62:G62"/>
    <mergeCell ref="F63:G67"/>
    <mergeCell ref="A64:A67"/>
    <mergeCell ref="A32:A35"/>
    <mergeCell ref="F37:G37"/>
    <mergeCell ref="A38:A41"/>
    <mergeCell ref="A42:A45"/>
    <mergeCell ref="F44:G44"/>
    <mergeCell ref="F45:G49"/>
    <mergeCell ref="A46:A49"/>
    <mergeCell ref="F19:G19"/>
    <mergeCell ref="A20:A23"/>
    <mergeCell ref="A24:A27"/>
    <mergeCell ref="F26:G26"/>
    <mergeCell ref="F27:G31"/>
    <mergeCell ref="A28:A31"/>
    <mergeCell ref="A2:A5"/>
    <mergeCell ref="A6:A9"/>
    <mergeCell ref="A10:A13"/>
    <mergeCell ref="A14:A17"/>
    <mergeCell ref="F1:G1"/>
    <mergeCell ref="F8:G8"/>
    <mergeCell ref="F9:G13"/>
  </mergeCells>
  <pageMargins left="0.7" right="0.7" top="0.75" bottom="0.75" header="0.3" footer="0.3"/>
  <legacy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85"/>
  <sheetViews>
    <sheetView showGridLines="0" topLeftCell="A64" workbookViewId="0">
      <selection activeCell="C81" sqref="C81"/>
    </sheetView>
  </sheetViews>
  <sheetFormatPr defaultRowHeight="14.4" x14ac:dyDescent="0.3"/>
  <cols>
    <col min="1" max="1" width="22.44140625" style="70" bestFit="1" customWidth="1"/>
    <col min="2" max="3" width="9.109375" style="70"/>
  </cols>
  <sheetData>
    <row r="1" spans="1:3" x14ac:dyDescent="0.3">
      <c r="A1" s="327" t="s">
        <v>1128</v>
      </c>
      <c r="B1" s="63" t="s">
        <v>15</v>
      </c>
      <c r="C1" s="63">
        <f>COUNTIF('Override Control Env1'!$I$9:$I$41,B1)</f>
        <v>0</v>
      </c>
    </row>
    <row r="2" spans="1:3" x14ac:dyDescent="0.3">
      <c r="A2" s="327"/>
      <c r="B2" s="63" t="s">
        <v>26</v>
      </c>
      <c r="C2" s="63">
        <f>COUNTIF('Override Control Env1'!$I$9:$I$41,B2)</f>
        <v>0</v>
      </c>
    </row>
    <row r="3" spans="1:3" x14ac:dyDescent="0.3">
      <c r="A3" s="327"/>
      <c r="B3" s="63" t="s">
        <v>37</v>
      </c>
      <c r="C3" s="63">
        <f>COUNTIF('Override Control Env1'!$I$9:$I$41,B3)</f>
        <v>0</v>
      </c>
    </row>
    <row r="4" spans="1:3" x14ac:dyDescent="0.3">
      <c r="A4" s="327"/>
      <c r="B4" s="63" t="s">
        <v>48</v>
      </c>
      <c r="C4" s="63">
        <f>COUNTIF('Override Control Env1'!$I$9:$I$41,B4)</f>
        <v>0</v>
      </c>
    </row>
    <row r="5" spans="1:3" x14ac:dyDescent="0.3">
      <c r="A5" s="327"/>
      <c r="B5" s="63" t="s">
        <v>1142</v>
      </c>
      <c r="C5" s="63">
        <f>COUNTIF('Override Control Env1'!$I$9:$I$41,0)</f>
        <v>33</v>
      </c>
    </row>
    <row r="6" spans="1:3" x14ac:dyDescent="0.3">
      <c r="A6" s="327" t="s">
        <v>306</v>
      </c>
      <c r="B6" s="63" t="s">
        <v>15</v>
      </c>
      <c r="C6" s="63">
        <f>COUNTIF('Override Control Env1'!$I$42:$I$46,B6)</f>
        <v>0</v>
      </c>
    </row>
    <row r="7" spans="1:3" x14ac:dyDescent="0.3">
      <c r="A7" s="327"/>
      <c r="B7" s="63" t="s">
        <v>26</v>
      </c>
      <c r="C7" s="63">
        <f>COUNTIF('Override Control Env1'!$I$42:$I$46,B7)</f>
        <v>0</v>
      </c>
    </row>
    <row r="8" spans="1:3" x14ac:dyDescent="0.3">
      <c r="A8" s="327"/>
      <c r="B8" s="63" t="s">
        <v>37</v>
      </c>
      <c r="C8" s="63">
        <f>COUNTIF('Override Control Env1'!$I$42:$I$46,B8)</f>
        <v>0</v>
      </c>
    </row>
    <row r="9" spans="1:3" x14ac:dyDescent="0.3">
      <c r="A9" s="327"/>
      <c r="B9" s="63" t="s">
        <v>48</v>
      </c>
      <c r="C9" s="63">
        <f>COUNTIF('Override Control Env1'!$I$42:$I$46,B9)</f>
        <v>0</v>
      </c>
    </row>
    <row r="10" spans="1:3" x14ac:dyDescent="0.3">
      <c r="A10" s="327"/>
      <c r="B10" s="63" t="s">
        <v>1142</v>
      </c>
      <c r="C10" s="63">
        <f>COUNTIF('Override Control Env1'!$I$42:$I$46,0)</f>
        <v>5</v>
      </c>
    </row>
    <row r="11" spans="1:3" x14ac:dyDescent="0.3">
      <c r="A11" s="327" t="s">
        <v>327</v>
      </c>
      <c r="B11" s="63" t="s">
        <v>15</v>
      </c>
      <c r="C11" s="63">
        <f>COUNTIF('Override Control Env1'!$I$47:$I$59,B11)</f>
        <v>0</v>
      </c>
    </row>
    <row r="12" spans="1:3" x14ac:dyDescent="0.3">
      <c r="A12" s="327"/>
      <c r="B12" s="63" t="s">
        <v>26</v>
      </c>
      <c r="C12" s="63">
        <f>COUNTIF('Override Control Env1'!$I$47:$I$59,B12)</f>
        <v>0</v>
      </c>
    </row>
    <row r="13" spans="1:3" x14ac:dyDescent="0.3">
      <c r="A13" s="327"/>
      <c r="B13" s="63" t="s">
        <v>37</v>
      </c>
      <c r="C13" s="63">
        <f>COUNTIF('Override Control Env1'!$I$47:$I$59,B13)</f>
        <v>0</v>
      </c>
    </row>
    <row r="14" spans="1:3" x14ac:dyDescent="0.3">
      <c r="A14" s="327"/>
      <c r="B14" s="63" t="s">
        <v>48</v>
      </c>
      <c r="C14" s="63">
        <f>COUNTIF('Override Control Env1'!$I$47:$I$59,B14)</f>
        <v>0</v>
      </c>
    </row>
    <row r="15" spans="1:3" x14ac:dyDescent="0.3">
      <c r="A15" s="327"/>
      <c r="B15" s="63" t="s">
        <v>1142</v>
      </c>
      <c r="C15" s="63">
        <f>COUNTIF('Override Control Env1'!$I$47:$I$59,0)</f>
        <v>13</v>
      </c>
    </row>
    <row r="16" spans="1:3" x14ac:dyDescent="0.3">
      <c r="A16" s="327" t="s">
        <v>1134</v>
      </c>
      <c r="B16" s="63" t="s">
        <v>15</v>
      </c>
      <c r="C16" s="63">
        <f>COUNTIF('Override Control Env1'!$I$60:$I$76,B16)</f>
        <v>0</v>
      </c>
    </row>
    <row r="17" spans="1:3" x14ac:dyDescent="0.3">
      <c r="A17" s="327"/>
      <c r="B17" s="63" t="s">
        <v>26</v>
      </c>
      <c r="C17" s="63">
        <f>COUNTIF('Override Control Env1'!$I$60:$I$76,B17)</f>
        <v>0</v>
      </c>
    </row>
    <row r="18" spans="1:3" x14ac:dyDescent="0.3">
      <c r="A18" s="327"/>
      <c r="B18" s="63" t="s">
        <v>37</v>
      </c>
      <c r="C18" s="63">
        <f>COUNTIF('Override Control Env1'!$I$60:$I$76,B18)</f>
        <v>0</v>
      </c>
    </row>
    <row r="19" spans="1:3" x14ac:dyDescent="0.3">
      <c r="A19" s="327"/>
      <c r="B19" s="63" t="s">
        <v>48</v>
      </c>
      <c r="C19" s="63">
        <f>COUNTIF('Override Control Env1'!$I$60:$I$76,B19)</f>
        <v>0</v>
      </c>
    </row>
    <row r="20" spans="1:3" x14ac:dyDescent="0.3">
      <c r="A20" s="327"/>
      <c r="B20" s="63" t="s">
        <v>1142</v>
      </c>
      <c r="C20" s="63">
        <f>COUNTIF('Override Control Env1'!$I$60:$I$76,0)</f>
        <v>17</v>
      </c>
    </row>
    <row r="21" spans="1:3" x14ac:dyDescent="0.3">
      <c r="A21" s="327" t="s">
        <v>1143</v>
      </c>
      <c r="B21" s="63" t="s">
        <v>15</v>
      </c>
      <c r="C21" s="63">
        <f>COUNTIF('Override Control Env1'!$I$77:$I$101,B21)</f>
        <v>0</v>
      </c>
    </row>
    <row r="22" spans="1:3" x14ac:dyDescent="0.3">
      <c r="A22" s="327"/>
      <c r="B22" s="63" t="s">
        <v>26</v>
      </c>
      <c r="C22" s="63">
        <f>COUNTIF('Override Control Env1'!$I$77:$I$101,B22)</f>
        <v>0</v>
      </c>
    </row>
    <row r="23" spans="1:3" x14ac:dyDescent="0.3">
      <c r="A23" s="327"/>
      <c r="B23" s="63" t="s">
        <v>37</v>
      </c>
      <c r="C23" s="63">
        <f>COUNTIF('Override Control Env1'!$I$77:$I$101,B23)</f>
        <v>0</v>
      </c>
    </row>
    <row r="24" spans="1:3" x14ac:dyDescent="0.3">
      <c r="A24" s="327"/>
      <c r="B24" s="63" t="s">
        <v>48</v>
      </c>
      <c r="C24" s="63">
        <f>COUNTIF('Override Control Env1'!$I$77:$I$101,B24)</f>
        <v>0</v>
      </c>
    </row>
    <row r="25" spans="1:3" x14ac:dyDescent="0.3">
      <c r="A25" s="327"/>
      <c r="B25" s="63" t="s">
        <v>1142</v>
      </c>
      <c r="C25" s="63">
        <f>COUNTIF('Override Control Env1'!$I$77:$I$101,B25)</f>
        <v>0</v>
      </c>
    </row>
    <row r="26" spans="1:3" x14ac:dyDescent="0.3">
      <c r="A26" s="327" t="s">
        <v>504</v>
      </c>
      <c r="B26" s="63" t="s">
        <v>15</v>
      </c>
      <c r="C26" s="63">
        <f>COUNTIF('Override Control Env1'!$I$104:$I$116,B26)</f>
        <v>0</v>
      </c>
    </row>
    <row r="27" spans="1:3" x14ac:dyDescent="0.3">
      <c r="A27" s="327"/>
      <c r="B27" s="63" t="s">
        <v>26</v>
      </c>
      <c r="C27" s="63">
        <f>COUNTIF('Override Control Env1'!$I$104:$I$116,B27)</f>
        <v>0</v>
      </c>
    </row>
    <row r="28" spans="1:3" x14ac:dyDescent="0.3">
      <c r="A28" s="327"/>
      <c r="B28" s="63" t="s">
        <v>37</v>
      </c>
      <c r="C28" s="63">
        <f>COUNTIF('Override Control Env1'!$I$104:$I$116,B28)</f>
        <v>0</v>
      </c>
    </row>
    <row r="29" spans="1:3" x14ac:dyDescent="0.3">
      <c r="A29" s="327"/>
      <c r="B29" s="63" t="s">
        <v>48</v>
      </c>
      <c r="C29" s="63">
        <f>COUNTIF('Override Control Env1'!$I$104:$I$116,B29)</f>
        <v>0</v>
      </c>
    </row>
    <row r="30" spans="1:3" x14ac:dyDescent="0.3">
      <c r="A30" s="327"/>
      <c r="B30" s="63" t="s">
        <v>1142</v>
      </c>
      <c r="C30" s="63">
        <f>COUNTIF('Override Control Env1'!$I$104:$I$116,0)</f>
        <v>13</v>
      </c>
    </row>
    <row r="31" spans="1:3" x14ac:dyDescent="0.3">
      <c r="A31" s="328" t="s">
        <v>1135</v>
      </c>
      <c r="B31" s="63" t="s">
        <v>15</v>
      </c>
      <c r="C31" s="63">
        <f>COUNTIF('Override Control Env1'!$I$117:$I$135,B31)</f>
        <v>0</v>
      </c>
    </row>
    <row r="32" spans="1:3" x14ac:dyDescent="0.3">
      <c r="A32" s="328"/>
      <c r="B32" s="63" t="s">
        <v>26</v>
      </c>
      <c r="C32" s="63">
        <f>COUNTIF('Override Control Env1'!$I$117:$I$135,B32)</f>
        <v>0</v>
      </c>
    </row>
    <row r="33" spans="1:3" x14ac:dyDescent="0.3">
      <c r="A33" s="328"/>
      <c r="B33" s="63" t="s">
        <v>37</v>
      </c>
      <c r="C33" s="63">
        <f>COUNTIF('Override Control Env1'!$I$117:$I$135,B33)</f>
        <v>0</v>
      </c>
    </row>
    <row r="34" spans="1:3" x14ac:dyDescent="0.3">
      <c r="A34" s="328"/>
      <c r="B34" s="63" t="s">
        <v>48</v>
      </c>
      <c r="C34" s="63">
        <f>COUNTIF('Override Control Env1'!$I$117:$I$135,B34)</f>
        <v>0</v>
      </c>
    </row>
    <row r="35" spans="1:3" x14ac:dyDescent="0.3">
      <c r="A35" s="328"/>
      <c r="B35" s="63" t="s">
        <v>1142</v>
      </c>
      <c r="C35" s="63">
        <f>COUNTIF('Override Control Env1'!$I$117:$I$135,0)</f>
        <v>19</v>
      </c>
    </row>
    <row r="36" spans="1:3" x14ac:dyDescent="0.3">
      <c r="A36" s="327" t="s">
        <v>1136</v>
      </c>
      <c r="B36" s="63" t="s">
        <v>15</v>
      </c>
      <c r="C36" s="63">
        <f>COUNTIF('Override Control Env1'!$I$136:$I$147,B36)</f>
        <v>0</v>
      </c>
    </row>
    <row r="37" spans="1:3" x14ac:dyDescent="0.3">
      <c r="A37" s="327"/>
      <c r="B37" s="63" t="s">
        <v>26</v>
      </c>
      <c r="C37" s="63">
        <f>COUNTIF('Override Control Env1'!$I$136:$I$147,B37)</f>
        <v>0</v>
      </c>
    </row>
    <row r="38" spans="1:3" x14ac:dyDescent="0.3">
      <c r="A38" s="327"/>
      <c r="B38" s="63" t="s">
        <v>37</v>
      </c>
      <c r="C38" s="63">
        <f>COUNTIF('Override Control Env1'!$I$136:$I$147,B38)</f>
        <v>0</v>
      </c>
    </row>
    <row r="39" spans="1:3" x14ac:dyDescent="0.3">
      <c r="A39" s="327"/>
      <c r="B39" s="63" t="s">
        <v>48</v>
      </c>
      <c r="C39" s="63">
        <f>COUNTIF('Override Control Env1'!$I$136:$I$147,B39)</f>
        <v>0</v>
      </c>
    </row>
    <row r="40" spans="1:3" x14ac:dyDescent="0.3">
      <c r="A40" s="327"/>
      <c r="B40" s="63" t="s">
        <v>1142</v>
      </c>
      <c r="C40" s="63">
        <f>COUNTIF('Override Control Env1'!$I$136:$I$147,0)</f>
        <v>12</v>
      </c>
    </row>
    <row r="41" spans="1:3" x14ac:dyDescent="0.3">
      <c r="A41" s="327" t="s">
        <v>661</v>
      </c>
      <c r="B41" s="63" t="s">
        <v>15</v>
      </c>
      <c r="C41" s="63">
        <f>COUNTIF('Override Control Env1'!$I$148:$I$163,B41)</f>
        <v>0</v>
      </c>
    </row>
    <row r="42" spans="1:3" x14ac:dyDescent="0.3">
      <c r="A42" s="327"/>
      <c r="B42" s="63" t="s">
        <v>26</v>
      </c>
      <c r="C42" s="63">
        <f>COUNTIF('Override Control Env1'!$I$148:$I$163,B42)</f>
        <v>0</v>
      </c>
    </row>
    <row r="43" spans="1:3" x14ac:dyDescent="0.3">
      <c r="A43" s="327"/>
      <c r="B43" s="63" t="s">
        <v>37</v>
      </c>
      <c r="C43" s="63">
        <f>COUNTIF('Override Control Env1'!$I$148:$I$163,B43)</f>
        <v>0</v>
      </c>
    </row>
    <row r="44" spans="1:3" x14ac:dyDescent="0.3">
      <c r="A44" s="327"/>
      <c r="B44" s="63" t="s">
        <v>48</v>
      </c>
      <c r="C44" s="63">
        <f>COUNTIF('Override Control Env1'!$I$148:$I$163,B44)</f>
        <v>0</v>
      </c>
    </row>
    <row r="45" spans="1:3" x14ac:dyDescent="0.3">
      <c r="A45" s="327"/>
      <c r="B45" s="63" t="s">
        <v>1142</v>
      </c>
      <c r="C45" s="63">
        <f>COUNTIF('Override Control Env1'!$I$148:$I$163,0)</f>
        <v>16</v>
      </c>
    </row>
    <row r="46" spans="1:3" x14ac:dyDescent="0.3">
      <c r="A46" s="327" t="s">
        <v>706</v>
      </c>
      <c r="B46" s="63" t="s">
        <v>15</v>
      </c>
      <c r="C46" s="63">
        <f>COUNTIF('Override Control Env1'!$I$164:$I$173,B46)</f>
        <v>0</v>
      </c>
    </row>
    <row r="47" spans="1:3" x14ac:dyDescent="0.3">
      <c r="A47" s="327"/>
      <c r="B47" s="63" t="s">
        <v>26</v>
      </c>
      <c r="C47" s="63">
        <f>COUNTIF('Override Control Env1'!$I$164:$I$173,B47)</f>
        <v>0</v>
      </c>
    </row>
    <row r="48" spans="1:3" x14ac:dyDescent="0.3">
      <c r="A48" s="327"/>
      <c r="B48" s="63" t="s">
        <v>37</v>
      </c>
      <c r="C48" s="63">
        <f>COUNTIF('Override Control Env1'!$I$164:$I$173,B48)</f>
        <v>0</v>
      </c>
    </row>
    <row r="49" spans="1:3" x14ac:dyDescent="0.3">
      <c r="A49" s="327"/>
      <c r="B49" s="63" t="s">
        <v>48</v>
      </c>
      <c r="C49" s="63">
        <f>COUNTIF('Override Control Env1'!$I$164:$I$173,B49)</f>
        <v>0</v>
      </c>
    </row>
    <row r="50" spans="1:3" x14ac:dyDescent="0.3">
      <c r="A50" s="327"/>
      <c r="B50" s="63" t="s">
        <v>1142</v>
      </c>
      <c r="C50" s="63">
        <f>COUNTIF('Override Control Env1'!$I$164:$I$173,0)</f>
        <v>10</v>
      </c>
    </row>
    <row r="51" spans="1:3" x14ac:dyDescent="0.3">
      <c r="A51" s="327" t="s">
        <v>1137</v>
      </c>
      <c r="B51" s="63" t="s">
        <v>15</v>
      </c>
      <c r="C51" s="63">
        <f>COUNTIF('Override Control Env1'!$I$174:$I$200,B51)</f>
        <v>0</v>
      </c>
    </row>
    <row r="52" spans="1:3" x14ac:dyDescent="0.3">
      <c r="A52" s="327"/>
      <c r="B52" s="63" t="s">
        <v>26</v>
      </c>
      <c r="C52" s="63">
        <f>COUNTIF('Override Control Env1'!$I$174:$I$200,B52)</f>
        <v>0</v>
      </c>
    </row>
    <row r="53" spans="1:3" x14ac:dyDescent="0.3">
      <c r="A53" s="327"/>
      <c r="B53" s="63" t="s">
        <v>37</v>
      </c>
      <c r="C53" s="63">
        <f>COUNTIF('Override Control Env1'!$I$174:$I$200,B53)</f>
        <v>0</v>
      </c>
    </row>
    <row r="54" spans="1:3" x14ac:dyDescent="0.3">
      <c r="A54" s="327"/>
      <c r="B54" s="63" t="s">
        <v>48</v>
      </c>
      <c r="C54" s="63">
        <f>COUNTIF('Override Control Env1'!$I$174:$I$200,B54)</f>
        <v>0</v>
      </c>
    </row>
    <row r="55" spans="1:3" x14ac:dyDescent="0.3">
      <c r="A55" s="327"/>
      <c r="B55" s="63" t="s">
        <v>1142</v>
      </c>
      <c r="C55" s="63">
        <f>COUNTIF('Override Control Env1'!$I$174:$I$200,0)</f>
        <v>27</v>
      </c>
    </row>
    <row r="56" spans="1:3" x14ac:dyDescent="0.3">
      <c r="A56" s="327" t="s">
        <v>836</v>
      </c>
      <c r="B56" s="63" t="s">
        <v>15</v>
      </c>
      <c r="C56" s="63">
        <f>COUNTIF('Override Control Env1'!$I$201:$I$213,B56)</f>
        <v>0</v>
      </c>
    </row>
    <row r="57" spans="1:3" x14ac:dyDescent="0.3">
      <c r="A57" s="327"/>
      <c r="B57" s="63" t="s">
        <v>26</v>
      </c>
      <c r="C57" s="63">
        <f>COUNTIF('Override Control Env1'!$I$201:$I$213,B57)</f>
        <v>0</v>
      </c>
    </row>
    <row r="58" spans="1:3" x14ac:dyDescent="0.3">
      <c r="A58" s="327"/>
      <c r="B58" s="63" t="s">
        <v>37</v>
      </c>
      <c r="C58" s="63">
        <f>COUNTIF('Override Control Env1'!$I$201:$I$213,B58)</f>
        <v>0</v>
      </c>
    </row>
    <row r="59" spans="1:3" x14ac:dyDescent="0.3">
      <c r="A59" s="327"/>
      <c r="B59" s="63" t="s">
        <v>48</v>
      </c>
      <c r="C59" s="63">
        <f>COUNTIF('Override Control Env1'!$I$201:$I$213,B59)</f>
        <v>0</v>
      </c>
    </row>
    <row r="60" spans="1:3" x14ac:dyDescent="0.3">
      <c r="A60" s="327"/>
      <c r="B60" s="63" t="s">
        <v>1142</v>
      </c>
      <c r="C60" s="63">
        <f>COUNTIF('Override Control Env1'!$I$201:$I$213,0)</f>
        <v>13</v>
      </c>
    </row>
    <row r="61" spans="1:3" x14ac:dyDescent="0.3">
      <c r="A61" s="327" t="s">
        <v>872</v>
      </c>
      <c r="B61" s="63" t="s">
        <v>15</v>
      </c>
      <c r="C61" s="63">
        <f>COUNTIF('Override Control Env1'!$I$214:$I$224,B61)</f>
        <v>0</v>
      </c>
    </row>
    <row r="62" spans="1:3" x14ac:dyDescent="0.3">
      <c r="A62" s="327"/>
      <c r="B62" s="63" t="s">
        <v>26</v>
      </c>
      <c r="C62" s="63">
        <f>COUNTIF('Override Control Env1'!$I$214:$I$224,B62)</f>
        <v>0</v>
      </c>
    </row>
    <row r="63" spans="1:3" x14ac:dyDescent="0.3">
      <c r="A63" s="327"/>
      <c r="B63" s="63" t="s">
        <v>37</v>
      </c>
      <c r="C63" s="63">
        <f>COUNTIF('Override Control Env1'!$I$214:$I$224,B63)</f>
        <v>0</v>
      </c>
    </row>
    <row r="64" spans="1:3" x14ac:dyDescent="0.3">
      <c r="A64" s="327"/>
      <c r="B64" s="63" t="s">
        <v>48</v>
      </c>
      <c r="C64" s="63">
        <f>COUNTIF('Override Control Env1'!$I$214:$I$224,B64)</f>
        <v>0</v>
      </c>
    </row>
    <row r="65" spans="1:3" x14ac:dyDescent="0.3">
      <c r="A65" s="327"/>
      <c r="B65" s="63" t="s">
        <v>1142</v>
      </c>
      <c r="C65" s="63">
        <f>COUNTIF('Override Control Env1'!$I$214:$I$224,0)</f>
        <v>11</v>
      </c>
    </row>
    <row r="66" spans="1:3" x14ac:dyDescent="0.3">
      <c r="A66" s="327" t="s">
        <v>1138</v>
      </c>
      <c r="B66" s="63" t="s">
        <v>15</v>
      </c>
      <c r="C66" s="63">
        <f>COUNTIF('Override Control Env1'!$I$225:$I$228,B66)</f>
        <v>0</v>
      </c>
    </row>
    <row r="67" spans="1:3" x14ac:dyDescent="0.3">
      <c r="A67" s="327"/>
      <c r="B67" s="63" t="s">
        <v>26</v>
      </c>
      <c r="C67" s="63">
        <f>COUNTIF('Override Control Env1'!$I$225:$I$228,B67)</f>
        <v>0</v>
      </c>
    </row>
    <row r="68" spans="1:3" x14ac:dyDescent="0.3">
      <c r="A68" s="327"/>
      <c r="B68" s="63" t="s">
        <v>37</v>
      </c>
      <c r="C68" s="63">
        <f>COUNTIF('Override Control Env1'!$I$225:$I$228,B68)</f>
        <v>0</v>
      </c>
    </row>
    <row r="69" spans="1:3" x14ac:dyDescent="0.3">
      <c r="A69" s="327"/>
      <c r="B69" s="63" t="s">
        <v>48</v>
      </c>
      <c r="C69" s="63">
        <f>COUNTIF('Override Control Env1'!$I$225:$I$228,B69)</f>
        <v>0</v>
      </c>
    </row>
    <row r="70" spans="1:3" x14ac:dyDescent="0.3">
      <c r="A70" s="327"/>
      <c r="B70" s="63" t="s">
        <v>1142</v>
      </c>
      <c r="C70" s="63">
        <f>COUNTIF('Override Control Env1'!$I$225:$I$228,0)</f>
        <v>4</v>
      </c>
    </row>
    <row r="71" spans="1:3" x14ac:dyDescent="0.3">
      <c r="A71" s="327" t="s">
        <v>1139</v>
      </c>
      <c r="B71" s="63" t="s">
        <v>15</v>
      </c>
      <c r="C71" s="63">
        <f>COUNTIF('Override Control Env1'!$I$229:$I$241,B71)</f>
        <v>0</v>
      </c>
    </row>
    <row r="72" spans="1:3" x14ac:dyDescent="0.3">
      <c r="A72" s="327"/>
      <c r="B72" s="63" t="s">
        <v>26</v>
      </c>
      <c r="C72" s="63">
        <f>COUNTIF('Override Control Env1'!$I$229:$I$241,B72)</f>
        <v>0</v>
      </c>
    </row>
    <row r="73" spans="1:3" x14ac:dyDescent="0.3">
      <c r="A73" s="327"/>
      <c r="B73" s="63" t="s">
        <v>37</v>
      </c>
      <c r="C73" s="63">
        <f>COUNTIF('Override Control Env1'!$I$229:$I$241,B73)</f>
        <v>0</v>
      </c>
    </row>
    <row r="74" spans="1:3" x14ac:dyDescent="0.3">
      <c r="A74" s="327"/>
      <c r="B74" s="63" t="s">
        <v>48</v>
      </c>
      <c r="C74" s="63">
        <f>COUNTIF('Override Control Env1'!$I$229:$I$241,B74)</f>
        <v>0</v>
      </c>
    </row>
    <row r="75" spans="1:3" x14ac:dyDescent="0.3">
      <c r="A75" s="327"/>
      <c r="B75" s="63" t="s">
        <v>1142</v>
      </c>
      <c r="C75" s="63">
        <f>COUNTIF('Override Control Env1'!$I$229:$I$241,B75)</f>
        <v>0</v>
      </c>
    </row>
    <row r="76" spans="1:3" x14ac:dyDescent="0.3">
      <c r="A76" s="327" t="s">
        <v>1140</v>
      </c>
      <c r="B76" s="63" t="s">
        <v>15</v>
      </c>
      <c r="C76" s="63">
        <f>COUNTIF('Override Control Env1'!$I$242:$I$268,B76)</f>
        <v>0</v>
      </c>
    </row>
    <row r="77" spans="1:3" x14ac:dyDescent="0.3">
      <c r="A77" s="327"/>
      <c r="B77" s="63" t="s">
        <v>26</v>
      </c>
      <c r="C77" s="63">
        <f>COUNTIF('Override Control Env1'!$I$242:$I$268,B77)</f>
        <v>0</v>
      </c>
    </row>
    <row r="78" spans="1:3" x14ac:dyDescent="0.3">
      <c r="A78" s="327"/>
      <c r="B78" s="63" t="s">
        <v>37</v>
      </c>
      <c r="C78" s="63">
        <f>COUNTIF('Override Control Env1'!$I$242:$I$268,B78)</f>
        <v>0</v>
      </c>
    </row>
    <row r="79" spans="1:3" x14ac:dyDescent="0.3">
      <c r="A79" s="327"/>
      <c r="B79" s="63" t="s">
        <v>48</v>
      </c>
      <c r="C79" s="63">
        <f>COUNTIF('Override Control Env1'!$I$242:$I$268,B79)</f>
        <v>0</v>
      </c>
    </row>
    <row r="80" spans="1:3" x14ac:dyDescent="0.3">
      <c r="A80" s="327"/>
      <c r="B80" s="63" t="s">
        <v>1142</v>
      </c>
      <c r="C80" s="63">
        <f>COUNTIF('Override Control Env1'!$I$242:$I$268,0)</f>
        <v>27</v>
      </c>
    </row>
    <row r="81" spans="1:3" x14ac:dyDescent="0.3">
      <c r="A81" s="327" t="s">
        <v>1141</v>
      </c>
      <c r="B81" s="63" t="s">
        <v>15</v>
      </c>
      <c r="C81" s="63">
        <f>COUNTIF('Override Control Env1'!$I$269:$I$282,B81)</f>
        <v>0</v>
      </c>
    </row>
    <row r="82" spans="1:3" x14ac:dyDescent="0.3">
      <c r="A82" s="327"/>
      <c r="B82" s="63" t="s">
        <v>26</v>
      </c>
      <c r="C82" s="63">
        <f>COUNTIF('Override Control Env1'!$I$269:$I$282,B82)</f>
        <v>0</v>
      </c>
    </row>
    <row r="83" spans="1:3" x14ac:dyDescent="0.3">
      <c r="A83" s="327"/>
      <c r="B83" s="63" t="s">
        <v>37</v>
      </c>
      <c r="C83" s="63">
        <f>COUNTIF('Override Control Env1'!$I$269:$I$282,B83)</f>
        <v>0</v>
      </c>
    </row>
    <row r="84" spans="1:3" x14ac:dyDescent="0.3">
      <c r="A84" s="327"/>
      <c r="B84" s="63" t="s">
        <v>48</v>
      </c>
      <c r="C84" s="63">
        <f>COUNTIF('Override Control Env1'!$I$269:$I$282,B84)</f>
        <v>0</v>
      </c>
    </row>
    <row r="85" spans="1:3" x14ac:dyDescent="0.3">
      <c r="A85" s="327"/>
      <c r="B85" s="63" t="s">
        <v>1142</v>
      </c>
      <c r="C85" s="63">
        <f>COUNTIF('Override Control Env1'!$I$269:$I$282,0)</f>
        <v>14</v>
      </c>
    </row>
  </sheetData>
  <mergeCells count="17">
    <mergeCell ref="A61:A65"/>
    <mergeCell ref="A66:A70"/>
    <mergeCell ref="A71:A75"/>
    <mergeCell ref="A76:A80"/>
    <mergeCell ref="A81:A85"/>
    <mergeCell ref="A56:A60"/>
    <mergeCell ref="A1:A5"/>
    <mergeCell ref="A6:A10"/>
    <mergeCell ref="A11:A15"/>
    <mergeCell ref="A16:A20"/>
    <mergeCell ref="A21:A25"/>
    <mergeCell ref="A26:A30"/>
    <mergeCell ref="A31:A35"/>
    <mergeCell ref="A36:A40"/>
    <mergeCell ref="A41:A45"/>
    <mergeCell ref="A46:A50"/>
    <mergeCell ref="A51:A55"/>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C85"/>
  <sheetViews>
    <sheetView showGridLines="0" topLeftCell="A61" workbookViewId="0">
      <selection activeCell="C84" sqref="C84"/>
    </sheetView>
  </sheetViews>
  <sheetFormatPr defaultColWidth="9" defaultRowHeight="14.4" x14ac:dyDescent="0.3"/>
  <cols>
    <col min="1" max="1" width="22.44140625" style="70" bestFit="1" customWidth="1"/>
    <col min="2" max="3" width="9" style="70"/>
    <col min="4" max="16384" width="9" style="14"/>
  </cols>
  <sheetData>
    <row r="1" spans="1:3" x14ac:dyDescent="0.3">
      <c r="A1" s="327" t="s">
        <v>1128</v>
      </c>
      <c r="B1" s="63" t="s">
        <v>15</v>
      </c>
      <c r="C1" s="63">
        <f>COUNTIF('Override Control Env2'!$I$9:$I$41,B1)</f>
        <v>0</v>
      </c>
    </row>
    <row r="2" spans="1:3" x14ac:dyDescent="0.3">
      <c r="A2" s="327"/>
      <c r="B2" s="63" t="s">
        <v>26</v>
      </c>
      <c r="C2" s="63">
        <f>COUNTIF('Override Control Env2'!$I$9:$I$41,B2)</f>
        <v>0</v>
      </c>
    </row>
    <row r="3" spans="1:3" x14ac:dyDescent="0.3">
      <c r="A3" s="327"/>
      <c r="B3" s="63" t="s">
        <v>37</v>
      </c>
      <c r="C3" s="63">
        <f>COUNTIF('Override Control Env2'!$I$9:$I$41,B3)</f>
        <v>0</v>
      </c>
    </row>
    <row r="4" spans="1:3" x14ac:dyDescent="0.3">
      <c r="A4" s="327"/>
      <c r="B4" s="63" t="s">
        <v>48</v>
      </c>
      <c r="C4" s="63">
        <f>COUNTIF('Override Control Env2'!$I$9:$I$41,B4)</f>
        <v>0</v>
      </c>
    </row>
    <row r="5" spans="1:3" x14ac:dyDescent="0.3">
      <c r="A5" s="327"/>
      <c r="B5" s="63" t="s">
        <v>1142</v>
      </c>
      <c r="C5" s="63">
        <f>COUNTIF('Override Control Env2'!$I$9:$I$41,0)</f>
        <v>33</v>
      </c>
    </row>
    <row r="6" spans="1:3" x14ac:dyDescent="0.3">
      <c r="A6" s="327" t="s">
        <v>306</v>
      </c>
      <c r="B6" s="63" t="s">
        <v>15</v>
      </c>
      <c r="C6" s="63">
        <f>COUNTIF('Override Control Env2'!$I$42:$I$46,B6)</f>
        <v>0</v>
      </c>
    </row>
    <row r="7" spans="1:3" x14ac:dyDescent="0.3">
      <c r="A7" s="327"/>
      <c r="B7" s="63" t="s">
        <v>26</v>
      </c>
      <c r="C7" s="63">
        <f>COUNTIF('Override Control Env2'!$I$42:$I$46,B7)</f>
        <v>0</v>
      </c>
    </row>
    <row r="8" spans="1:3" x14ac:dyDescent="0.3">
      <c r="A8" s="327"/>
      <c r="B8" s="63" t="s">
        <v>37</v>
      </c>
      <c r="C8" s="63">
        <f>COUNTIF('Override Control Env2'!$I$42:$I$46,B8)</f>
        <v>0</v>
      </c>
    </row>
    <row r="9" spans="1:3" x14ac:dyDescent="0.3">
      <c r="A9" s="327"/>
      <c r="B9" s="63" t="s">
        <v>48</v>
      </c>
      <c r="C9" s="63">
        <f>COUNTIF('Override Control Env2'!$I$42:$I$46,B9)</f>
        <v>0</v>
      </c>
    </row>
    <row r="10" spans="1:3" x14ac:dyDescent="0.3">
      <c r="A10" s="327"/>
      <c r="B10" s="63" t="s">
        <v>1142</v>
      </c>
      <c r="C10" s="63">
        <f>COUNTIF('Override Control Env2'!$I$42:$I$46,0)</f>
        <v>5</v>
      </c>
    </row>
    <row r="11" spans="1:3" x14ac:dyDescent="0.3">
      <c r="A11" s="327" t="s">
        <v>327</v>
      </c>
      <c r="B11" s="63" t="s">
        <v>15</v>
      </c>
      <c r="C11" s="63">
        <f>COUNTIF('Override Control Env2'!$I$47:$I$59,B11)</f>
        <v>0</v>
      </c>
    </row>
    <row r="12" spans="1:3" x14ac:dyDescent="0.3">
      <c r="A12" s="327"/>
      <c r="B12" s="63" t="s">
        <v>26</v>
      </c>
      <c r="C12" s="63">
        <f>COUNTIF('Override Control Env2'!$I$47:$I$59,B12)</f>
        <v>0</v>
      </c>
    </row>
    <row r="13" spans="1:3" x14ac:dyDescent="0.3">
      <c r="A13" s="327"/>
      <c r="B13" s="63" t="s">
        <v>37</v>
      </c>
      <c r="C13" s="63">
        <f>COUNTIF('Override Control Env2'!$I$47:$I$59,B13)</f>
        <v>0</v>
      </c>
    </row>
    <row r="14" spans="1:3" x14ac:dyDescent="0.3">
      <c r="A14" s="327"/>
      <c r="B14" s="63" t="s">
        <v>48</v>
      </c>
      <c r="C14" s="63">
        <f>COUNTIF('Override Control Env2'!$I$47:$I$59,B14)</f>
        <v>0</v>
      </c>
    </row>
    <row r="15" spans="1:3" x14ac:dyDescent="0.3">
      <c r="A15" s="327"/>
      <c r="B15" s="63" t="s">
        <v>1142</v>
      </c>
      <c r="C15" s="63">
        <f>COUNTIF('Override Control Env2'!$I$47:$I$59,0)</f>
        <v>13</v>
      </c>
    </row>
    <row r="16" spans="1:3" x14ac:dyDescent="0.3">
      <c r="A16" s="327" t="s">
        <v>1134</v>
      </c>
      <c r="B16" s="63" t="s">
        <v>15</v>
      </c>
      <c r="C16" s="63">
        <f>COUNTIF('Override Control Env2'!$I$60:$I$76,B16)</f>
        <v>0</v>
      </c>
    </row>
    <row r="17" spans="1:3" x14ac:dyDescent="0.3">
      <c r="A17" s="327"/>
      <c r="B17" s="63" t="s">
        <v>26</v>
      </c>
      <c r="C17" s="63">
        <f>COUNTIF('Override Control Env2'!$I$60:$I$76,B17)</f>
        <v>0</v>
      </c>
    </row>
    <row r="18" spans="1:3" x14ac:dyDescent="0.3">
      <c r="A18" s="327"/>
      <c r="B18" s="63" t="s">
        <v>37</v>
      </c>
      <c r="C18" s="63">
        <f>COUNTIF('Override Control Env2'!$I$60:$I$76,B18)</f>
        <v>0</v>
      </c>
    </row>
    <row r="19" spans="1:3" x14ac:dyDescent="0.3">
      <c r="A19" s="327"/>
      <c r="B19" s="63" t="s">
        <v>48</v>
      </c>
      <c r="C19" s="63">
        <f>COUNTIF('Override Control Env2'!$I$60:$I$76,B19)</f>
        <v>0</v>
      </c>
    </row>
    <row r="20" spans="1:3" x14ac:dyDescent="0.3">
      <c r="A20" s="327"/>
      <c r="B20" s="63" t="s">
        <v>1142</v>
      </c>
      <c r="C20" s="63">
        <f>COUNTIF('Override Control Env2'!$I$60:$I$76,0)</f>
        <v>17</v>
      </c>
    </row>
    <row r="21" spans="1:3" x14ac:dyDescent="0.3">
      <c r="A21" s="327" t="s">
        <v>1143</v>
      </c>
      <c r="B21" s="63" t="s">
        <v>15</v>
      </c>
      <c r="C21" s="63">
        <f>COUNTIF('Override Control Env2'!$I$77:$I$101,B21)</f>
        <v>0</v>
      </c>
    </row>
    <row r="22" spans="1:3" x14ac:dyDescent="0.3">
      <c r="A22" s="327"/>
      <c r="B22" s="63" t="s">
        <v>26</v>
      </c>
      <c r="C22" s="63">
        <f>COUNTIF('Override Control Env2'!$I$77:$I$101,B22)</f>
        <v>0</v>
      </c>
    </row>
    <row r="23" spans="1:3" x14ac:dyDescent="0.3">
      <c r="A23" s="327"/>
      <c r="B23" s="63" t="s">
        <v>37</v>
      </c>
      <c r="C23" s="63">
        <f>COUNTIF('Override Control Env2'!$I$77:$I$101,B23)</f>
        <v>0</v>
      </c>
    </row>
    <row r="24" spans="1:3" x14ac:dyDescent="0.3">
      <c r="A24" s="327"/>
      <c r="B24" s="63" t="s">
        <v>48</v>
      </c>
      <c r="C24" s="63">
        <f>COUNTIF('Override Control Env2'!$I$77:$I$101,B24)</f>
        <v>0</v>
      </c>
    </row>
    <row r="25" spans="1:3" x14ac:dyDescent="0.3">
      <c r="A25" s="327"/>
      <c r="B25" s="63" t="s">
        <v>1142</v>
      </c>
      <c r="C25" s="63">
        <f>COUNTIF('Override Control Env2'!$I$77:$I$101,B25)</f>
        <v>0</v>
      </c>
    </row>
    <row r="26" spans="1:3" x14ac:dyDescent="0.3">
      <c r="A26" s="327" t="s">
        <v>504</v>
      </c>
      <c r="B26" s="63" t="s">
        <v>15</v>
      </c>
      <c r="C26" s="63">
        <f>COUNTIF('Override Control Env2'!$I$104:$I$116,B26)</f>
        <v>0</v>
      </c>
    </row>
    <row r="27" spans="1:3" x14ac:dyDescent="0.3">
      <c r="A27" s="327"/>
      <c r="B27" s="63" t="s">
        <v>26</v>
      </c>
      <c r="C27" s="63">
        <f>COUNTIF('Override Control Env2'!$I$104:$I$116,B27)</f>
        <v>0</v>
      </c>
    </row>
    <row r="28" spans="1:3" x14ac:dyDescent="0.3">
      <c r="A28" s="327"/>
      <c r="B28" s="63" t="s">
        <v>37</v>
      </c>
      <c r="C28" s="63">
        <f>COUNTIF('Override Control Env2'!$I$104:$I$116,B28)</f>
        <v>0</v>
      </c>
    </row>
    <row r="29" spans="1:3" x14ac:dyDescent="0.3">
      <c r="A29" s="327"/>
      <c r="B29" s="63" t="s">
        <v>48</v>
      </c>
      <c r="C29" s="63">
        <f>COUNTIF('Override Control Env2'!$I$104:$I$116,B29)</f>
        <v>0</v>
      </c>
    </row>
    <row r="30" spans="1:3" x14ac:dyDescent="0.3">
      <c r="A30" s="327"/>
      <c r="B30" s="63" t="s">
        <v>1142</v>
      </c>
      <c r="C30" s="63">
        <f>COUNTIF('Override Control Env2'!$I$104:$I$116,0)</f>
        <v>13</v>
      </c>
    </row>
    <row r="31" spans="1:3" x14ac:dyDescent="0.3">
      <c r="A31" s="328" t="s">
        <v>1135</v>
      </c>
      <c r="B31" s="63" t="s">
        <v>15</v>
      </c>
      <c r="C31" s="63">
        <f>COUNTIF('Override Control Env2'!$I$117:$I$135,B31)</f>
        <v>0</v>
      </c>
    </row>
    <row r="32" spans="1:3" x14ac:dyDescent="0.3">
      <c r="A32" s="328"/>
      <c r="B32" s="63" t="s">
        <v>26</v>
      </c>
      <c r="C32" s="63">
        <f>COUNTIF('Override Control Env2'!$I$117:$I$135,B32)</f>
        <v>0</v>
      </c>
    </row>
    <row r="33" spans="1:3" x14ac:dyDescent="0.3">
      <c r="A33" s="328"/>
      <c r="B33" s="63" t="s">
        <v>37</v>
      </c>
      <c r="C33" s="63">
        <f>COUNTIF('Override Control Env2'!$I$117:$I$135,B33)</f>
        <v>0</v>
      </c>
    </row>
    <row r="34" spans="1:3" x14ac:dyDescent="0.3">
      <c r="A34" s="328"/>
      <c r="B34" s="63" t="s">
        <v>48</v>
      </c>
      <c r="C34" s="63">
        <f>COUNTIF('Override Control Env2'!$I$117:$I$135,B34)</f>
        <v>0</v>
      </c>
    </row>
    <row r="35" spans="1:3" x14ac:dyDescent="0.3">
      <c r="A35" s="328"/>
      <c r="B35" s="63" t="s">
        <v>1142</v>
      </c>
      <c r="C35" s="63">
        <f>COUNTIF('Override Control Env2'!$I$117:$I$135,0)</f>
        <v>19</v>
      </c>
    </row>
    <row r="36" spans="1:3" x14ac:dyDescent="0.3">
      <c r="A36" s="327" t="s">
        <v>1136</v>
      </c>
      <c r="B36" s="63" t="s">
        <v>15</v>
      </c>
      <c r="C36" s="63">
        <f>COUNTIF('Override Control Env2'!$I$136:$I$147,B36)</f>
        <v>0</v>
      </c>
    </row>
    <row r="37" spans="1:3" x14ac:dyDescent="0.3">
      <c r="A37" s="327"/>
      <c r="B37" s="63" t="s">
        <v>26</v>
      </c>
      <c r="C37" s="63">
        <f>COUNTIF('Override Control Env2'!$I$136:$I$147,B37)</f>
        <v>0</v>
      </c>
    </row>
    <row r="38" spans="1:3" x14ac:dyDescent="0.3">
      <c r="A38" s="327"/>
      <c r="B38" s="63" t="s">
        <v>37</v>
      </c>
      <c r="C38" s="63">
        <f>COUNTIF('Override Control Env2'!$I$136:$I$147,B38)</f>
        <v>0</v>
      </c>
    </row>
    <row r="39" spans="1:3" x14ac:dyDescent="0.3">
      <c r="A39" s="327"/>
      <c r="B39" s="63" t="s">
        <v>48</v>
      </c>
      <c r="C39" s="63">
        <f>COUNTIF('Override Control Env2'!$I$136:$I$147,B39)</f>
        <v>0</v>
      </c>
    </row>
    <row r="40" spans="1:3" x14ac:dyDescent="0.3">
      <c r="A40" s="327"/>
      <c r="B40" s="63" t="s">
        <v>1142</v>
      </c>
      <c r="C40" s="63">
        <f>COUNTIF('Override Control Env2'!$I$136:$I$147,0)</f>
        <v>12</v>
      </c>
    </row>
    <row r="41" spans="1:3" x14ac:dyDescent="0.3">
      <c r="A41" s="327" t="s">
        <v>661</v>
      </c>
      <c r="B41" s="63" t="s">
        <v>15</v>
      </c>
      <c r="C41" s="63">
        <f>COUNTIF('Override Control Env2'!$I$148:$I$163,B41)</f>
        <v>0</v>
      </c>
    </row>
    <row r="42" spans="1:3" x14ac:dyDescent="0.3">
      <c r="A42" s="327"/>
      <c r="B42" s="63" t="s">
        <v>26</v>
      </c>
      <c r="C42" s="63">
        <f>COUNTIF('Override Control Env2'!$I$148:$I$163,B42)</f>
        <v>0</v>
      </c>
    </row>
    <row r="43" spans="1:3" x14ac:dyDescent="0.3">
      <c r="A43" s="327"/>
      <c r="B43" s="63" t="s">
        <v>37</v>
      </c>
      <c r="C43" s="63">
        <f>COUNTIF('Override Control Env2'!$I$148:$I$163,B43)</f>
        <v>0</v>
      </c>
    </row>
    <row r="44" spans="1:3" x14ac:dyDescent="0.3">
      <c r="A44" s="327"/>
      <c r="B44" s="63" t="s">
        <v>48</v>
      </c>
      <c r="C44" s="63">
        <f>COUNTIF('Override Control Env2'!$I$148:$I$163,B44)</f>
        <v>0</v>
      </c>
    </row>
    <row r="45" spans="1:3" x14ac:dyDescent="0.3">
      <c r="A45" s="327"/>
      <c r="B45" s="63" t="s">
        <v>1142</v>
      </c>
      <c r="C45" s="63">
        <f>COUNTIF('Override Control Env2'!$I$148:$I$163,0)</f>
        <v>16</v>
      </c>
    </row>
    <row r="46" spans="1:3" x14ac:dyDescent="0.3">
      <c r="A46" s="327" t="s">
        <v>706</v>
      </c>
      <c r="B46" s="63" t="s">
        <v>15</v>
      </c>
      <c r="C46" s="63">
        <f>COUNTIF('Override Control Env2'!$I$164:$I$173,B46)</f>
        <v>0</v>
      </c>
    </row>
    <row r="47" spans="1:3" x14ac:dyDescent="0.3">
      <c r="A47" s="327"/>
      <c r="B47" s="63" t="s">
        <v>26</v>
      </c>
      <c r="C47" s="63">
        <f>COUNTIF('Override Control Env2'!$I$164:$I$173,B47)</f>
        <v>0</v>
      </c>
    </row>
    <row r="48" spans="1:3" x14ac:dyDescent="0.3">
      <c r="A48" s="327"/>
      <c r="B48" s="63" t="s">
        <v>37</v>
      </c>
      <c r="C48" s="63">
        <f>COUNTIF('Override Control Env2'!$I$164:$I$173,B48)</f>
        <v>0</v>
      </c>
    </row>
    <row r="49" spans="1:3" x14ac:dyDescent="0.3">
      <c r="A49" s="327"/>
      <c r="B49" s="63" t="s">
        <v>48</v>
      </c>
      <c r="C49" s="63">
        <f>COUNTIF('Override Control Env2'!$I$164:$I$173,B49)</f>
        <v>0</v>
      </c>
    </row>
    <row r="50" spans="1:3" x14ac:dyDescent="0.3">
      <c r="A50" s="327"/>
      <c r="B50" s="63" t="s">
        <v>1142</v>
      </c>
      <c r="C50" s="63">
        <f>COUNTIF('Override Control Env2'!$I$164:$I$173,0)</f>
        <v>10</v>
      </c>
    </row>
    <row r="51" spans="1:3" x14ac:dyDescent="0.3">
      <c r="A51" s="327" t="s">
        <v>1137</v>
      </c>
      <c r="B51" s="63" t="s">
        <v>15</v>
      </c>
      <c r="C51" s="63">
        <f>COUNTIF('Override Control Env2'!$I$174:$I$200,B51)</f>
        <v>0</v>
      </c>
    </row>
    <row r="52" spans="1:3" x14ac:dyDescent="0.3">
      <c r="A52" s="327"/>
      <c r="B52" s="63" t="s">
        <v>26</v>
      </c>
      <c r="C52" s="63">
        <f>COUNTIF('Override Control Env2'!$I$174:$I$200,B52)</f>
        <v>0</v>
      </c>
    </row>
    <row r="53" spans="1:3" x14ac:dyDescent="0.3">
      <c r="A53" s="327"/>
      <c r="B53" s="63" t="s">
        <v>37</v>
      </c>
      <c r="C53" s="63">
        <f>COUNTIF('Override Control Env2'!$I$174:$I$200,B53)</f>
        <v>0</v>
      </c>
    </row>
    <row r="54" spans="1:3" x14ac:dyDescent="0.3">
      <c r="A54" s="327"/>
      <c r="B54" s="63" t="s">
        <v>48</v>
      </c>
      <c r="C54" s="63">
        <f>COUNTIF('Override Control Env2'!$I$174:$I$200,B54)</f>
        <v>0</v>
      </c>
    </row>
    <row r="55" spans="1:3" x14ac:dyDescent="0.3">
      <c r="A55" s="327"/>
      <c r="B55" s="63" t="s">
        <v>1142</v>
      </c>
      <c r="C55" s="63">
        <f>COUNTIF('Override Control Env2'!$I$174:$I$200,0)</f>
        <v>27</v>
      </c>
    </row>
    <row r="56" spans="1:3" x14ac:dyDescent="0.3">
      <c r="A56" s="327" t="s">
        <v>836</v>
      </c>
      <c r="B56" s="63" t="s">
        <v>15</v>
      </c>
      <c r="C56" s="63">
        <f>COUNTIF('Override Control Env2'!$I$201:$I$213,B56)</f>
        <v>0</v>
      </c>
    </row>
    <row r="57" spans="1:3" x14ac:dyDescent="0.3">
      <c r="A57" s="327"/>
      <c r="B57" s="63" t="s">
        <v>26</v>
      </c>
      <c r="C57" s="63">
        <f>COUNTIF('Override Control Env2'!$I$201:$I$213,B57)</f>
        <v>0</v>
      </c>
    </row>
    <row r="58" spans="1:3" x14ac:dyDescent="0.3">
      <c r="A58" s="327"/>
      <c r="B58" s="63" t="s">
        <v>37</v>
      </c>
      <c r="C58" s="63">
        <f>COUNTIF('Override Control Env2'!$I$201:$I$213,B58)</f>
        <v>0</v>
      </c>
    </row>
    <row r="59" spans="1:3" x14ac:dyDescent="0.3">
      <c r="A59" s="327"/>
      <c r="B59" s="63" t="s">
        <v>48</v>
      </c>
      <c r="C59" s="63">
        <f>COUNTIF('Override Control Env2'!$I$201:$I$213,B59)</f>
        <v>0</v>
      </c>
    </row>
    <row r="60" spans="1:3" x14ac:dyDescent="0.3">
      <c r="A60" s="327"/>
      <c r="B60" s="63" t="s">
        <v>1142</v>
      </c>
      <c r="C60" s="63">
        <f>COUNTIF('Override Control Env2'!$I$201:$I$213,0)</f>
        <v>13</v>
      </c>
    </row>
    <row r="61" spans="1:3" x14ac:dyDescent="0.3">
      <c r="A61" s="327" t="s">
        <v>872</v>
      </c>
      <c r="B61" s="63" t="s">
        <v>15</v>
      </c>
      <c r="C61" s="63">
        <f>COUNTIF('Override Control Env2'!$I$214:$I$224,B61)</f>
        <v>0</v>
      </c>
    </row>
    <row r="62" spans="1:3" x14ac:dyDescent="0.3">
      <c r="A62" s="327"/>
      <c r="B62" s="63" t="s">
        <v>26</v>
      </c>
      <c r="C62" s="63">
        <f>COUNTIF('Override Control Env2'!$I$214:$I$224,B62)</f>
        <v>0</v>
      </c>
    </row>
    <row r="63" spans="1:3" x14ac:dyDescent="0.3">
      <c r="A63" s="327"/>
      <c r="B63" s="63" t="s">
        <v>37</v>
      </c>
      <c r="C63" s="63">
        <f>COUNTIF('Override Control Env2'!$I$214:$I$224,B63)</f>
        <v>0</v>
      </c>
    </row>
    <row r="64" spans="1:3" x14ac:dyDescent="0.3">
      <c r="A64" s="327"/>
      <c r="B64" s="63" t="s">
        <v>48</v>
      </c>
      <c r="C64" s="63">
        <f>COUNTIF('Override Control Env2'!$I$214:$I$224,B64)</f>
        <v>0</v>
      </c>
    </row>
    <row r="65" spans="1:3" x14ac:dyDescent="0.3">
      <c r="A65" s="327"/>
      <c r="B65" s="63" t="s">
        <v>1142</v>
      </c>
      <c r="C65" s="63">
        <f>COUNTIF('Override Control Env2'!$I$214:$I$224,0)</f>
        <v>11</v>
      </c>
    </row>
    <row r="66" spans="1:3" x14ac:dyDescent="0.3">
      <c r="A66" s="327" t="s">
        <v>1138</v>
      </c>
      <c r="B66" s="63" t="s">
        <v>15</v>
      </c>
      <c r="C66" s="63">
        <f>COUNTIF('Override Control Env2'!$I$225:$I$228,B66)</f>
        <v>0</v>
      </c>
    </row>
    <row r="67" spans="1:3" x14ac:dyDescent="0.3">
      <c r="A67" s="327"/>
      <c r="B67" s="63" t="s">
        <v>26</v>
      </c>
      <c r="C67" s="63">
        <f>COUNTIF('Override Control Env2'!$I$225:$I$228,B67)</f>
        <v>0</v>
      </c>
    </row>
    <row r="68" spans="1:3" x14ac:dyDescent="0.3">
      <c r="A68" s="327"/>
      <c r="B68" s="63" t="s">
        <v>37</v>
      </c>
      <c r="C68" s="63">
        <f>COUNTIF('Override Control Env2'!$I$225:$I$228,B68)</f>
        <v>0</v>
      </c>
    </row>
    <row r="69" spans="1:3" x14ac:dyDescent="0.3">
      <c r="A69" s="327"/>
      <c r="B69" s="63" t="s">
        <v>48</v>
      </c>
      <c r="C69" s="63">
        <f>COUNTIF('Override Control Env2'!$I$225:$I$228,B69)</f>
        <v>0</v>
      </c>
    </row>
    <row r="70" spans="1:3" x14ac:dyDescent="0.3">
      <c r="A70" s="327"/>
      <c r="B70" s="63" t="s">
        <v>1142</v>
      </c>
      <c r="C70" s="63">
        <f>COUNTIF('Override Control Env2'!$I$225:$I$228,0)</f>
        <v>4</v>
      </c>
    </row>
    <row r="71" spans="1:3" x14ac:dyDescent="0.3">
      <c r="A71" s="327" t="s">
        <v>1139</v>
      </c>
      <c r="B71" s="63" t="s">
        <v>15</v>
      </c>
      <c r="C71" s="63">
        <f>COUNTIF('Override Control Env2'!$I$229:$I$241,B71)</f>
        <v>0</v>
      </c>
    </row>
    <row r="72" spans="1:3" x14ac:dyDescent="0.3">
      <c r="A72" s="327"/>
      <c r="B72" s="63" t="s">
        <v>26</v>
      </c>
      <c r="C72" s="63">
        <f>COUNTIF('Override Control Env2'!$I$229:$I$241,B72)</f>
        <v>0</v>
      </c>
    </row>
    <row r="73" spans="1:3" x14ac:dyDescent="0.3">
      <c r="A73" s="327"/>
      <c r="B73" s="63" t="s">
        <v>37</v>
      </c>
      <c r="C73" s="63">
        <f>COUNTIF('Override Control Env2'!$I$229:$I$241,B73)</f>
        <v>0</v>
      </c>
    </row>
    <row r="74" spans="1:3" x14ac:dyDescent="0.3">
      <c r="A74" s="327"/>
      <c r="B74" s="63" t="s">
        <v>48</v>
      </c>
      <c r="C74" s="63">
        <f>COUNTIF('Override Control Env2'!$I$229:$I$241,B74)</f>
        <v>0</v>
      </c>
    </row>
    <row r="75" spans="1:3" x14ac:dyDescent="0.3">
      <c r="A75" s="327"/>
      <c r="B75" s="63" t="s">
        <v>1142</v>
      </c>
      <c r="C75" s="63">
        <f>COUNTIF('Override Control Env2'!$I$229:$I$241,B75)</f>
        <v>0</v>
      </c>
    </row>
    <row r="76" spans="1:3" x14ac:dyDescent="0.3">
      <c r="A76" s="327" t="s">
        <v>1140</v>
      </c>
      <c r="B76" s="63" t="s">
        <v>15</v>
      </c>
      <c r="C76" s="63">
        <f>COUNTIF('Override Control Env2'!$I$242:$I$268,B76)</f>
        <v>0</v>
      </c>
    </row>
    <row r="77" spans="1:3" x14ac:dyDescent="0.3">
      <c r="A77" s="327"/>
      <c r="B77" s="63" t="s">
        <v>26</v>
      </c>
      <c r="C77" s="63">
        <f>COUNTIF('Override Control Env2'!$I$242:$I$268,B77)</f>
        <v>0</v>
      </c>
    </row>
    <row r="78" spans="1:3" x14ac:dyDescent="0.3">
      <c r="A78" s="327"/>
      <c r="B78" s="63" t="s">
        <v>37</v>
      </c>
      <c r="C78" s="63">
        <f>COUNTIF('Override Control Env2'!$I$242:$I$268,B78)</f>
        <v>0</v>
      </c>
    </row>
    <row r="79" spans="1:3" x14ac:dyDescent="0.3">
      <c r="A79" s="327"/>
      <c r="B79" s="63" t="s">
        <v>48</v>
      </c>
      <c r="C79" s="63">
        <f>COUNTIF('Override Control Env2'!$I$242:$I$268,B79)</f>
        <v>0</v>
      </c>
    </row>
    <row r="80" spans="1:3" x14ac:dyDescent="0.3">
      <c r="A80" s="327"/>
      <c r="B80" s="63" t="s">
        <v>1142</v>
      </c>
      <c r="C80" s="63">
        <f>COUNTIF('Override Control Env2'!$I$242:$I$268,0)</f>
        <v>27</v>
      </c>
    </row>
    <row r="81" spans="1:3" x14ac:dyDescent="0.3">
      <c r="A81" s="327" t="s">
        <v>1141</v>
      </c>
      <c r="B81" s="63" t="s">
        <v>15</v>
      </c>
      <c r="C81" s="63">
        <f>COUNTIF('Override Control Env2'!$I$269:$I$282,B81)</f>
        <v>0</v>
      </c>
    </row>
    <row r="82" spans="1:3" x14ac:dyDescent="0.3">
      <c r="A82" s="327"/>
      <c r="B82" s="63" t="s">
        <v>26</v>
      </c>
      <c r="C82" s="63">
        <f>COUNTIF('Override Control Env2'!$I$269:$I$282,B82)</f>
        <v>0</v>
      </c>
    </row>
    <row r="83" spans="1:3" x14ac:dyDescent="0.3">
      <c r="A83" s="327"/>
      <c r="B83" s="63" t="s">
        <v>37</v>
      </c>
      <c r="C83" s="63">
        <f>COUNTIF('Override Control Env2'!$I$269:$I$282,B83)</f>
        <v>0</v>
      </c>
    </row>
    <row r="84" spans="1:3" x14ac:dyDescent="0.3">
      <c r="A84" s="327"/>
      <c r="B84" s="63" t="s">
        <v>48</v>
      </c>
      <c r="C84" s="63">
        <f>COUNTIF('Override Control Env2'!$I$269:$I$282,B84)</f>
        <v>0</v>
      </c>
    </row>
    <row r="85" spans="1:3" x14ac:dyDescent="0.3">
      <c r="A85" s="327"/>
      <c r="B85" s="63" t="s">
        <v>1142</v>
      </c>
      <c r="C85" s="63">
        <f>COUNTIF('Override Control Env2'!$I$269:$I$282,0)</f>
        <v>14</v>
      </c>
    </row>
  </sheetData>
  <mergeCells count="17">
    <mergeCell ref="A61:A65"/>
    <mergeCell ref="A66:A70"/>
    <mergeCell ref="A71:A75"/>
    <mergeCell ref="A76:A80"/>
    <mergeCell ref="A81:A85"/>
    <mergeCell ref="A56:A60"/>
    <mergeCell ref="A1:A5"/>
    <mergeCell ref="A6:A10"/>
    <mergeCell ref="A11:A15"/>
    <mergeCell ref="A16:A20"/>
    <mergeCell ref="A21:A25"/>
    <mergeCell ref="A26:A30"/>
    <mergeCell ref="A31:A35"/>
    <mergeCell ref="A36:A40"/>
    <mergeCell ref="A41:A45"/>
    <mergeCell ref="A46:A50"/>
    <mergeCell ref="A51:A55"/>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C85"/>
  <sheetViews>
    <sheetView showGridLines="0" topLeftCell="A61" workbookViewId="0">
      <selection activeCell="C84" sqref="C84"/>
    </sheetView>
  </sheetViews>
  <sheetFormatPr defaultColWidth="9" defaultRowHeight="14.4" x14ac:dyDescent="0.3"/>
  <cols>
    <col min="1" max="1" width="22.44140625" style="70" bestFit="1" customWidth="1"/>
    <col min="2" max="3" width="9" style="70"/>
    <col min="4" max="16384" width="9" style="14"/>
  </cols>
  <sheetData>
    <row r="1" spans="1:3" x14ac:dyDescent="0.3">
      <c r="A1" s="327" t="s">
        <v>1128</v>
      </c>
      <c r="B1" s="63" t="s">
        <v>15</v>
      </c>
      <c r="C1" s="63">
        <f>COUNTIF('Override Control Env3'!$I$9:$I$41,B1)</f>
        <v>0</v>
      </c>
    </row>
    <row r="2" spans="1:3" x14ac:dyDescent="0.3">
      <c r="A2" s="327"/>
      <c r="B2" s="63" t="s">
        <v>26</v>
      </c>
      <c r="C2" s="63">
        <f>COUNTIF('Override Control Env3'!$I$9:$I$41,B2)</f>
        <v>0</v>
      </c>
    </row>
    <row r="3" spans="1:3" x14ac:dyDescent="0.3">
      <c r="A3" s="327"/>
      <c r="B3" s="63" t="s">
        <v>37</v>
      </c>
      <c r="C3" s="63">
        <f>COUNTIF('Override Control Env3'!$I$9:$I$41,B3)</f>
        <v>0</v>
      </c>
    </row>
    <row r="4" spans="1:3" x14ac:dyDescent="0.3">
      <c r="A4" s="327"/>
      <c r="B4" s="63" t="s">
        <v>48</v>
      </c>
      <c r="C4" s="63">
        <f>COUNTIF('Override Control Env3'!$I$9:$I$41,B4)</f>
        <v>0</v>
      </c>
    </row>
    <row r="5" spans="1:3" x14ac:dyDescent="0.3">
      <c r="A5" s="327"/>
      <c r="B5" s="63" t="s">
        <v>1142</v>
      </c>
      <c r="C5" s="63">
        <f>COUNTIF('Override Control Env3'!$I$9:$I$41,0)</f>
        <v>33</v>
      </c>
    </row>
    <row r="6" spans="1:3" x14ac:dyDescent="0.3">
      <c r="A6" s="327" t="s">
        <v>306</v>
      </c>
      <c r="B6" s="63" t="s">
        <v>15</v>
      </c>
      <c r="C6" s="63">
        <f>COUNTIF('Override Control Env3'!$I$42:$I$46,B6)</f>
        <v>0</v>
      </c>
    </row>
    <row r="7" spans="1:3" x14ac:dyDescent="0.3">
      <c r="A7" s="327"/>
      <c r="B7" s="63" t="s">
        <v>26</v>
      </c>
      <c r="C7" s="63">
        <f>COUNTIF('Override Control Env3'!$I$42:$I$46,B7)</f>
        <v>0</v>
      </c>
    </row>
    <row r="8" spans="1:3" x14ac:dyDescent="0.3">
      <c r="A8" s="327"/>
      <c r="B8" s="63" t="s">
        <v>37</v>
      </c>
      <c r="C8" s="63">
        <f>COUNTIF('Override Control Env3'!$I$42:$I$46,B8)</f>
        <v>0</v>
      </c>
    </row>
    <row r="9" spans="1:3" x14ac:dyDescent="0.3">
      <c r="A9" s="327"/>
      <c r="B9" s="63" t="s">
        <v>48</v>
      </c>
      <c r="C9" s="63">
        <f>COUNTIF('Override Control Env3'!$I$42:$I$46,B9)</f>
        <v>0</v>
      </c>
    </row>
    <row r="10" spans="1:3" x14ac:dyDescent="0.3">
      <c r="A10" s="327"/>
      <c r="B10" s="63" t="s">
        <v>1142</v>
      </c>
      <c r="C10" s="63">
        <f>COUNTIF('Override Control Env3'!$I$42:$I$46,0)</f>
        <v>5</v>
      </c>
    </row>
    <row r="11" spans="1:3" x14ac:dyDescent="0.3">
      <c r="A11" s="327" t="s">
        <v>327</v>
      </c>
      <c r="B11" s="63" t="s">
        <v>15</v>
      </c>
      <c r="C11" s="63">
        <f>COUNTIF('Override Control Env3'!$I$47:$I$59,B11)</f>
        <v>0</v>
      </c>
    </row>
    <row r="12" spans="1:3" x14ac:dyDescent="0.3">
      <c r="A12" s="327"/>
      <c r="B12" s="63" t="s">
        <v>26</v>
      </c>
      <c r="C12" s="63">
        <f>COUNTIF('Override Control Env3'!$I$47:$I$59,B12)</f>
        <v>0</v>
      </c>
    </row>
    <row r="13" spans="1:3" x14ac:dyDescent="0.3">
      <c r="A13" s="327"/>
      <c r="B13" s="63" t="s">
        <v>37</v>
      </c>
      <c r="C13" s="63">
        <f>COUNTIF('Override Control Env3'!$I$47:$I$59,B13)</f>
        <v>0</v>
      </c>
    </row>
    <row r="14" spans="1:3" x14ac:dyDescent="0.3">
      <c r="A14" s="327"/>
      <c r="B14" s="63" t="s">
        <v>48</v>
      </c>
      <c r="C14" s="63">
        <f>COUNTIF('Override Control Env3'!$I$47:$I$59,B14)</f>
        <v>0</v>
      </c>
    </row>
    <row r="15" spans="1:3" x14ac:dyDescent="0.3">
      <c r="A15" s="327"/>
      <c r="B15" s="63" t="s">
        <v>1142</v>
      </c>
      <c r="C15" s="63">
        <f>COUNTIF('Override Control Env3'!$I$47:$I$59,0)</f>
        <v>13</v>
      </c>
    </row>
    <row r="16" spans="1:3" x14ac:dyDescent="0.3">
      <c r="A16" s="327" t="s">
        <v>1134</v>
      </c>
      <c r="B16" s="63" t="s">
        <v>15</v>
      </c>
      <c r="C16" s="63">
        <f>COUNTIF('Override Control Env3'!$I$60:$I$76,B16)</f>
        <v>0</v>
      </c>
    </row>
    <row r="17" spans="1:3" x14ac:dyDescent="0.3">
      <c r="A17" s="327"/>
      <c r="B17" s="63" t="s">
        <v>26</v>
      </c>
      <c r="C17" s="63">
        <f>COUNTIF('Override Control Env3'!$I$60:$I$76,B17)</f>
        <v>0</v>
      </c>
    </row>
    <row r="18" spans="1:3" x14ac:dyDescent="0.3">
      <c r="A18" s="327"/>
      <c r="B18" s="63" t="s">
        <v>37</v>
      </c>
      <c r="C18" s="63">
        <f>COUNTIF('Override Control Env3'!$I$60:$I$76,B18)</f>
        <v>0</v>
      </c>
    </row>
    <row r="19" spans="1:3" x14ac:dyDescent="0.3">
      <c r="A19" s="327"/>
      <c r="B19" s="63" t="s">
        <v>48</v>
      </c>
      <c r="C19" s="63">
        <f>COUNTIF('Override Control Env3'!$I$60:$I$76,B19)</f>
        <v>0</v>
      </c>
    </row>
    <row r="20" spans="1:3" x14ac:dyDescent="0.3">
      <c r="A20" s="327"/>
      <c r="B20" s="63" t="s">
        <v>1142</v>
      </c>
      <c r="C20" s="63">
        <f>COUNTIF('Override Control Env3'!$I$60:$I$76,0)</f>
        <v>17</v>
      </c>
    </row>
    <row r="21" spans="1:3" x14ac:dyDescent="0.3">
      <c r="A21" s="327" t="s">
        <v>1143</v>
      </c>
      <c r="B21" s="63" t="s">
        <v>15</v>
      </c>
      <c r="C21" s="63">
        <f>COUNTIF('Override Control Env3'!$I$77:$I$101,B21)</f>
        <v>0</v>
      </c>
    </row>
    <row r="22" spans="1:3" x14ac:dyDescent="0.3">
      <c r="A22" s="327"/>
      <c r="B22" s="63" t="s">
        <v>26</v>
      </c>
      <c r="C22" s="63">
        <f>COUNTIF('Override Control Env3'!$I$77:$I$101,B22)</f>
        <v>0</v>
      </c>
    </row>
    <row r="23" spans="1:3" x14ac:dyDescent="0.3">
      <c r="A23" s="327"/>
      <c r="B23" s="63" t="s">
        <v>37</v>
      </c>
      <c r="C23" s="63">
        <f>COUNTIF('Override Control Env3'!$I$77:$I$101,B23)</f>
        <v>0</v>
      </c>
    </row>
    <row r="24" spans="1:3" x14ac:dyDescent="0.3">
      <c r="A24" s="327"/>
      <c r="B24" s="63" t="s">
        <v>48</v>
      </c>
      <c r="C24" s="63">
        <f>COUNTIF('Override Control Env3'!$I$77:$I$101,B24)</f>
        <v>0</v>
      </c>
    </row>
    <row r="25" spans="1:3" x14ac:dyDescent="0.3">
      <c r="A25" s="327"/>
      <c r="B25" s="63" t="s">
        <v>1142</v>
      </c>
      <c r="C25" s="63">
        <f>COUNTIF('Override Control Env3'!$I$77:$I$101,B25)</f>
        <v>0</v>
      </c>
    </row>
    <row r="26" spans="1:3" x14ac:dyDescent="0.3">
      <c r="A26" s="327" t="s">
        <v>504</v>
      </c>
      <c r="B26" s="63" t="s">
        <v>15</v>
      </c>
      <c r="C26" s="63">
        <f>COUNTIF('Override Control Env3'!$I$104:$I$116,B26)</f>
        <v>0</v>
      </c>
    </row>
    <row r="27" spans="1:3" x14ac:dyDescent="0.3">
      <c r="A27" s="327"/>
      <c r="B27" s="63" t="s">
        <v>26</v>
      </c>
      <c r="C27" s="63">
        <f>COUNTIF('Override Control Env3'!$I$104:$I$116,B27)</f>
        <v>0</v>
      </c>
    </row>
    <row r="28" spans="1:3" x14ac:dyDescent="0.3">
      <c r="A28" s="327"/>
      <c r="B28" s="63" t="s">
        <v>37</v>
      </c>
      <c r="C28" s="63">
        <f>COUNTIF('Override Control Env3'!$I$104:$I$116,B28)</f>
        <v>0</v>
      </c>
    </row>
    <row r="29" spans="1:3" x14ac:dyDescent="0.3">
      <c r="A29" s="327"/>
      <c r="B29" s="63" t="s">
        <v>48</v>
      </c>
      <c r="C29" s="63">
        <f>COUNTIF('Override Control Env3'!$I$104:$I$116,B29)</f>
        <v>0</v>
      </c>
    </row>
    <row r="30" spans="1:3" x14ac:dyDescent="0.3">
      <c r="A30" s="327"/>
      <c r="B30" s="63" t="s">
        <v>1142</v>
      </c>
      <c r="C30" s="63">
        <f>COUNTIF('Override Control Env3'!$I$104:$I$116,0)</f>
        <v>13</v>
      </c>
    </row>
    <row r="31" spans="1:3" x14ac:dyDescent="0.3">
      <c r="A31" s="328" t="s">
        <v>1135</v>
      </c>
      <c r="B31" s="63" t="s">
        <v>15</v>
      </c>
      <c r="C31" s="63">
        <f>COUNTIF('Override Control Env3'!$I$117:$I$135,B31)</f>
        <v>0</v>
      </c>
    </row>
    <row r="32" spans="1:3" x14ac:dyDescent="0.3">
      <c r="A32" s="328"/>
      <c r="B32" s="63" t="s">
        <v>26</v>
      </c>
      <c r="C32" s="63">
        <f>COUNTIF('Override Control Env3'!$I$117:$I$135,B32)</f>
        <v>0</v>
      </c>
    </row>
    <row r="33" spans="1:3" x14ac:dyDescent="0.3">
      <c r="A33" s="328"/>
      <c r="B33" s="63" t="s">
        <v>37</v>
      </c>
      <c r="C33" s="63">
        <f>COUNTIF('Override Control Env3'!$I$117:$I$135,B33)</f>
        <v>0</v>
      </c>
    </row>
    <row r="34" spans="1:3" x14ac:dyDescent="0.3">
      <c r="A34" s="328"/>
      <c r="B34" s="63" t="s">
        <v>48</v>
      </c>
      <c r="C34" s="63">
        <f>COUNTIF('Override Control Env3'!$I$117:$I$135,B34)</f>
        <v>0</v>
      </c>
    </row>
    <row r="35" spans="1:3" x14ac:dyDescent="0.3">
      <c r="A35" s="328"/>
      <c r="B35" s="63" t="s">
        <v>1142</v>
      </c>
      <c r="C35" s="63">
        <f>COUNTIF('Override Control Env3'!$I$117:$I$135,0)</f>
        <v>19</v>
      </c>
    </row>
    <row r="36" spans="1:3" x14ac:dyDescent="0.3">
      <c r="A36" s="327" t="s">
        <v>1136</v>
      </c>
      <c r="B36" s="63" t="s">
        <v>15</v>
      </c>
      <c r="C36" s="63">
        <f>COUNTIF('Override Control Env3'!$I$136:$I$147,B36)</f>
        <v>0</v>
      </c>
    </row>
    <row r="37" spans="1:3" x14ac:dyDescent="0.3">
      <c r="A37" s="327"/>
      <c r="B37" s="63" t="s">
        <v>26</v>
      </c>
      <c r="C37" s="63">
        <f>COUNTIF('Override Control Env3'!$I$136:$I$147,B37)</f>
        <v>0</v>
      </c>
    </row>
    <row r="38" spans="1:3" x14ac:dyDescent="0.3">
      <c r="A38" s="327"/>
      <c r="B38" s="63" t="s">
        <v>37</v>
      </c>
      <c r="C38" s="63">
        <f>COUNTIF('Override Control Env3'!$I$136:$I$147,B38)</f>
        <v>0</v>
      </c>
    </row>
    <row r="39" spans="1:3" x14ac:dyDescent="0.3">
      <c r="A39" s="327"/>
      <c r="B39" s="63" t="s">
        <v>48</v>
      </c>
      <c r="C39" s="63">
        <f>COUNTIF('Override Control Env3'!$I$136:$I$147,B39)</f>
        <v>0</v>
      </c>
    </row>
    <row r="40" spans="1:3" x14ac:dyDescent="0.3">
      <c r="A40" s="327"/>
      <c r="B40" s="63" t="s">
        <v>1142</v>
      </c>
      <c r="C40" s="63">
        <f>COUNTIF('Override Control Env3'!$I$136:$I$147,0)</f>
        <v>12</v>
      </c>
    </row>
    <row r="41" spans="1:3" x14ac:dyDescent="0.3">
      <c r="A41" s="327" t="s">
        <v>661</v>
      </c>
      <c r="B41" s="63" t="s">
        <v>15</v>
      </c>
      <c r="C41" s="63">
        <f>COUNTIF('Override Control Env3'!$I$148:$I$163,B41)</f>
        <v>0</v>
      </c>
    </row>
    <row r="42" spans="1:3" x14ac:dyDescent="0.3">
      <c r="A42" s="327"/>
      <c r="B42" s="63" t="s">
        <v>26</v>
      </c>
      <c r="C42" s="63">
        <f>COUNTIF('Override Control Env3'!$I$148:$I$163,B42)</f>
        <v>0</v>
      </c>
    </row>
    <row r="43" spans="1:3" x14ac:dyDescent="0.3">
      <c r="A43" s="327"/>
      <c r="B43" s="63" t="s">
        <v>37</v>
      </c>
      <c r="C43" s="63">
        <f>COUNTIF('Override Control Env3'!$I$148:$I$163,B43)</f>
        <v>0</v>
      </c>
    </row>
    <row r="44" spans="1:3" x14ac:dyDescent="0.3">
      <c r="A44" s="327"/>
      <c r="B44" s="63" t="s">
        <v>48</v>
      </c>
      <c r="C44" s="63">
        <f>COUNTIF('Override Control Env3'!$I$148:$I$163,B44)</f>
        <v>0</v>
      </c>
    </row>
    <row r="45" spans="1:3" x14ac:dyDescent="0.3">
      <c r="A45" s="327"/>
      <c r="B45" s="63" t="s">
        <v>1142</v>
      </c>
      <c r="C45" s="63">
        <f>COUNTIF('Override Control Env3'!$I$148:$I$163,0)</f>
        <v>16</v>
      </c>
    </row>
    <row r="46" spans="1:3" x14ac:dyDescent="0.3">
      <c r="A46" s="327" t="s">
        <v>706</v>
      </c>
      <c r="B46" s="63" t="s">
        <v>15</v>
      </c>
      <c r="C46" s="63">
        <f>COUNTIF('Override Control Env3'!$I$164:$I$173,B46)</f>
        <v>0</v>
      </c>
    </row>
    <row r="47" spans="1:3" x14ac:dyDescent="0.3">
      <c r="A47" s="327"/>
      <c r="B47" s="63" t="s">
        <v>26</v>
      </c>
      <c r="C47" s="63">
        <f>COUNTIF('Override Control Env3'!$I$164:$I$173,B47)</f>
        <v>0</v>
      </c>
    </row>
    <row r="48" spans="1:3" x14ac:dyDescent="0.3">
      <c r="A48" s="327"/>
      <c r="B48" s="63" t="s">
        <v>37</v>
      </c>
      <c r="C48" s="63">
        <f>COUNTIF('Override Control Env3'!$I$164:$I$173,B48)</f>
        <v>0</v>
      </c>
    </row>
    <row r="49" spans="1:3" x14ac:dyDescent="0.3">
      <c r="A49" s="327"/>
      <c r="B49" s="63" t="s">
        <v>48</v>
      </c>
      <c r="C49" s="63">
        <f>COUNTIF('Override Control Env3'!$I$164:$I$173,B49)</f>
        <v>0</v>
      </c>
    </row>
    <row r="50" spans="1:3" x14ac:dyDescent="0.3">
      <c r="A50" s="327"/>
      <c r="B50" s="63" t="s">
        <v>1142</v>
      </c>
      <c r="C50" s="63">
        <f>COUNTIF('Override Control Env3'!$I$164:$I$173,0)</f>
        <v>10</v>
      </c>
    </row>
    <row r="51" spans="1:3" x14ac:dyDescent="0.3">
      <c r="A51" s="327" t="s">
        <v>1137</v>
      </c>
      <c r="B51" s="63" t="s">
        <v>15</v>
      </c>
      <c r="C51" s="63">
        <f>COUNTIF('Override Control Env3'!$I$174:$I$200,B51)</f>
        <v>0</v>
      </c>
    </row>
    <row r="52" spans="1:3" x14ac:dyDescent="0.3">
      <c r="A52" s="327"/>
      <c r="B52" s="63" t="s">
        <v>26</v>
      </c>
      <c r="C52" s="63">
        <f>COUNTIF('Override Control Env3'!$I$174:$I$200,B52)</f>
        <v>0</v>
      </c>
    </row>
    <row r="53" spans="1:3" x14ac:dyDescent="0.3">
      <c r="A53" s="327"/>
      <c r="B53" s="63" t="s">
        <v>37</v>
      </c>
      <c r="C53" s="63">
        <f>COUNTIF('Override Control Env3'!$I$174:$I$200,B53)</f>
        <v>0</v>
      </c>
    </row>
    <row r="54" spans="1:3" x14ac:dyDescent="0.3">
      <c r="A54" s="327"/>
      <c r="B54" s="63" t="s">
        <v>48</v>
      </c>
      <c r="C54" s="63">
        <f>COUNTIF('Override Control Env3'!$I$174:$I$200,B54)</f>
        <v>0</v>
      </c>
    </row>
    <row r="55" spans="1:3" x14ac:dyDescent="0.3">
      <c r="A55" s="327"/>
      <c r="B55" s="63" t="s">
        <v>1142</v>
      </c>
      <c r="C55" s="63">
        <f>COUNTIF('Override Control Env3'!$I$174:$I$200,0)</f>
        <v>27</v>
      </c>
    </row>
    <row r="56" spans="1:3" x14ac:dyDescent="0.3">
      <c r="A56" s="327" t="s">
        <v>836</v>
      </c>
      <c r="B56" s="63" t="s">
        <v>15</v>
      </c>
      <c r="C56" s="63">
        <f>COUNTIF('Override Control Env3'!$I$201:$I$213,B56)</f>
        <v>0</v>
      </c>
    </row>
    <row r="57" spans="1:3" x14ac:dyDescent="0.3">
      <c r="A57" s="327"/>
      <c r="B57" s="63" t="s">
        <v>26</v>
      </c>
      <c r="C57" s="63">
        <f>COUNTIF('Override Control Env3'!$I$201:$I$213,B57)</f>
        <v>0</v>
      </c>
    </row>
    <row r="58" spans="1:3" x14ac:dyDescent="0.3">
      <c r="A58" s="327"/>
      <c r="B58" s="63" t="s">
        <v>37</v>
      </c>
      <c r="C58" s="63">
        <f>COUNTIF('Override Control Env3'!$I$201:$I$213,B58)</f>
        <v>0</v>
      </c>
    </row>
    <row r="59" spans="1:3" x14ac:dyDescent="0.3">
      <c r="A59" s="327"/>
      <c r="B59" s="63" t="s">
        <v>48</v>
      </c>
      <c r="C59" s="63">
        <f>COUNTIF('Override Control Env3'!$I$201:$I$213,B59)</f>
        <v>0</v>
      </c>
    </row>
    <row r="60" spans="1:3" x14ac:dyDescent="0.3">
      <c r="A60" s="327"/>
      <c r="B60" s="63" t="s">
        <v>1142</v>
      </c>
      <c r="C60" s="63">
        <f>COUNTIF('Override Control Env3'!$I$201:$I$213,0)</f>
        <v>13</v>
      </c>
    </row>
    <row r="61" spans="1:3" x14ac:dyDescent="0.3">
      <c r="A61" s="327" t="s">
        <v>872</v>
      </c>
      <c r="B61" s="63" t="s">
        <v>15</v>
      </c>
      <c r="C61" s="63">
        <f>COUNTIF('Override Control Env3'!$I$214:$I$224,B61)</f>
        <v>0</v>
      </c>
    </row>
    <row r="62" spans="1:3" x14ac:dyDescent="0.3">
      <c r="A62" s="327"/>
      <c r="B62" s="63" t="s">
        <v>26</v>
      </c>
      <c r="C62" s="63">
        <f>COUNTIF('Override Control Env3'!$I$214:$I$224,B62)</f>
        <v>0</v>
      </c>
    </row>
    <row r="63" spans="1:3" x14ac:dyDescent="0.3">
      <c r="A63" s="327"/>
      <c r="B63" s="63" t="s">
        <v>37</v>
      </c>
      <c r="C63" s="63">
        <f>COUNTIF('Override Control Env3'!$I$214:$I$224,B63)</f>
        <v>0</v>
      </c>
    </row>
    <row r="64" spans="1:3" x14ac:dyDescent="0.3">
      <c r="A64" s="327"/>
      <c r="B64" s="63" t="s">
        <v>48</v>
      </c>
      <c r="C64" s="63">
        <f>COUNTIF('Override Control Env3'!$I$214:$I$224,B64)</f>
        <v>0</v>
      </c>
    </row>
    <row r="65" spans="1:3" x14ac:dyDescent="0.3">
      <c r="A65" s="327"/>
      <c r="B65" s="63" t="s">
        <v>1142</v>
      </c>
      <c r="C65" s="63">
        <f>COUNTIF('Override Control Env3'!$I$214:$I$224,0)</f>
        <v>11</v>
      </c>
    </row>
    <row r="66" spans="1:3" x14ac:dyDescent="0.3">
      <c r="A66" s="327" t="s">
        <v>1138</v>
      </c>
      <c r="B66" s="63" t="s">
        <v>15</v>
      </c>
      <c r="C66" s="63">
        <f>COUNTIF('Override Control Env3'!$I$225:$I$228,B66)</f>
        <v>0</v>
      </c>
    </row>
    <row r="67" spans="1:3" x14ac:dyDescent="0.3">
      <c r="A67" s="327"/>
      <c r="B67" s="63" t="s">
        <v>26</v>
      </c>
      <c r="C67" s="63">
        <f>COUNTIF('Override Control Env3'!$I$225:$I$228,B67)</f>
        <v>0</v>
      </c>
    </row>
    <row r="68" spans="1:3" x14ac:dyDescent="0.3">
      <c r="A68" s="327"/>
      <c r="B68" s="63" t="s">
        <v>37</v>
      </c>
      <c r="C68" s="63">
        <f>COUNTIF('Override Control Env3'!$I$225:$I$228,B68)</f>
        <v>0</v>
      </c>
    </row>
    <row r="69" spans="1:3" x14ac:dyDescent="0.3">
      <c r="A69" s="327"/>
      <c r="B69" s="63" t="s">
        <v>48</v>
      </c>
      <c r="C69" s="63">
        <f>COUNTIF('Override Control Env3'!$I$225:$I$228,B69)</f>
        <v>0</v>
      </c>
    </row>
    <row r="70" spans="1:3" x14ac:dyDescent="0.3">
      <c r="A70" s="327"/>
      <c r="B70" s="63" t="s">
        <v>1142</v>
      </c>
      <c r="C70" s="63">
        <f>COUNTIF('Override Control Env3'!$I$225:$I$228,0)</f>
        <v>4</v>
      </c>
    </row>
    <row r="71" spans="1:3" x14ac:dyDescent="0.3">
      <c r="A71" s="327" t="s">
        <v>1139</v>
      </c>
      <c r="B71" s="63" t="s">
        <v>15</v>
      </c>
      <c r="C71" s="63">
        <f>COUNTIF('Override Control Env3'!$I$229:$I$241,B71)</f>
        <v>0</v>
      </c>
    </row>
    <row r="72" spans="1:3" x14ac:dyDescent="0.3">
      <c r="A72" s="327"/>
      <c r="B72" s="63" t="s">
        <v>26</v>
      </c>
      <c r="C72" s="63">
        <f>COUNTIF('Override Control Env3'!$I$229:$I$241,B72)</f>
        <v>0</v>
      </c>
    </row>
    <row r="73" spans="1:3" x14ac:dyDescent="0.3">
      <c r="A73" s="327"/>
      <c r="B73" s="63" t="s">
        <v>37</v>
      </c>
      <c r="C73" s="63">
        <f>COUNTIF('Override Control Env3'!$I$229:$I$241,B73)</f>
        <v>0</v>
      </c>
    </row>
    <row r="74" spans="1:3" x14ac:dyDescent="0.3">
      <c r="A74" s="327"/>
      <c r="B74" s="63" t="s">
        <v>48</v>
      </c>
      <c r="C74" s="63">
        <f>COUNTIF('Override Control Env3'!$I$229:$I$241,B74)</f>
        <v>0</v>
      </c>
    </row>
    <row r="75" spans="1:3" x14ac:dyDescent="0.3">
      <c r="A75" s="327"/>
      <c r="B75" s="63" t="s">
        <v>1142</v>
      </c>
      <c r="C75" s="63">
        <f>COUNTIF('Override Control Env3'!$I$229:$I$241,B75)</f>
        <v>0</v>
      </c>
    </row>
    <row r="76" spans="1:3" x14ac:dyDescent="0.3">
      <c r="A76" s="327" t="s">
        <v>1140</v>
      </c>
      <c r="B76" s="63" t="s">
        <v>15</v>
      </c>
      <c r="C76" s="63">
        <f>COUNTIF('Override Control Env3'!$I$242:$I$268,B76)</f>
        <v>0</v>
      </c>
    </row>
    <row r="77" spans="1:3" x14ac:dyDescent="0.3">
      <c r="A77" s="327"/>
      <c r="B77" s="63" t="s">
        <v>26</v>
      </c>
      <c r="C77" s="63">
        <f>COUNTIF('Override Control Env3'!$I$242:$I$268,B77)</f>
        <v>0</v>
      </c>
    </row>
    <row r="78" spans="1:3" x14ac:dyDescent="0.3">
      <c r="A78" s="327"/>
      <c r="B78" s="63" t="s">
        <v>37</v>
      </c>
      <c r="C78" s="63">
        <f>COUNTIF('Override Control Env3'!$I$242:$I$268,B78)</f>
        <v>0</v>
      </c>
    </row>
    <row r="79" spans="1:3" x14ac:dyDescent="0.3">
      <c r="A79" s="327"/>
      <c r="B79" s="63" t="s">
        <v>48</v>
      </c>
      <c r="C79" s="63">
        <f>COUNTIF('Override Control Env3'!$I$242:$I$268,B79)</f>
        <v>0</v>
      </c>
    </row>
    <row r="80" spans="1:3" x14ac:dyDescent="0.3">
      <c r="A80" s="327"/>
      <c r="B80" s="63" t="s">
        <v>1142</v>
      </c>
      <c r="C80" s="63">
        <f>COUNTIF('Override Control Env3'!$I$242:$I$268,0)</f>
        <v>27</v>
      </c>
    </row>
    <row r="81" spans="1:3" x14ac:dyDescent="0.3">
      <c r="A81" s="327" t="s">
        <v>1141</v>
      </c>
      <c r="B81" s="63" t="s">
        <v>15</v>
      </c>
      <c r="C81" s="63">
        <f>COUNTIF('Override Control Env3'!$I$269:$I$282,B81)</f>
        <v>0</v>
      </c>
    </row>
    <row r="82" spans="1:3" x14ac:dyDescent="0.3">
      <c r="A82" s="327"/>
      <c r="B82" s="63" t="s">
        <v>26</v>
      </c>
      <c r="C82" s="63">
        <f>COUNTIF('Override Control Env3'!$I$269:$I$282,B82)</f>
        <v>0</v>
      </c>
    </row>
    <row r="83" spans="1:3" x14ac:dyDescent="0.3">
      <c r="A83" s="327"/>
      <c r="B83" s="63" t="s">
        <v>37</v>
      </c>
      <c r="C83" s="63">
        <f>COUNTIF('Override Control Env3'!$I$269:$I$282,B83)</f>
        <v>0</v>
      </c>
    </row>
    <row r="84" spans="1:3" x14ac:dyDescent="0.3">
      <c r="A84" s="327"/>
      <c r="B84" s="63" t="s">
        <v>48</v>
      </c>
      <c r="C84" s="63">
        <f>COUNTIF('Override Control Env3'!$I$269:$I$282,B84)</f>
        <v>0</v>
      </c>
    </row>
    <row r="85" spans="1:3" x14ac:dyDescent="0.3">
      <c r="A85" s="327"/>
      <c r="B85" s="63" t="s">
        <v>1142</v>
      </c>
      <c r="C85" s="63">
        <f>COUNTIF('Override Control Env3'!$I$269:$I$282,0)</f>
        <v>14</v>
      </c>
    </row>
  </sheetData>
  <mergeCells count="17">
    <mergeCell ref="A61:A65"/>
    <mergeCell ref="A66:A70"/>
    <mergeCell ref="A71:A75"/>
    <mergeCell ref="A76:A80"/>
    <mergeCell ref="A81:A85"/>
    <mergeCell ref="A56:A60"/>
    <mergeCell ref="A1:A5"/>
    <mergeCell ref="A6:A10"/>
    <mergeCell ref="A11:A15"/>
    <mergeCell ref="A16:A20"/>
    <mergeCell ref="A21:A25"/>
    <mergeCell ref="A26:A30"/>
    <mergeCell ref="A31:A35"/>
    <mergeCell ref="A36:A40"/>
    <mergeCell ref="A41:A45"/>
    <mergeCell ref="A46:A50"/>
    <mergeCell ref="A51:A55"/>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D69"/>
  <sheetViews>
    <sheetView showGridLines="0" workbookViewId="0">
      <selection activeCell="D69" sqref="D69"/>
    </sheetView>
  </sheetViews>
  <sheetFormatPr defaultRowHeight="14.4" x14ac:dyDescent="0.3"/>
  <cols>
    <col min="1" max="1" width="29.33203125" bestFit="1" customWidth="1"/>
    <col min="3" max="3" width="0" hidden="1" customWidth="1"/>
    <col min="4" max="4" width="13.5546875" customWidth="1"/>
  </cols>
  <sheetData>
    <row r="1" spans="1:4" ht="28.8" x14ac:dyDescent="0.3">
      <c r="A1" s="63" t="s">
        <v>1127</v>
      </c>
      <c r="B1" s="63" t="s">
        <v>1124</v>
      </c>
      <c r="C1" s="63" t="s">
        <v>1124</v>
      </c>
      <c r="D1" s="142" t="s">
        <v>1155</v>
      </c>
    </row>
    <row r="2" spans="1:4" x14ac:dyDescent="0.3">
      <c r="A2" s="327" t="s">
        <v>1128</v>
      </c>
      <c r="B2" s="141" t="s">
        <v>1156</v>
      </c>
      <c r="C2" s="63">
        <v>1</v>
      </c>
      <c r="D2" s="63">
        <f>COUNTIFS('Override Control Env1'!$C$9:$C$41,C2,'Override Control Env1'!$L$9:$L$41,"Inadequate")</f>
        <v>0</v>
      </c>
    </row>
    <row r="3" spans="1:4" x14ac:dyDescent="0.3">
      <c r="A3" s="327"/>
      <c r="B3" s="141" t="s">
        <v>1157</v>
      </c>
      <c r="C3" s="63">
        <v>2</v>
      </c>
      <c r="D3" s="63">
        <f>COUNTIFS('Override Control Env1'!$C$9:$C$41,C3,'Override Control Env1'!$L$9:$L$41,"Inadequate")</f>
        <v>0</v>
      </c>
    </row>
    <row r="4" spans="1:4" x14ac:dyDescent="0.3">
      <c r="A4" s="327"/>
      <c r="B4" s="141" t="s">
        <v>1158</v>
      </c>
      <c r="C4" s="63">
        <v>3</v>
      </c>
      <c r="D4" s="63">
        <f>COUNTIFS('Override Control Env1'!$C$9:$C$41,C4,'Override Control Env1'!$L$9:$L$41,"Inadequate")</f>
        <v>0</v>
      </c>
    </row>
    <row r="5" spans="1:4" x14ac:dyDescent="0.3">
      <c r="A5" s="327"/>
      <c r="B5" s="141" t="s">
        <v>1159</v>
      </c>
      <c r="C5" s="63">
        <v>4</v>
      </c>
      <c r="D5" s="63">
        <f>COUNTIFS('Override Control Env1'!$C$9:$C$41,C5,'Override Control Env1'!$L$9:$L$41,"Inadequate")</f>
        <v>0</v>
      </c>
    </row>
    <row r="6" spans="1:4" x14ac:dyDescent="0.3">
      <c r="A6" s="327" t="s">
        <v>306</v>
      </c>
      <c r="B6" s="141" t="s">
        <v>1156</v>
      </c>
      <c r="C6" s="63">
        <v>1</v>
      </c>
      <c r="D6" s="63">
        <f>COUNTIFS('Override Control Env1'!$C$42:$C$46,C6,'Override Control Env1'!$L$42:$L$46,"Inadequate")</f>
        <v>0</v>
      </c>
    </row>
    <row r="7" spans="1:4" x14ac:dyDescent="0.3">
      <c r="A7" s="327"/>
      <c r="B7" s="141" t="s">
        <v>1157</v>
      </c>
      <c r="C7" s="63">
        <v>2</v>
      </c>
      <c r="D7" s="63">
        <f>COUNTIFS('Override Control Env1'!$C$42:$C$46,C7,'Override Control Env1'!$L$42:$L$46,"Inadequate")</f>
        <v>0</v>
      </c>
    </row>
    <row r="8" spans="1:4" x14ac:dyDescent="0.3">
      <c r="A8" s="327"/>
      <c r="B8" s="141" t="s">
        <v>1158</v>
      </c>
      <c r="C8" s="63">
        <v>3</v>
      </c>
      <c r="D8" s="63">
        <f>COUNTIFS('Override Control Env1'!$C$42:$C$46,C8,'Override Control Env1'!$L$42:$L$46,"Inadequate")</f>
        <v>0</v>
      </c>
    </row>
    <row r="9" spans="1:4" x14ac:dyDescent="0.3">
      <c r="A9" s="327"/>
      <c r="B9" s="141" t="s">
        <v>1159</v>
      </c>
      <c r="C9" s="63">
        <v>4</v>
      </c>
      <c r="D9" s="63">
        <f>COUNTIFS('Override Control Env1'!$C$42:$C$46,C9,'Override Control Env1'!$L$42:$L$46,"Inadequate")</f>
        <v>0</v>
      </c>
    </row>
    <row r="10" spans="1:4" x14ac:dyDescent="0.3">
      <c r="A10" s="327" t="s">
        <v>327</v>
      </c>
      <c r="B10" s="141" t="s">
        <v>1156</v>
      </c>
      <c r="C10" s="63">
        <v>1</v>
      </c>
      <c r="D10" s="63">
        <f>COUNTIFS('Override Control Env1'!$C$47:$C$54,C10,'Override Control Env1'!$L$47:$L$54,"Inadequate")</f>
        <v>0</v>
      </c>
    </row>
    <row r="11" spans="1:4" x14ac:dyDescent="0.3">
      <c r="A11" s="327"/>
      <c r="B11" s="141" t="s">
        <v>1157</v>
      </c>
      <c r="C11" s="63">
        <v>2</v>
      </c>
      <c r="D11" s="63">
        <f>COUNTIFS('Override Control Env1'!$C$47:$C$54,C11,'Override Control Env1'!$L$47:$L$54,"Inadequate")</f>
        <v>0</v>
      </c>
    </row>
    <row r="12" spans="1:4" x14ac:dyDescent="0.3">
      <c r="A12" s="327"/>
      <c r="B12" s="141" t="s">
        <v>1158</v>
      </c>
      <c r="C12" s="63">
        <v>3</v>
      </c>
      <c r="D12" s="63">
        <f>COUNTIFS('Override Control Env1'!$C$47:$C$54,C12,'Override Control Env1'!$L$47:$L$54,"Inadequate")</f>
        <v>0</v>
      </c>
    </row>
    <row r="13" spans="1:4" x14ac:dyDescent="0.3">
      <c r="A13" s="327"/>
      <c r="B13" s="141" t="s">
        <v>1159</v>
      </c>
      <c r="C13" s="63">
        <v>4</v>
      </c>
      <c r="D13" s="63">
        <f>COUNTIFS('Override Control Env1'!$C$47:$C$54,C13,'Override Control Env1'!$L$47:$L$54,"Inadequate")</f>
        <v>0</v>
      </c>
    </row>
    <row r="14" spans="1:4" x14ac:dyDescent="0.3">
      <c r="A14" s="327" t="s">
        <v>1134</v>
      </c>
      <c r="B14" s="141" t="s">
        <v>1156</v>
      </c>
      <c r="C14" s="63">
        <v>1</v>
      </c>
      <c r="D14" s="63">
        <f>COUNTIFS('Override Control Env1'!$C$55:$C$76,C14,'Override Control Env1'!$L$55:$L$76,"Inadequate")</f>
        <v>0</v>
      </c>
    </row>
    <row r="15" spans="1:4" x14ac:dyDescent="0.3">
      <c r="A15" s="327"/>
      <c r="B15" s="141" t="s">
        <v>1157</v>
      </c>
      <c r="C15" s="63">
        <v>2</v>
      </c>
      <c r="D15" s="63">
        <f>COUNTIFS('Override Control Env1'!$C$55:$C$76,C15,'Override Control Env1'!$L$55:$L$76,"Inadequate")</f>
        <v>0</v>
      </c>
    </row>
    <row r="16" spans="1:4" x14ac:dyDescent="0.3">
      <c r="A16" s="327"/>
      <c r="B16" s="141" t="s">
        <v>1158</v>
      </c>
      <c r="C16" s="63">
        <v>3</v>
      </c>
      <c r="D16" s="63">
        <f>COUNTIFS('Override Control Env1'!$C$55:$C$76,C16,'Override Control Env1'!$L$55:$L$76,"Inadequate")</f>
        <v>0</v>
      </c>
    </row>
    <row r="17" spans="1:4" x14ac:dyDescent="0.3">
      <c r="A17" s="327"/>
      <c r="B17" s="141" t="s">
        <v>1159</v>
      </c>
      <c r="C17" s="63">
        <v>4</v>
      </c>
      <c r="D17" s="63">
        <f>COUNTIFS('Override Control Env1'!$C$55:$C$76,C17,'Override Control Env1'!$L$55:$L$76,"Inadequate")</f>
        <v>0</v>
      </c>
    </row>
    <row r="18" spans="1:4" x14ac:dyDescent="0.3">
      <c r="A18" s="327" t="s">
        <v>1143</v>
      </c>
      <c r="B18" s="141" t="s">
        <v>1156</v>
      </c>
      <c r="C18" s="63">
        <v>1</v>
      </c>
      <c r="D18" s="63">
        <f>COUNTIFS('Override Control Env1'!$C$77:$C$101,C18,'Override Control Env1'!$L$77:$L$101,"Inadequate")</f>
        <v>0</v>
      </c>
    </row>
    <row r="19" spans="1:4" x14ac:dyDescent="0.3">
      <c r="A19" s="327"/>
      <c r="B19" s="141" t="s">
        <v>1157</v>
      </c>
      <c r="C19" s="63">
        <v>2</v>
      </c>
      <c r="D19" s="63">
        <f>COUNTIFS('Override Control Env1'!$C$77:$C$101,C19,'Override Control Env1'!$L$77:$L$101,"Inadequate")</f>
        <v>0</v>
      </c>
    </row>
    <row r="20" spans="1:4" x14ac:dyDescent="0.3">
      <c r="A20" s="327"/>
      <c r="B20" s="141" t="s">
        <v>1158</v>
      </c>
      <c r="C20" s="63">
        <v>3</v>
      </c>
      <c r="D20" s="63">
        <f>COUNTIFS('Override Control Env1'!$C$77:$C$101,C20,'Override Control Env1'!$L$77:$L$101,"Inadequate")</f>
        <v>0</v>
      </c>
    </row>
    <row r="21" spans="1:4" x14ac:dyDescent="0.3">
      <c r="A21" s="327"/>
      <c r="B21" s="141" t="s">
        <v>1159</v>
      </c>
      <c r="C21" s="63">
        <v>4</v>
      </c>
      <c r="D21" s="63">
        <f>COUNTIFS('Override Control Env1'!$C$77:$C$101,C21,'Override Control Env1'!$L$77:$L$101,"Inadequate")</f>
        <v>0</v>
      </c>
    </row>
    <row r="22" spans="1:4" x14ac:dyDescent="0.3">
      <c r="A22" s="327" t="s">
        <v>504</v>
      </c>
      <c r="B22" s="141" t="s">
        <v>1156</v>
      </c>
      <c r="C22" s="63">
        <v>1</v>
      </c>
      <c r="D22" s="63">
        <f>COUNTIFS('Override Control Env1'!$C$104:$C$116,C22,'Override Control Env1'!$L$104:$L$116,"Inadequate")</f>
        <v>0</v>
      </c>
    </row>
    <row r="23" spans="1:4" x14ac:dyDescent="0.3">
      <c r="A23" s="327"/>
      <c r="B23" s="141" t="s">
        <v>1157</v>
      </c>
      <c r="C23" s="63">
        <v>2</v>
      </c>
      <c r="D23" s="63">
        <f>COUNTIFS('Override Control Env1'!$C$104:$C$116,C23,'Override Control Env1'!$L$104:$L$116,"Inadequate")</f>
        <v>0</v>
      </c>
    </row>
    <row r="24" spans="1:4" x14ac:dyDescent="0.3">
      <c r="A24" s="327"/>
      <c r="B24" s="141" t="s">
        <v>1158</v>
      </c>
      <c r="C24" s="63">
        <v>3</v>
      </c>
      <c r="D24" s="63">
        <f>COUNTIFS('Override Control Env1'!$C$104:$C$116,C24,'Override Control Env1'!$L$104:$L$116,"Inadequate")</f>
        <v>0</v>
      </c>
    </row>
    <row r="25" spans="1:4" x14ac:dyDescent="0.3">
      <c r="A25" s="327"/>
      <c r="B25" s="141" t="s">
        <v>1159</v>
      </c>
      <c r="C25" s="63">
        <v>4</v>
      </c>
      <c r="D25" s="63">
        <f>COUNTIFS('Override Control Env1'!$C$104:$C$116,C25,'Override Control Env1'!$L$104:$L$116,"Inadequate")</f>
        <v>0</v>
      </c>
    </row>
    <row r="26" spans="1:4" x14ac:dyDescent="0.3">
      <c r="A26" s="328" t="s">
        <v>1135</v>
      </c>
      <c r="B26" s="141" t="s">
        <v>1156</v>
      </c>
      <c r="C26" s="63">
        <v>1</v>
      </c>
      <c r="D26" s="63">
        <f>COUNTIFS('Override Control Env1'!$C$117:$C$135,C26,'Override Control Env1'!$L$117:$L$135,"Inadequate")</f>
        <v>0</v>
      </c>
    </row>
    <row r="27" spans="1:4" x14ac:dyDescent="0.3">
      <c r="A27" s="328"/>
      <c r="B27" s="141" t="s">
        <v>1157</v>
      </c>
      <c r="C27" s="63">
        <v>2</v>
      </c>
      <c r="D27" s="63">
        <f>COUNTIFS('Override Control Env1'!$C$117:$C$135,C27,'Override Control Env1'!$L$117:$L$135,"Inadequate")</f>
        <v>0</v>
      </c>
    </row>
    <row r="28" spans="1:4" x14ac:dyDescent="0.3">
      <c r="A28" s="328"/>
      <c r="B28" s="141" t="s">
        <v>1158</v>
      </c>
      <c r="C28" s="63">
        <v>3</v>
      </c>
      <c r="D28" s="63">
        <f>COUNTIFS('Override Control Env1'!$C$117:$C$135,C28,'Override Control Env1'!$L$117:$L$135,"Inadequate")</f>
        <v>0</v>
      </c>
    </row>
    <row r="29" spans="1:4" x14ac:dyDescent="0.3">
      <c r="A29" s="328"/>
      <c r="B29" s="141" t="s">
        <v>1159</v>
      </c>
      <c r="C29" s="63">
        <v>4</v>
      </c>
      <c r="D29" s="63">
        <f>COUNTIFS('Override Control Env1'!$C$117:$C$135,C29,'Override Control Env1'!$L$117:$L$135,"Inadequate")</f>
        <v>0</v>
      </c>
    </row>
    <row r="30" spans="1:4" x14ac:dyDescent="0.3">
      <c r="A30" s="327" t="s">
        <v>1136</v>
      </c>
      <c r="B30" s="141" t="s">
        <v>1156</v>
      </c>
      <c r="C30" s="63">
        <v>1</v>
      </c>
      <c r="D30" s="63">
        <f>COUNTIFS('Override Control Env1'!$C$136:$C$147,C30,'Override Control Env1'!$L$136:$L$147,"Inadequate")</f>
        <v>0</v>
      </c>
    </row>
    <row r="31" spans="1:4" x14ac:dyDescent="0.3">
      <c r="A31" s="327"/>
      <c r="B31" s="141" t="s">
        <v>1157</v>
      </c>
      <c r="C31" s="63">
        <v>2</v>
      </c>
      <c r="D31" s="63">
        <f>COUNTIFS('Override Control Env1'!$C$136:$C$147,C31,'Override Control Env1'!$L$136:$L$147,"Inadequate")</f>
        <v>0</v>
      </c>
    </row>
    <row r="32" spans="1:4" x14ac:dyDescent="0.3">
      <c r="A32" s="327"/>
      <c r="B32" s="141" t="s">
        <v>1158</v>
      </c>
      <c r="C32" s="63">
        <v>3</v>
      </c>
      <c r="D32" s="63">
        <f>COUNTIFS('Override Control Env1'!$C$136:$C$147,C32,'Override Control Env1'!$L$136:$L$147,"Inadequate")</f>
        <v>0</v>
      </c>
    </row>
    <row r="33" spans="1:4" x14ac:dyDescent="0.3">
      <c r="A33" s="327"/>
      <c r="B33" s="141" t="s">
        <v>1159</v>
      </c>
      <c r="C33" s="63">
        <v>4</v>
      </c>
      <c r="D33" s="63">
        <f>COUNTIFS('Override Control Env1'!$C$136:$C$147,C33,'Override Control Env1'!$L$136:$L$147,"Inadequate")</f>
        <v>0</v>
      </c>
    </row>
    <row r="34" spans="1:4" x14ac:dyDescent="0.3">
      <c r="A34" s="327" t="s">
        <v>661</v>
      </c>
      <c r="B34" s="141" t="s">
        <v>1156</v>
      </c>
      <c r="C34" s="63">
        <v>1</v>
      </c>
      <c r="D34" s="63">
        <f>COUNTIFS('Override Control Env1'!$C$148:$C$163,C34,'Override Control Env1'!$L$148:$L$163,"Inadequate")</f>
        <v>0</v>
      </c>
    </row>
    <row r="35" spans="1:4" x14ac:dyDescent="0.3">
      <c r="A35" s="327"/>
      <c r="B35" s="141" t="s">
        <v>1157</v>
      </c>
      <c r="C35" s="63">
        <v>2</v>
      </c>
      <c r="D35" s="63">
        <f>COUNTIFS('Override Control Env1'!$C$148:$C$163,C35,'Override Control Env1'!$L$148:$L$163,"Inadequate")</f>
        <v>0</v>
      </c>
    </row>
    <row r="36" spans="1:4" x14ac:dyDescent="0.3">
      <c r="A36" s="327"/>
      <c r="B36" s="141" t="s">
        <v>1158</v>
      </c>
      <c r="C36" s="63">
        <v>3</v>
      </c>
      <c r="D36" s="63">
        <f>COUNTIFS('Override Control Env1'!$C$148:$C$163,C36,'Override Control Env1'!$L$148:$L$163,"Inadequate")</f>
        <v>0</v>
      </c>
    </row>
    <row r="37" spans="1:4" x14ac:dyDescent="0.3">
      <c r="A37" s="327"/>
      <c r="B37" s="141" t="s">
        <v>1159</v>
      </c>
      <c r="C37" s="63">
        <v>4</v>
      </c>
      <c r="D37" s="63">
        <f>COUNTIFS('Override Control Env1'!$C$148:$C$163,C37,'Override Control Env1'!$L$148:$L$163,"Inadequate")</f>
        <v>0</v>
      </c>
    </row>
    <row r="38" spans="1:4" x14ac:dyDescent="0.3">
      <c r="A38" s="327" t="s">
        <v>706</v>
      </c>
      <c r="B38" s="141" t="s">
        <v>1156</v>
      </c>
      <c r="C38" s="63">
        <v>1</v>
      </c>
      <c r="D38" s="63">
        <f>COUNTIFS('Override Control Env1'!$C$164:$C$173,C38,'Override Control Env1'!$L$164:$L$173,"Inadequate")</f>
        <v>0</v>
      </c>
    </row>
    <row r="39" spans="1:4" x14ac:dyDescent="0.3">
      <c r="A39" s="327"/>
      <c r="B39" s="141" t="s">
        <v>1157</v>
      </c>
      <c r="C39" s="63">
        <v>2</v>
      </c>
      <c r="D39" s="63">
        <f>COUNTIFS('Override Control Env1'!$C$164:$C$173,C39,'Override Control Env1'!$L$164:$L$173,"Inadequate")</f>
        <v>0</v>
      </c>
    </row>
    <row r="40" spans="1:4" x14ac:dyDescent="0.3">
      <c r="A40" s="327"/>
      <c r="B40" s="141" t="s">
        <v>1158</v>
      </c>
      <c r="C40" s="63">
        <v>3</v>
      </c>
      <c r="D40" s="63">
        <f>COUNTIFS('Override Control Env1'!$C$164:$C$173,C40,'Override Control Env1'!$L$164:$L$173,"Inadequate")</f>
        <v>0</v>
      </c>
    </row>
    <row r="41" spans="1:4" x14ac:dyDescent="0.3">
      <c r="A41" s="327"/>
      <c r="B41" s="141" t="s">
        <v>1159</v>
      </c>
      <c r="C41" s="63">
        <v>4</v>
      </c>
      <c r="D41" s="63">
        <f>COUNTIFS('Override Control Env1'!$C$164:$C$173,C41,'Override Control Env1'!$L$164:$L$173,"Inadequate")</f>
        <v>0</v>
      </c>
    </row>
    <row r="42" spans="1:4" x14ac:dyDescent="0.3">
      <c r="A42" s="327" t="s">
        <v>1137</v>
      </c>
      <c r="B42" s="141" t="s">
        <v>1156</v>
      </c>
      <c r="C42" s="63">
        <v>1</v>
      </c>
      <c r="D42" s="63">
        <f>COUNTIFS('Override Control Env1'!$C$174:$C$200,C42,'Override Control Env1'!$L$174:$L$200,"Inadequate")</f>
        <v>0</v>
      </c>
    </row>
    <row r="43" spans="1:4" x14ac:dyDescent="0.3">
      <c r="A43" s="327"/>
      <c r="B43" s="141" t="s">
        <v>1157</v>
      </c>
      <c r="C43" s="63">
        <v>2</v>
      </c>
      <c r="D43" s="63">
        <f>COUNTIFS('Override Control Env1'!$C$174:$C$200,C43,'Override Control Env1'!$L$174:$L$200,"Inadequate")</f>
        <v>0</v>
      </c>
    </row>
    <row r="44" spans="1:4" x14ac:dyDescent="0.3">
      <c r="A44" s="327"/>
      <c r="B44" s="141" t="s">
        <v>1158</v>
      </c>
      <c r="C44" s="63">
        <v>3</v>
      </c>
      <c r="D44" s="63">
        <f>COUNTIFS('Override Control Env1'!$C$174:$C$200,C44,'Override Control Env1'!$L$174:$L$200,"Inadequate")</f>
        <v>0</v>
      </c>
    </row>
    <row r="45" spans="1:4" x14ac:dyDescent="0.3">
      <c r="A45" s="327"/>
      <c r="B45" s="141" t="s">
        <v>1159</v>
      </c>
      <c r="C45" s="63">
        <v>4</v>
      </c>
      <c r="D45" s="63">
        <f>COUNTIFS('Override Control Env1'!$C$174:$C$200,C45,'Override Control Env1'!$L$174:$L$200,"Inadequate")</f>
        <v>0</v>
      </c>
    </row>
    <row r="46" spans="1:4" x14ac:dyDescent="0.3">
      <c r="A46" s="327" t="s">
        <v>836</v>
      </c>
      <c r="B46" s="141" t="s">
        <v>1156</v>
      </c>
      <c r="C46" s="63">
        <v>1</v>
      </c>
      <c r="D46" s="63">
        <f>COUNTIFS('Override Control Env1'!$C$201:$C$213,C46,'Override Control Env1'!$L$201:$L$213,"Inadequate")</f>
        <v>0</v>
      </c>
    </row>
    <row r="47" spans="1:4" x14ac:dyDescent="0.3">
      <c r="A47" s="327"/>
      <c r="B47" s="141" t="s">
        <v>1157</v>
      </c>
      <c r="C47" s="63">
        <v>2</v>
      </c>
      <c r="D47" s="63">
        <f>COUNTIFS('Override Control Env1'!$C$201:$C$213,C47,'Override Control Env1'!$L$201:$L$213,"Inadequate")</f>
        <v>0</v>
      </c>
    </row>
    <row r="48" spans="1:4" x14ac:dyDescent="0.3">
      <c r="A48" s="327"/>
      <c r="B48" s="141" t="s">
        <v>1158</v>
      </c>
      <c r="C48" s="63">
        <v>3</v>
      </c>
      <c r="D48" s="63">
        <f>COUNTIFS('Override Control Env1'!$C$201:$C$213,C48,'Override Control Env1'!$L$201:$L$213,"Inadequate")</f>
        <v>0</v>
      </c>
    </row>
    <row r="49" spans="1:4" x14ac:dyDescent="0.3">
      <c r="A49" s="327"/>
      <c r="B49" s="141" t="s">
        <v>1159</v>
      </c>
      <c r="C49" s="63">
        <v>4</v>
      </c>
      <c r="D49" s="63">
        <f>COUNTIFS('Override Control Env1'!$C$201:$C$213,C49,'Override Control Env1'!$L$201:$L$213,"Inadequate")</f>
        <v>0</v>
      </c>
    </row>
    <row r="50" spans="1:4" x14ac:dyDescent="0.3">
      <c r="A50" s="327" t="s">
        <v>872</v>
      </c>
      <c r="B50" s="141" t="s">
        <v>1156</v>
      </c>
      <c r="C50" s="63">
        <v>1</v>
      </c>
      <c r="D50" s="63">
        <f>COUNTIFS('Override Control Env1'!$C$214:$C$224,C50,'Override Control Env1'!$L$214:$L$224,"Inadequate")</f>
        <v>0</v>
      </c>
    </row>
    <row r="51" spans="1:4" x14ac:dyDescent="0.3">
      <c r="A51" s="327"/>
      <c r="B51" s="141" t="s">
        <v>1157</v>
      </c>
      <c r="C51" s="63">
        <v>2</v>
      </c>
      <c r="D51" s="63">
        <f>COUNTIFS('Override Control Env1'!$C$214:$C$224,C51,'Override Control Env1'!$L$214:$L$224,"Inadequate")</f>
        <v>0</v>
      </c>
    </row>
    <row r="52" spans="1:4" x14ac:dyDescent="0.3">
      <c r="A52" s="327"/>
      <c r="B52" s="141" t="s">
        <v>1158</v>
      </c>
      <c r="C52" s="63">
        <v>3</v>
      </c>
      <c r="D52" s="63">
        <f>COUNTIFS('Override Control Env1'!$C$214:$C$224,C52,'Override Control Env1'!$L$214:$L$224,"Inadequate")</f>
        <v>0</v>
      </c>
    </row>
    <row r="53" spans="1:4" x14ac:dyDescent="0.3">
      <c r="A53" s="327"/>
      <c r="B53" s="141" t="s">
        <v>1159</v>
      </c>
      <c r="C53" s="63">
        <v>4</v>
      </c>
      <c r="D53" s="63">
        <f>COUNTIFS('Override Control Env1'!$C$214:$C$224,C53,'Override Control Env1'!$L$214:$L$224,"Inadequate")</f>
        <v>0</v>
      </c>
    </row>
    <row r="54" spans="1:4" x14ac:dyDescent="0.3">
      <c r="A54" s="327" t="s">
        <v>1138</v>
      </c>
      <c r="B54" s="141" t="s">
        <v>1156</v>
      </c>
      <c r="C54" s="63">
        <v>1</v>
      </c>
      <c r="D54" s="63">
        <f>COUNTIFS('Override Control Env1'!$C$225:$C$228,C54,'Override Control Env1'!$L$225:$L$228,"Inadequate")</f>
        <v>0</v>
      </c>
    </row>
    <row r="55" spans="1:4" x14ac:dyDescent="0.3">
      <c r="A55" s="327"/>
      <c r="B55" s="141" t="s">
        <v>1157</v>
      </c>
      <c r="C55" s="63">
        <v>2</v>
      </c>
      <c r="D55" s="63">
        <f>COUNTIFS('Override Control Env1'!$C$225:$C$228,C55,'Override Control Env1'!$L$225:$L$228,"Inadequate")</f>
        <v>0</v>
      </c>
    </row>
    <row r="56" spans="1:4" x14ac:dyDescent="0.3">
      <c r="A56" s="327"/>
      <c r="B56" s="141" t="s">
        <v>1158</v>
      </c>
      <c r="C56" s="63">
        <v>3</v>
      </c>
      <c r="D56" s="63">
        <f>COUNTIFS('Override Control Env1'!$C$225:$C$228,C56,'Override Control Env1'!$L$225:$L$228,"Inadequate")</f>
        <v>0</v>
      </c>
    </row>
    <row r="57" spans="1:4" x14ac:dyDescent="0.3">
      <c r="A57" s="327"/>
      <c r="B57" s="141" t="s">
        <v>1159</v>
      </c>
      <c r="C57" s="63">
        <v>4</v>
      </c>
      <c r="D57" s="63">
        <f>COUNTIFS('Override Control Env1'!$C$225:$C$228,C57,'Override Control Env1'!$L$225:$L$228,"Inadequate")</f>
        <v>0</v>
      </c>
    </row>
    <row r="58" spans="1:4" x14ac:dyDescent="0.3">
      <c r="A58" s="327" t="s">
        <v>1139</v>
      </c>
      <c r="B58" s="141" t="s">
        <v>1156</v>
      </c>
      <c r="C58" s="63">
        <v>1</v>
      </c>
      <c r="D58" s="63">
        <f>COUNTIFS('Override Control Env1'!$C$229:$C$241,C58,'Override Control Env1'!$L$229:$L$241,"Inadequate")</f>
        <v>0</v>
      </c>
    </row>
    <row r="59" spans="1:4" x14ac:dyDescent="0.3">
      <c r="A59" s="327"/>
      <c r="B59" s="141" t="s">
        <v>1157</v>
      </c>
      <c r="C59" s="63">
        <v>2</v>
      </c>
      <c r="D59" s="63">
        <f>COUNTIFS('Override Control Env1'!$C$229:$C$241,C59,'Override Control Env1'!$L$229:$L$241,"Inadequate")</f>
        <v>0</v>
      </c>
    </row>
    <row r="60" spans="1:4" x14ac:dyDescent="0.3">
      <c r="A60" s="327"/>
      <c r="B60" s="141" t="s">
        <v>1158</v>
      </c>
      <c r="C60" s="63">
        <v>3</v>
      </c>
      <c r="D60" s="63">
        <f>COUNTIFS('Override Control Env1'!$C$229:$C$241,C60,'Override Control Env1'!$L$229:$L$241,"Inadequate")</f>
        <v>0</v>
      </c>
    </row>
    <row r="61" spans="1:4" x14ac:dyDescent="0.3">
      <c r="A61" s="327"/>
      <c r="B61" s="141" t="s">
        <v>1159</v>
      </c>
      <c r="C61" s="63">
        <v>4</v>
      </c>
      <c r="D61" s="63">
        <f>COUNTIFS('Override Control Env1'!$C$229:$C$241,C61,'Override Control Env1'!$L$229:$L$241,"Inadequate")</f>
        <v>0</v>
      </c>
    </row>
    <row r="62" spans="1:4" x14ac:dyDescent="0.3">
      <c r="A62" s="327" t="s">
        <v>1140</v>
      </c>
      <c r="B62" s="141" t="s">
        <v>1156</v>
      </c>
      <c r="C62" s="63">
        <v>1</v>
      </c>
      <c r="D62" s="63">
        <f>COUNTIFS('Override Control Env1'!$C$242:$C$268,C62,'Override Control Env1'!$L$242:$L$268,"Inadequate")</f>
        <v>0</v>
      </c>
    </row>
    <row r="63" spans="1:4" x14ac:dyDescent="0.3">
      <c r="A63" s="327"/>
      <c r="B63" s="141" t="s">
        <v>1157</v>
      </c>
      <c r="C63" s="63">
        <v>2</v>
      </c>
      <c r="D63" s="63">
        <f>COUNTIFS('Override Control Env1'!$C$242:$C$268,C63,'Override Control Env1'!$L$242:$L$268,"Inadequate")</f>
        <v>0</v>
      </c>
    </row>
    <row r="64" spans="1:4" x14ac:dyDescent="0.3">
      <c r="A64" s="327"/>
      <c r="B64" s="141" t="s">
        <v>1158</v>
      </c>
      <c r="C64" s="63">
        <v>3</v>
      </c>
      <c r="D64" s="63">
        <f>COUNTIFS('Override Control Env1'!$C$242:$C$268,C64,'Override Control Env1'!$L$242:$L$268,"Inadequate")</f>
        <v>0</v>
      </c>
    </row>
    <row r="65" spans="1:4" x14ac:dyDescent="0.3">
      <c r="A65" s="327"/>
      <c r="B65" s="141" t="s">
        <v>1159</v>
      </c>
      <c r="C65" s="63">
        <v>4</v>
      </c>
      <c r="D65" s="63">
        <f>COUNTIFS('Override Control Env1'!$C$242:$C$268,C65,'Override Control Env1'!$L$242:$L$268,"Inadequate")</f>
        <v>0</v>
      </c>
    </row>
    <row r="66" spans="1:4" x14ac:dyDescent="0.3">
      <c r="A66" s="327" t="s">
        <v>1141</v>
      </c>
      <c r="B66" s="141" t="s">
        <v>1156</v>
      </c>
      <c r="C66" s="63">
        <v>1</v>
      </c>
      <c r="D66" s="63">
        <f>COUNTIFS('Override Control Env1'!$C$269:$C$282,C66,'Override Control Env1'!$L$269:$L$282,"Inadequate")</f>
        <v>0</v>
      </c>
    </row>
    <row r="67" spans="1:4" x14ac:dyDescent="0.3">
      <c r="A67" s="327"/>
      <c r="B67" s="141" t="s">
        <v>1157</v>
      </c>
      <c r="C67" s="63">
        <v>2</v>
      </c>
      <c r="D67" s="63">
        <f>COUNTIFS('Override Control Env1'!$C$269:$C$282,C67,'Override Control Env1'!$L$269:$L$282,"Inadequate")</f>
        <v>0</v>
      </c>
    </row>
    <row r="68" spans="1:4" x14ac:dyDescent="0.3">
      <c r="A68" s="327"/>
      <c r="B68" s="141" t="s">
        <v>1158</v>
      </c>
      <c r="C68" s="63">
        <v>3</v>
      </c>
      <c r="D68" s="63">
        <f>COUNTIFS('Override Control Env1'!$C$269:$C$282,C68,'Override Control Env1'!$L$269:$L$282,"Inadequate")</f>
        <v>0</v>
      </c>
    </row>
    <row r="69" spans="1:4" x14ac:dyDescent="0.3">
      <c r="A69" s="327"/>
      <c r="B69" s="141" t="s">
        <v>1159</v>
      </c>
      <c r="C69" s="63">
        <v>4</v>
      </c>
      <c r="D69" s="63">
        <f>COUNTIFS('Override Control Env1'!$C$269:$C$282,C69,'Override Control Env1'!$L$269:$L$282,"Inadequate")</f>
        <v>0</v>
      </c>
    </row>
  </sheetData>
  <mergeCells count="17">
    <mergeCell ref="A50:A53"/>
    <mergeCell ref="A54:A57"/>
    <mergeCell ref="A58:A61"/>
    <mergeCell ref="A62:A65"/>
    <mergeCell ref="A66:A69"/>
    <mergeCell ref="A46:A49"/>
    <mergeCell ref="A2:A5"/>
    <mergeCell ref="A6:A9"/>
    <mergeCell ref="A10:A13"/>
    <mergeCell ref="A14:A17"/>
    <mergeCell ref="A18:A21"/>
    <mergeCell ref="A22:A25"/>
    <mergeCell ref="A26:A29"/>
    <mergeCell ref="A30:A33"/>
    <mergeCell ref="A34:A37"/>
    <mergeCell ref="A38:A41"/>
    <mergeCell ref="A42:A4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D69"/>
  <sheetViews>
    <sheetView showGridLines="0" topLeftCell="A37" workbookViewId="0">
      <selection activeCell="E58" sqref="E58"/>
    </sheetView>
  </sheetViews>
  <sheetFormatPr defaultColWidth="9" defaultRowHeight="14.4" x14ac:dyDescent="0.3"/>
  <cols>
    <col min="1" max="1" width="29.33203125" style="14" bestFit="1" customWidth="1"/>
    <col min="2" max="2" width="9" style="14"/>
    <col min="3" max="3" width="9" style="14" hidden="1" customWidth="1"/>
    <col min="4" max="4" width="11.88671875" style="14" customWidth="1"/>
    <col min="5" max="16384" width="9" style="14"/>
  </cols>
  <sheetData>
    <row r="1" spans="1:4" ht="28.8" x14ac:dyDescent="0.3">
      <c r="A1" s="63" t="s">
        <v>1127</v>
      </c>
      <c r="B1" s="63" t="s">
        <v>1124</v>
      </c>
      <c r="C1" s="63" t="s">
        <v>1124</v>
      </c>
      <c r="D1" s="142" t="s">
        <v>1155</v>
      </c>
    </row>
    <row r="2" spans="1:4" x14ac:dyDescent="0.3">
      <c r="A2" s="327" t="s">
        <v>1128</v>
      </c>
      <c r="B2" s="141" t="s">
        <v>1156</v>
      </c>
      <c r="C2" s="63">
        <v>1</v>
      </c>
      <c r="D2" s="63">
        <f>COUNTIFS('Override Control Env2'!$C$9:$C$41,C2,'Override Control Env2'!$L$9:$L$41,"Inadequate")</f>
        <v>0</v>
      </c>
    </row>
    <row r="3" spans="1:4" x14ac:dyDescent="0.3">
      <c r="A3" s="327"/>
      <c r="B3" s="141" t="s">
        <v>1157</v>
      </c>
      <c r="C3" s="63">
        <v>2</v>
      </c>
      <c r="D3" s="63">
        <f>COUNTIFS('Override Control Env2'!$C$9:$C$41,C3,'Override Control Env2'!$L$9:$L$41,"Inadequate")</f>
        <v>0</v>
      </c>
    </row>
    <row r="4" spans="1:4" x14ac:dyDescent="0.3">
      <c r="A4" s="327"/>
      <c r="B4" s="141" t="s">
        <v>1158</v>
      </c>
      <c r="C4" s="63">
        <v>3</v>
      </c>
      <c r="D4" s="63">
        <f>COUNTIFS('Override Control Env2'!$C$9:$C$41,C4,'Override Control Env2'!$L$9:$L$41,"Inadequate")</f>
        <v>0</v>
      </c>
    </row>
    <row r="5" spans="1:4" x14ac:dyDescent="0.3">
      <c r="A5" s="327"/>
      <c r="B5" s="141" t="s">
        <v>1159</v>
      </c>
      <c r="C5" s="63">
        <v>4</v>
      </c>
      <c r="D5" s="63">
        <f>COUNTIFS('Override Control Env2'!$C$9:$C$41,C5,'Override Control Env2'!$L$9:$L$41,"Inadequate")</f>
        <v>0</v>
      </c>
    </row>
    <row r="6" spans="1:4" x14ac:dyDescent="0.3">
      <c r="A6" s="327" t="s">
        <v>306</v>
      </c>
      <c r="B6" s="141" t="s">
        <v>1156</v>
      </c>
      <c r="C6" s="63">
        <v>1</v>
      </c>
      <c r="D6" s="63">
        <f>COUNTIFS('Override Control Env2'!$C$42:$C$46,C6,'Override Control Env2'!$L$42:$L$46,"Inadequate")</f>
        <v>0</v>
      </c>
    </row>
    <row r="7" spans="1:4" x14ac:dyDescent="0.3">
      <c r="A7" s="327"/>
      <c r="B7" s="141" t="s">
        <v>1157</v>
      </c>
      <c r="C7" s="63">
        <v>2</v>
      </c>
      <c r="D7" s="63">
        <f>COUNTIFS('Override Control Env2'!$C$42:$C$46,C7,'Override Control Env2'!$L$42:$L$46,"Inadequate")</f>
        <v>0</v>
      </c>
    </row>
    <row r="8" spans="1:4" x14ac:dyDescent="0.3">
      <c r="A8" s="327"/>
      <c r="B8" s="141" t="s">
        <v>1158</v>
      </c>
      <c r="C8" s="63">
        <v>3</v>
      </c>
      <c r="D8" s="63">
        <f>COUNTIFS('Override Control Env2'!$C$42:$C$46,C8,'Override Control Env2'!$L$42:$L$46,"Inadequate")</f>
        <v>0</v>
      </c>
    </row>
    <row r="9" spans="1:4" x14ac:dyDescent="0.3">
      <c r="A9" s="327"/>
      <c r="B9" s="141" t="s">
        <v>1159</v>
      </c>
      <c r="C9" s="63">
        <v>4</v>
      </c>
      <c r="D9" s="63">
        <f>COUNTIFS('Override Control Env2'!$C$42:$C$46,C9,'Override Control Env2'!$L$42:$L$46,"Inadequate")</f>
        <v>0</v>
      </c>
    </row>
    <row r="10" spans="1:4" x14ac:dyDescent="0.3">
      <c r="A10" s="327" t="s">
        <v>327</v>
      </c>
      <c r="B10" s="141" t="s">
        <v>1156</v>
      </c>
      <c r="C10" s="63">
        <v>1</v>
      </c>
      <c r="D10" s="63">
        <f>COUNTIFS('Override Control Env2'!$C$47:$C$54,C10,'Override Control Env2'!$L$47:$L$54,"Inadequate")</f>
        <v>0</v>
      </c>
    </row>
    <row r="11" spans="1:4" x14ac:dyDescent="0.3">
      <c r="A11" s="327"/>
      <c r="B11" s="141" t="s">
        <v>1157</v>
      </c>
      <c r="C11" s="63">
        <v>2</v>
      </c>
      <c r="D11" s="63">
        <f>COUNTIFS('Override Control Env2'!$C$47:$C$54,C11,'Override Control Env2'!$L$47:$L$54,"Inadequate")</f>
        <v>0</v>
      </c>
    </row>
    <row r="12" spans="1:4" x14ac:dyDescent="0.3">
      <c r="A12" s="327"/>
      <c r="B12" s="141" t="s">
        <v>1158</v>
      </c>
      <c r="C12" s="63">
        <v>3</v>
      </c>
      <c r="D12" s="63">
        <f>COUNTIFS('Override Control Env2'!$C$47:$C$54,C12,'Override Control Env2'!$L$47:$L$54,"Inadequate")</f>
        <v>0</v>
      </c>
    </row>
    <row r="13" spans="1:4" x14ac:dyDescent="0.3">
      <c r="A13" s="327"/>
      <c r="B13" s="141" t="s">
        <v>1159</v>
      </c>
      <c r="C13" s="63">
        <v>4</v>
      </c>
      <c r="D13" s="63">
        <f>COUNTIFS('Override Control Env2'!$C$47:$C$54,C13,'Override Control Env2'!$L$47:$L$54,"Inadequate")</f>
        <v>0</v>
      </c>
    </row>
    <row r="14" spans="1:4" x14ac:dyDescent="0.3">
      <c r="A14" s="327" t="s">
        <v>1134</v>
      </c>
      <c r="B14" s="141" t="s">
        <v>1156</v>
      </c>
      <c r="C14" s="63">
        <v>1</v>
      </c>
      <c r="D14" s="63">
        <f>COUNTIFS('Override Control Env2'!$C$55:$C$76,C14,'Override Control Env2'!$L$55:$L$76,"Inadequate")</f>
        <v>0</v>
      </c>
    </row>
    <row r="15" spans="1:4" x14ac:dyDescent="0.3">
      <c r="A15" s="327"/>
      <c r="B15" s="141" t="s">
        <v>1157</v>
      </c>
      <c r="C15" s="63">
        <v>2</v>
      </c>
      <c r="D15" s="63">
        <f>COUNTIFS('Override Control Env2'!$C$55:$C$76,C15,'Override Control Env2'!$L$55:$L$76,"Inadequate")</f>
        <v>0</v>
      </c>
    </row>
    <row r="16" spans="1:4" x14ac:dyDescent="0.3">
      <c r="A16" s="327"/>
      <c r="B16" s="141" t="s">
        <v>1158</v>
      </c>
      <c r="C16" s="63">
        <v>3</v>
      </c>
      <c r="D16" s="63">
        <f>COUNTIFS('Override Control Env2'!$C$55:$C$76,C16,'Override Control Env2'!$L$55:$L$76,"Inadequate")</f>
        <v>0</v>
      </c>
    </row>
    <row r="17" spans="1:4" x14ac:dyDescent="0.3">
      <c r="A17" s="327"/>
      <c r="B17" s="141" t="s">
        <v>1159</v>
      </c>
      <c r="C17" s="63">
        <v>4</v>
      </c>
      <c r="D17" s="63">
        <f>COUNTIFS('Override Control Env2'!$C$55:$C$76,C17,'Override Control Env2'!$L$55:$L$76,"Inadequate")</f>
        <v>0</v>
      </c>
    </row>
    <row r="18" spans="1:4" x14ac:dyDescent="0.3">
      <c r="A18" s="327" t="s">
        <v>1143</v>
      </c>
      <c r="B18" s="141" t="s">
        <v>1156</v>
      </c>
      <c r="C18" s="63">
        <v>1</v>
      </c>
      <c r="D18" s="63">
        <f>COUNTIFS('Override Control Env2'!$C$77:$C$101,C18,'Override Control Env2'!$L$77:$L$101,"Inadequate")</f>
        <v>0</v>
      </c>
    </row>
    <row r="19" spans="1:4" x14ac:dyDescent="0.3">
      <c r="A19" s="327"/>
      <c r="B19" s="141" t="s">
        <v>1157</v>
      </c>
      <c r="C19" s="63">
        <v>2</v>
      </c>
      <c r="D19" s="63">
        <f>COUNTIFS('Override Control Env2'!$C$77:$C$101,C19,'Override Control Env2'!$L$77:$L$101,"Inadequate")</f>
        <v>0</v>
      </c>
    </row>
    <row r="20" spans="1:4" x14ac:dyDescent="0.3">
      <c r="A20" s="327"/>
      <c r="B20" s="141" t="s">
        <v>1158</v>
      </c>
      <c r="C20" s="63">
        <v>3</v>
      </c>
      <c r="D20" s="63">
        <f>COUNTIFS('Override Control Env2'!$C$77:$C$101,C20,'Override Control Env2'!$L$77:$L$101,"Inadequate")</f>
        <v>0</v>
      </c>
    </row>
    <row r="21" spans="1:4" x14ac:dyDescent="0.3">
      <c r="A21" s="327"/>
      <c r="B21" s="141" t="s">
        <v>1159</v>
      </c>
      <c r="C21" s="63">
        <v>4</v>
      </c>
      <c r="D21" s="63">
        <f>COUNTIFS('Override Control Env2'!$C$77:$C$101,C21,'Override Control Env2'!$L$77:$L$101,"Inadequate")</f>
        <v>0</v>
      </c>
    </row>
    <row r="22" spans="1:4" x14ac:dyDescent="0.3">
      <c r="A22" s="327" t="s">
        <v>504</v>
      </c>
      <c r="B22" s="141" t="s">
        <v>1156</v>
      </c>
      <c r="C22" s="63">
        <v>1</v>
      </c>
      <c r="D22" s="63">
        <f>COUNTIFS('Override Control Env2'!$C$104:$C$116,C22,'Override Control Env2'!$L$104:$L$116,"Inadequate")</f>
        <v>0</v>
      </c>
    </row>
    <row r="23" spans="1:4" x14ac:dyDescent="0.3">
      <c r="A23" s="327"/>
      <c r="B23" s="141" t="s">
        <v>1157</v>
      </c>
      <c r="C23" s="63">
        <v>2</v>
      </c>
      <c r="D23" s="63">
        <f>COUNTIFS('Override Control Env2'!$C$104:$C$116,C23,'Override Control Env2'!$L$104:$L$116,"Inadequate")</f>
        <v>0</v>
      </c>
    </row>
    <row r="24" spans="1:4" x14ac:dyDescent="0.3">
      <c r="A24" s="327"/>
      <c r="B24" s="141" t="s">
        <v>1158</v>
      </c>
      <c r="C24" s="63">
        <v>3</v>
      </c>
      <c r="D24" s="63">
        <f>COUNTIFS('Override Control Env2'!$C$104:$C$116,C24,'Override Control Env2'!$L$104:$L$116,"Inadequate")</f>
        <v>0</v>
      </c>
    </row>
    <row r="25" spans="1:4" x14ac:dyDescent="0.3">
      <c r="A25" s="327"/>
      <c r="B25" s="141" t="s">
        <v>1159</v>
      </c>
      <c r="C25" s="63">
        <v>4</v>
      </c>
      <c r="D25" s="63">
        <f>COUNTIFS('Override Control Env2'!$C$104:$C$116,C25,'Override Control Env2'!$L$104:$L$116,"Inadequate")</f>
        <v>0</v>
      </c>
    </row>
    <row r="26" spans="1:4" x14ac:dyDescent="0.3">
      <c r="A26" s="328" t="s">
        <v>1135</v>
      </c>
      <c r="B26" s="141" t="s">
        <v>1156</v>
      </c>
      <c r="C26" s="63">
        <v>1</v>
      </c>
      <c r="D26" s="63">
        <f>COUNTIFS('Override Control Env2'!$C$117:$C$135,C26,'Override Control Env2'!$L$117:$L$135,"Inadequate")</f>
        <v>0</v>
      </c>
    </row>
    <row r="27" spans="1:4" x14ac:dyDescent="0.3">
      <c r="A27" s="328"/>
      <c r="B27" s="141" t="s">
        <v>1157</v>
      </c>
      <c r="C27" s="63">
        <v>2</v>
      </c>
      <c r="D27" s="63">
        <f>COUNTIFS('Override Control Env2'!$C$117:$C$135,C27,'Override Control Env2'!$L$117:$L$135,"Inadequate")</f>
        <v>0</v>
      </c>
    </row>
    <row r="28" spans="1:4" x14ac:dyDescent="0.3">
      <c r="A28" s="328"/>
      <c r="B28" s="141" t="s">
        <v>1158</v>
      </c>
      <c r="C28" s="63">
        <v>3</v>
      </c>
      <c r="D28" s="63">
        <f>COUNTIFS('Override Control Env2'!$C$117:$C$135,C28,'Override Control Env2'!$L$117:$L$135,"Inadequate")</f>
        <v>0</v>
      </c>
    </row>
    <row r="29" spans="1:4" x14ac:dyDescent="0.3">
      <c r="A29" s="328"/>
      <c r="B29" s="141" t="s">
        <v>1159</v>
      </c>
      <c r="C29" s="63">
        <v>4</v>
      </c>
      <c r="D29" s="63">
        <f>COUNTIFS('Override Control Env2'!$C$117:$C$135,C29,'Override Control Env2'!$L$117:$L$135,"Inadequate")</f>
        <v>0</v>
      </c>
    </row>
    <row r="30" spans="1:4" x14ac:dyDescent="0.3">
      <c r="A30" s="327" t="s">
        <v>1136</v>
      </c>
      <c r="B30" s="141" t="s">
        <v>1156</v>
      </c>
      <c r="C30" s="63">
        <v>1</v>
      </c>
      <c r="D30" s="63">
        <f>COUNTIFS('Override Control Env2'!$C$136:$C$147,C30,'Override Control Env2'!$L$136:$L$147,"Inadequate")</f>
        <v>0</v>
      </c>
    </row>
    <row r="31" spans="1:4" x14ac:dyDescent="0.3">
      <c r="A31" s="327"/>
      <c r="B31" s="141" t="s">
        <v>1157</v>
      </c>
      <c r="C31" s="63">
        <v>2</v>
      </c>
      <c r="D31" s="63">
        <f>COUNTIFS('Override Control Env2'!$C$136:$C$147,C31,'Override Control Env2'!$L$136:$L$147,"Inadequate")</f>
        <v>0</v>
      </c>
    </row>
    <row r="32" spans="1:4" x14ac:dyDescent="0.3">
      <c r="A32" s="327"/>
      <c r="B32" s="141" t="s">
        <v>1158</v>
      </c>
      <c r="C32" s="63">
        <v>3</v>
      </c>
      <c r="D32" s="63">
        <f>COUNTIFS('Override Control Env2'!$C$136:$C$147,C32,'Override Control Env2'!$L$136:$L$147,"Inadequate")</f>
        <v>0</v>
      </c>
    </row>
    <row r="33" spans="1:4" x14ac:dyDescent="0.3">
      <c r="A33" s="327"/>
      <c r="B33" s="141" t="s">
        <v>1159</v>
      </c>
      <c r="C33" s="63">
        <v>4</v>
      </c>
      <c r="D33" s="63">
        <f>COUNTIFS('Override Control Env2'!$C$136:$C$147,C33,'Override Control Env2'!$L$136:$L$147,"Inadequate")</f>
        <v>0</v>
      </c>
    </row>
    <row r="34" spans="1:4" x14ac:dyDescent="0.3">
      <c r="A34" s="327" t="s">
        <v>661</v>
      </c>
      <c r="B34" s="141" t="s">
        <v>1156</v>
      </c>
      <c r="C34" s="63">
        <v>1</v>
      </c>
      <c r="D34" s="63">
        <f>COUNTIFS('Override Control Env2'!$C$148:$C$163,C34,'Override Control Env2'!$L$148:$L$163,"Inadequate")</f>
        <v>0</v>
      </c>
    </row>
    <row r="35" spans="1:4" x14ac:dyDescent="0.3">
      <c r="A35" s="327"/>
      <c r="B35" s="141" t="s">
        <v>1157</v>
      </c>
      <c r="C35" s="63">
        <v>2</v>
      </c>
      <c r="D35" s="63">
        <f>COUNTIFS('Override Control Env2'!$C$148:$C$163,C35,'Override Control Env2'!$L$148:$L$163,"Inadequate")</f>
        <v>0</v>
      </c>
    </row>
    <row r="36" spans="1:4" x14ac:dyDescent="0.3">
      <c r="A36" s="327"/>
      <c r="B36" s="141" t="s">
        <v>1158</v>
      </c>
      <c r="C36" s="63">
        <v>3</v>
      </c>
      <c r="D36" s="63">
        <f>COUNTIFS('Override Control Env2'!$C$148:$C$163,C36,'Override Control Env2'!$L$148:$L$163,"Inadequate")</f>
        <v>0</v>
      </c>
    </row>
    <row r="37" spans="1:4" x14ac:dyDescent="0.3">
      <c r="A37" s="327"/>
      <c r="B37" s="141" t="s">
        <v>1159</v>
      </c>
      <c r="C37" s="63">
        <v>4</v>
      </c>
      <c r="D37" s="63">
        <f>COUNTIFS('Override Control Env2'!$C$148:$C$163,C37,'Override Control Env2'!$L$148:$L$163,"Inadequate")</f>
        <v>0</v>
      </c>
    </row>
    <row r="38" spans="1:4" x14ac:dyDescent="0.3">
      <c r="A38" s="327" t="s">
        <v>706</v>
      </c>
      <c r="B38" s="141" t="s">
        <v>1156</v>
      </c>
      <c r="C38" s="63">
        <v>1</v>
      </c>
      <c r="D38" s="63">
        <f>COUNTIFS('Override Control Env2'!$C$164:$C$173,C38,'Override Control Env2'!$L$164:$L$173,"Inadequate")</f>
        <v>0</v>
      </c>
    </row>
    <row r="39" spans="1:4" x14ac:dyDescent="0.3">
      <c r="A39" s="327"/>
      <c r="B39" s="141" t="s">
        <v>1157</v>
      </c>
      <c r="C39" s="63">
        <v>2</v>
      </c>
      <c r="D39" s="63">
        <f>COUNTIFS('Override Control Env2'!$C$164:$C$173,C39,'Override Control Env2'!$L$164:$L$173,"Inadequate")</f>
        <v>0</v>
      </c>
    </row>
    <row r="40" spans="1:4" x14ac:dyDescent="0.3">
      <c r="A40" s="327"/>
      <c r="B40" s="141" t="s">
        <v>1158</v>
      </c>
      <c r="C40" s="63">
        <v>3</v>
      </c>
      <c r="D40" s="63">
        <f>COUNTIFS('Override Control Env2'!$C$164:$C$173,C40,'Override Control Env2'!$L$164:$L$173,"Inadequate")</f>
        <v>0</v>
      </c>
    </row>
    <row r="41" spans="1:4" x14ac:dyDescent="0.3">
      <c r="A41" s="327"/>
      <c r="B41" s="141" t="s">
        <v>1159</v>
      </c>
      <c r="C41" s="63">
        <v>4</v>
      </c>
      <c r="D41" s="63">
        <f>COUNTIFS('Override Control Env2'!$C$164:$C$173,C41,'Override Control Env2'!$L$164:$L$173,"Inadequate")</f>
        <v>0</v>
      </c>
    </row>
    <row r="42" spans="1:4" x14ac:dyDescent="0.3">
      <c r="A42" s="327" t="s">
        <v>1137</v>
      </c>
      <c r="B42" s="141" t="s">
        <v>1156</v>
      </c>
      <c r="C42" s="63">
        <v>1</v>
      </c>
      <c r="D42" s="63">
        <f>COUNTIFS('Override Control Env2'!$C$174:$C$200,C42,'Override Control Env2'!$L$174:$L$200,"Inadequate")</f>
        <v>0</v>
      </c>
    </row>
    <row r="43" spans="1:4" x14ac:dyDescent="0.3">
      <c r="A43" s="327"/>
      <c r="B43" s="141" t="s">
        <v>1157</v>
      </c>
      <c r="C43" s="63">
        <v>2</v>
      </c>
      <c r="D43" s="63">
        <f>COUNTIFS('Override Control Env2'!$C$174:$C$200,C43,'Override Control Env2'!$L$174:$L$200,"Inadequate")</f>
        <v>0</v>
      </c>
    </row>
    <row r="44" spans="1:4" x14ac:dyDescent="0.3">
      <c r="A44" s="327"/>
      <c r="B44" s="141" t="s">
        <v>1158</v>
      </c>
      <c r="C44" s="63">
        <v>3</v>
      </c>
      <c r="D44" s="63">
        <f>COUNTIFS('Override Control Env2'!$C$174:$C$200,C44,'Override Control Env2'!$L$174:$L$200,"Inadequate")</f>
        <v>0</v>
      </c>
    </row>
    <row r="45" spans="1:4" x14ac:dyDescent="0.3">
      <c r="A45" s="327"/>
      <c r="B45" s="141" t="s">
        <v>1159</v>
      </c>
      <c r="C45" s="63">
        <v>4</v>
      </c>
      <c r="D45" s="63">
        <f>COUNTIFS('Override Control Env2'!$C$174:$C$200,C45,'Override Control Env2'!$L$174:$L$200,"Inadequate")</f>
        <v>0</v>
      </c>
    </row>
    <row r="46" spans="1:4" x14ac:dyDescent="0.3">
      <c r="A46" s="327" t="s">
        <v>836</v>
      </c>
      <c r="B46" s="141" t="s">
        <v>1156</v>
      </c>
      <c r="C46" s="63">
        <v>1</v>
      </c>
      <c r="D46" s="63">
        <f>COUNTIFS('Override Control Env2'!$C$201:$C$213,C46,'Override Control Env2'!$L$201:$L$213,"Inadequate")</f>
        <v>0</v>
      </c>
    </row>
    <row r="47" spans="1:4" x14ac:dyDescent="0.3">
      <c r="A47" s="327"/>
      <c r="B47" s="141" t="s">
        <v>1157</v>
      </c>
      <c r="C47" s="63">
        <v>2</v>
      </c>
      <c r="D47" s="63">
        <f>COUNTIFS('Override Control Env2'!$C$201:$C$213,C47,'Override Control Env2'!$L$201:$L$213,"Inadequate")</f>
        <v>0</v>
      </c>
    </row>
    <row r="48" spans="1:4" x14ac:dyDescent="0.3">
      <c r="A48" s="327"/>
      <c r="B48" s="141" t="s">
        <v>1158</v>
      </c>
      <c r="C48" s="63">
        <v>3</v>
      </c>
      <c r="D48" s="63">
        <f>COUNTIFS('Override Control Env2'!$C$201:$C$213,C48,'Override Control Env2'!$L$201:$L$213,"Inadequate")</f>
        <v>0</v>
      </c>
    </row>
    <row r="49" spans="1:4" x14ac:dyDescent="0.3">
      <c r="A49" s="327"/>
      <c r="B49" s="141" t="s">
        <v>1159</v>
      </c>
      <c r="C49" s="63">
        <v>4</v>
      </c>
      <c r="D49" s="63">
        <f>COUNTIFS('Override Control Env2'!$C$201:$C$213,C49,'Override Control Env2'!$L$201:$L$213,"Inadequate")</f>
        <v>0</v>
      </c>
    </row>
    <row r="50" spans="1:4" x14ac:dyDescent="0.3">
      <c r="A50" s="327" t="s">
        <v>872</v>
      </c>
      <c r="B50" s="141" t="s">
        <v>1156</v>
      </c>
      <c r="C50" s="63">
        <v>1</v>
      </c>
      <c r="D50" s="63">
        <f>COUNTIFS('Override Control Env2'!$C$214:$C$224,C50,'Override Control Env2'!$L$214:$L$224,"Inadequate")</f>
        <v>0</v>
      </c>
    </row>
    <row r="51" spans="1:4" x14ac:dyDescent="0.3">
      <c r="A51" s="327"/>
      <c r="B51" s="141" t="s">
        <v>1157</v>
      </c>
      <c r="C51" s="63">
        <v>2</v>
      </c>
      <c r="D51" s="63">
        <f>COUNTIFS('Override Control Env2'!$C$214:$C$224,C51,'Override Control Env2'!$L$214:$L$224,"Inadequate")</f>
        <v>0</v>
      </c>
    </row>
    <row r="52" spans="1:4" x14ac:dyDescent="0.3">
      <c r="A52" s="327"/>
      <c r="B52" s="141" t="s">
        <v>1158</v>
      </c>
      <c r="C52" s="63">
        <v>3</v>
      </c>
      <c r="D52" s="63">
        <f>COUNTIFS('Override Control Env2'!$C$214:$C$224,C52,'Override Control Env2'!$L$214:$L$224,"Inadequate")</f>
        <v>0</v>
      </c>
    </row>
    <row r="53" spans="1:4" x14ac:dyDescent="0.3">
      <c r="A53" s="327"/>
      <c r="B53" s="141" t="s">
        <v>1159</v>
      </c>
      <c r="C53" s="63">
        <v>4</v>
      </c>
      <c r="D53" s="63">
        <f>COUNTIFS('Override Control Env2'!$C$214:$C$224,C53,'Override Control Env2'!$L$214:$L$224,"Inadequate")</f>
        <v>0</v>
      </c>
    </row>
    <row r="54" spans="1:4" x14ac:dyDescent="0.3">
      <c r="A54" s="327" t="s">
        <v>1138</v>
      </c>
      <c r="B54" s="141" t="s">
        <v>1156</v>
      </c>
      <c r="C54" s="63">
        <v>1</v>
      </c>
      <c r="D54" s="63">
        <f>COUNTIFS('Override Control Env2'!$C$225:$C$228,C54,'Override Control Env2'!$L$225:$L$228,"Inadequate")</f>
        <v>0</v>
      </c>
    </row>
    <row r="55" spans="1:4" x14ac:dyDescent="0.3">
      <c r="A55" s="327"/>
      <c r="B55" s="141" t="s">
        <v>1157</v>
      </c>
      <c r="C55" s="63">
        <v>2</v>
      </c>
      <c r="D55" s="63">
        <f>COUNTIFS('Override Control Env2'!$C$225:$C$228,C55,'Override Control Env2'!$L$225:$L$228,"Inadequate")</f>
        <v>0</v>
      </c>
    </row>
    <row r="56" spans="1:4" x14ac:dyDescent="0.3">
      <c r="A56" s="327"/>
      <c r="B56" s="141" t="s">
        <v>1158</v>
      </c>
      <c r="C56" s="63">
        <v>3</v>
      </c>
      <c r="D56" s="63">
        <f>COUNTIFS('Override Control Env2'!$C$225:$C$228,C56,'Override Control Env2'!$L$225:$L$228,"Inadequate")</f>
        <v>0</v>
      </c>
    </row>
    <row r="57" spans="1:4" x14ac:dyDescent="0.3">
      <c r="A57" s="327"/>
      <c r="B57" s="141" t="s">
        <v>1159</v>
      </c>
      <c r="C57" s="63">
        <v>4</v>
      </c>
      <c r="D57" s="63">
        <f>COUNTIFS('Override Control Env2'!$C$225:$C$228,C57,'Override Control Env2'!$L$225:$L$228,"Inadequate")</f>
        <v>0</v>
      </c>
    </row>
    <row r="58" spans="1:4" x14ac:dyDescent="0.3">
      <c r="A58" s="327" t="s">
        <v>1139</v>
      </c>
      <c r="B58" s="141" t="s">
        <v>1156</v>
      </c>
      <c r="C58" s="63">
        <v>1</v>
      </c>
      <c r="D58" s="63">
        <f>COUNTIFS('Override Control Env2'!$C$229:$C$241,C58,'Override Control Env2'!$L$229:$L$241,"Inadequate")</f>
        <v>0</v>
      </c>
    </row>
    <row r="59" spans="1:4" x14ac:dyDescent="0.3">
      <c r="A59" s="327"/>
      <c r="B59" s="141" t="s">
        <v>1157</v>
      </c>
      <c r="C59" s="63">
        <v>2</v>
      </c>
      <c r="D59" s="63">
        <f>COUNTIFS('Override Control Env2'!$C$229:$C$241,C59,'Override Control Env2'!$L$229:$L$241,"Inadequate")</f>
        <v>0</v>
      </c>
    </row>
    <row r="60" spans="1:4" x14ac:dyDescent="0.3">
      <c r="A60" s="327"/>
      <c r="B60" s="141" t="s">
        <v>1158</v>
      </c>
      <c r="C60" s="63">
        <v>3</v>
      </c>
      <c r="D60" s="63">
        <f>COUNTIFS('Override Control Env2'!$C$229:$C$241,C60,'Override Control Env2'!$L$229:$L$241,"Inadequate")</f>
        <v>0</v>
      </c>
    </row>
    <row r="61" spans="1:4" x14ac:dyDescent="0.3">
      <c r="A61" s="327"/>
      <c r="B61" s="141" t="s">
        <v>1159</v>
      </c>
      <c r="C61" s="63">
        <v>4</v>
      </c>
      <c r="D61" s="63">
        <f>COUNTIFS('Override Control Env2'!$C$229:$C$241,C61,'Override Control Env2'!$L$229:$L$241,"Inadequate")</f>
        <v>0</v>
      </c>
    </row>
    <row r="62" spans="1:4" x14ac:dyDescent="0.3">
      <c r="A62" s="327" t="s">
        <v>1140</v>
      </c>
      <c r="B62" s="141" t="s">
        <v>1156</v>
      </c>
      <c r="C62" s="63">
        <v>1</v>
      </c>
      <c r="D62" s="63">
        <f>COUNTIFS('Override Control Env2'!$C$242:$C$268,C62,'Override Control Env2'!$L$242:$L$268,"Inadequate")</f>
        <v>0</v>
      </c>
    </row>
    <row r="63" spans="1:4" x14ac:dyDescent="0.3">
      <c r="A63" s="327"/>
      <c r="B63" s="141" t="s">
        <v>1157</v>
      </c>
      <c r="C63" s="63">
        <v>2</v>
      </c>
      <c r="D63" s="63">
        <f>COUNTIFS('Override Control Env2'!$C$242:$C$268,C63,'Override Control Env2'!$L$242:$L$268,"Inadequate")</f>
        <v>0</v>
      </c>
    </row>
    <row r="64" spans="1:4" x14ac:dyDescent="0.3">
      <c r="A64" s="327"/>
      <c r="B64" s="141" t="s">
        <v>1158</v>
      </c>
      <c r="C64" s="63">
        <v>3</v>
      </c>
      <c r="D64" s="63">
        <f>COUNTIFS('Override Control Env2'!$C$242:$C$268,C64,'Override Control Env2'!$L$242:$L$268,"Inadequate")</f>
        <v>0</v>
      </c>
    </row>
    <row r="65" spans="1:4" x14ac:dyDescent="0.3">
      <c r="A65" s="327"/>
      <c r="B65" s="141" t="s">
        <v>1159</v>
      </c>
      <c r="C65" s="63">
        <v>4</v>
      </c>
      <c r="D65" s="63">
        <f>COUNTIFS('Override Control Env2'!$C$242:$C$268,C65,'Override Control Env2'!$L$242:$L$268,"Inadequate")</f>
        <v>0</v>
      </c>
    </row>
    <row r="66" spans="1:4" x14ac:dyDescent="0.3">
      <c r="A66" s="327" t="s">
        <v>1141</v>
      </c>
      <c r="B66" s="141" t="s">
        <v>1156</v>
      </c>
      <c r="C66" s="63">
        <v>1</v>
      </c>
      <c r="D66" s="63">
        <f>COUNTIFS('Override Control Env2'!$C$269:$C$282,C66,'Override Control Env2'!$L$269:$L$282,"Inadequate")</f>
        <v>0</v>
      </c>
    </row>
    <row r="67" spans="1:4" x14ac:dyDescent="0.3">
      <c r="A67" s="327"/>
      <c r="B67" s="141" t="s">
        <v>1157</v>
      </c>
      <c r="C67" s="63">
        <v>2</v>
      </c>
      <c r="D67" s="63">
        <f>COUNTIFS('Override Control Env2'!$C$269:$C$282,C67,'Override Control Env2'!$L$269:$L$282,"Inadequate")</f>
        <v>0</v>
      </c>
    </row>
    <row r="68" spans="1:4" x14ac:dyDescent="0.3">
      <c r="A68" s="327"/>
      <c r="B68" s="141" t="s">
        <v>1158</v>
      </c>
      <c r="C68" s="63">
        <v>3</v>
      </c>
      <c r="D68" s="63">
        <f>COUNTIFS('Override Control Env2'!$C$269:$C$282,C68,'Override Control Env2'!$L$269:$L$282,"Inadequate")</f>
        <v>0</v>
      </c>
    </row>
    <row r="69" spans="1:4" x14ac:dyDescent="0.3">
      <c r="A69" s="327"/>
      <c r="B69" s="141" t="s">
        <v>1159</v>
      </c>
      <c r="C69" s="63">
        <v>4</v>
      </c>
      <c r="D69" s="63">
        <f>COUNTIFS('Override Control Env2'!$C$269:$C$282,C69,'Override Control Env2'!$L$269:$L$282,"Inadequate")</f>
        <v>0</v>
      </c>
    </row>
  </sheetData>
  <mergeCells count="17">
    <mergeCell ref="A50:A53"/>
    <mergeCell ref="A54:A57"/>
    <mergeCell ref="A58:A61"/>
    <mergeCell ref="A62:A65"/>
    <mergeCell ref="A66:A69"/>
    <mergeCell ref="A46:A49"/>
    <mergeCell ref="A2:A5"/>
    <mergeCell ref="A6:A9"/>
    <mergeCell ref="A10:A13"/>
    <mergeCell ref="A14:A17"/>
    <mergeCell ref="A18:A21"/>
    <mergeCell ref="A22:A25"/>
    <mergeCell ref="A26:A29"/>
    <mergeCell ref="A30:A33"/>
    <mergeCell ref="A34:A37"/>
    <mergeCell ref="A38:A41"/>
    <mergeCell ref="A42:A45"/>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D69"/>
  <sheetViews>
    <sheetView showGridLines="0" topLeftCell="A43" workbookViewId="0">
      <selection activeCell="D69" sqref="D69"/>
    </sheetView>
  </sheetViews>
  <sheetFormatPr defaultColWidth="9" defaultRowHeight="14.4" x14ac:dyDescent="0.3"/>
  <cols>
    <col min="1" max="1" width="29.33203125" style="14" bestFit="1" customWidth="1"/>
    <col min="2" max="2" width="9" style="14"/>
    <col min="3" max="3" width="0" style="14" hidden="1" customWidth="1"/>
    <col min="4" max="4" width="14" style="14" customWidth="1"/>
    <col min="5" max="16384" width="9" style="14"/>
  </cols>
  <sheetData>
    <row r="1" spans="1:4" ht="28.8" x14ac:dyDescent="0.3">
      <c r="A1" s="63" t="s">
        <v>1127</v>
      </c>
      <c r="B1" s="63" t="s">
        <v>1124</v>
      </c>
      <c r="C1" s="63" t="s">
        <v>1124</v>
      </c>
      <c r="D1" s="142" t="s">
        <v>1155</v>
      </c>
    </row>
    <row r="2" spans="1:4" x14ac:dyDescent="0.3">
      <c r="A2" s="327" t="s">
        <v>1128</v>
      </c>
      <c r="B2" s="141" t="s">
        <v>1156</v>
      </c>
      <c r="C2" s="63">
        <v>1</v>
      </c>
      <c r="D2" s="63">
        <f>COUNTIFS('Override Control Env3'!$C$9:$C$41,C2,'Override Control Env3'!$L$9:$L$41,"Inadequate")</f>
        <v>0</v>
      </c>
    </row>
    <row r="3" spans="1:4" x14ac:dyDescent="0.3">
      <c r="A3" s="327"/>
      <c r="B3" s="141" t="s">
        <v>1157</v>
      </c>
      <c r="C3" s="63">
        <v>2</v>
      </c>
      <c r="D3" s="63">
        <f>COUNTIFS('Override Control Env3'!$C$9:$C$41,C3,'Override Control Env3'!$L$9:$L$41,"Inadequate")</f>
        <v>0</v>
      </c>
    </row>
    <row r="4" spans="1:4" x14ac:dyDescent="0.3">
      <c r="A4" s="327"/>
      <c r="B4" s="141" t="s">
        <v>1158</v>
      </c>
      <c r="C4" s="63">
        <v>3</v>
      </c>
      <c r="D4" s="63">
        <f>COUNTIFS('Override Control Env3'!$C$9:$C$41,C4,'Override Control Env3'!$L$9:$L$41,"Inadequate")</f>
        <v>0</v>
      </c>
    </row>
    <row r="5" spans="1:4" x14ac:dyDescent="0.3">
      <c r="A5" s="327"/>
      <c r="B5" s="141" t="s">
        <v>1159</v>
      </c>
      <c r="C5" s="63">
        <v>4</v>
      </c>
      <c r="D5" s="63">
        <f>COUNTIFS('Override Control Env3'!$C$9:$C$41,C5,'Override Control Env3'!$L$9:$L$41,"Inadequate")</f>
        <v>0</v>
      </c>
    </row>
    <row r="6" spans="1:4" x14ac:dyDescent="0.3">
      <c r="A6" s="327" t="s">
        <v>306</v>
      </c>
      <c r="B6" s="141" t="s">
        <v>1156</v>
      </c>
      <c r="C6" s="63">
        <v>1</v>
      </c>
      <c r="D6" s="63">
        <f>COUNTIFS('Override Control Env3'!$C$42:$C$46,C6,'Override Control Env3'!$L$42:$L$46,"Inadequate")</f>
        <v>0</v>
      </c>
    </row>
    <row r="7" spans="1:4" x14ac:dyDescent="0.3">
      <c r="A7" s="327"/>
      <c r="B7" s="141" t="s">
        <v>1157</v>
      </c>
      <c r="C7" s="63">
        <v>2</v>
      </c>
      <c r="D7" s="63">
        <f>COUNTIFS('Override Control Env3'!$C$42:$C$46,C7,'Override Control Env3'!$L$42:$L$46,"Inadequate")</f>
        <v>0</v>
      </c>
    </row>
    <row r="8" spans="1:4" x14ac:dyDescent="0.3">
      <c r="A8" s="327"/>
      <c r="B8" s="141" t="s">
        <v>1158</v>
      </c>
      <c r="C8" s="63">
        <v>3</v>
      </c>
      <c r="D8" s="63">
        <f>COUNTIFS('Override Control Env3'!$C$42:$C$46,C8,'Override Control Env3'!$L$42:$L$46,"Inadequate")</f>
        <v>0</v>
      </c>
    </row>
    <row r="9" spans="1:4" x14ac:dyDescent="0.3">
      <c r="A9" s="327"/>
      <c r="B9" s="141" t="s">
        <v>1159</v>
      </c>
      <c r="C9" s="63">
        <v>4</v>
      </c>
      <c r="D9" s="63">
        <f>COUNTIFS('Override Control Env3'!$C$42:$C$46,C9,'Override Control Env3'!$L$42:$L$46,"Inadequate")</f>
        <v>0</v>
      </c>
    </row>
    <row r="10" spans="1:4" x14ac:dyDescent="0.3">
      <c r="A10" s="327" t="s">
        <v>327</v>
      </c>
      <c r="B10" s="141" t="s">
        <v>1156</v>
      </c>
      <c r="C10" s="63">
        <v>1</v>
      </c>
      <c r="D10" s="63">
        <f>COUNTIFS('Override Control Env3'!$C$47:$C$54,C10,'Override Control Env3'!$L$47:$L$54,"Inadequate")</f>
        <v>0</v>
      </c>
    </row>
    <row r="11" spans="1:4" x14ac:dyDescent="0.3">
      <c r="A11" s="327"/>
      <c r="B11" s="141" t="s">
        <v>1157</v>
      </c>
      <c r="C11" s="63">
        <v>2</v>
      </c>
      <c r="D11" s="63">
        <f>COUNTIFS('Override Control Env3'!$C$47:$C$54,C11,'Override Control Env3'!$L$47:$L$54,"Inadequate")</f>
        <v>0</v>
      </c>
    </row>
    <row r="12" spans="1:4" x14ac:dyDescent="0.3">
      <c r="A12" s="327"/>
      <c r="B12" s="141" t="s">
        <v>1158</v>
      </c>
      <c r="C12" s="63">
        <v>3</v>
      </c>
      <c r="D12" s="63">
        <f>COUNTIFS('Override Control Env3'!$C$47:$C$54,C12,'Override Control Env3'!$L$47:$L$54,"Inadequate")</f>
        <v>0</v>
      </c>
    </row>
    <row r="13" spans="1:4" x14ac:dyDescent="0.3">
      <c r="A13" s="327"/>
      <c r="B13" s="141" t="s">
        <v>1159</v>
      </c>
      <c r="C13" s="63">
        <v>4</v>
      </c>
      <c r="D13" s="63">
        <f>COUNTIFS('Override Control Env3'!$C$47:$C$54,C13,'Override Control Env3'!$L$47:$L$54,"Inadequate")</f>
        <v>0</v>
      </c>
    </row>
    <row r="14" spans="1:4" x14ac:dyDescent="0.3">
      <c r="A14" s="327" t="s">
        <v>1134</v>
      </c>
      <c r="B14" s="141" t="s">
        <v>1156</v>
      </c>
      <c r="C14" s="63">
        <v>1</v>
      </c>
      <c r="D14" s="63">
        <f>COUNTIFS('Override Control Env3'!$C$55:$C$76,C14,'Override Control Env3'!$L$55:$L$76,"Inadequate")</f>
        <v>0</v>
      </c>
    </row>
    <row r="15" spans="1:4" x14ac:dyDescent="0.3">
      <c r="A15" s="327"/>
      <c r="B15" s="141" t="s">
        <v>1157</v>
      </c>
      <c r="C15" s="63">
        <v>2</v>
      </c>
      <c r="D15" s="63">
        <f>COUNTIFS('Override Control Env3'!$C$55:$C$76,C15,'Override Control Env3'!$L$55:$L$76,"Inadequate")</f>
        <v>0</v>
      </c>
    </row>
    <row r="16" spans="1:4" x14ac:dyDescent="0.3">
      <c r="A16" s="327"/>
      <c r="B16" s="141" t="s">
        <v>1158</v>
      </c>
      <c r="C16" s="63">
        <v>3</v>
      </c>
      <c r="D16" s="63">
        <f>COUNTIFS('Override Control Env3'!$C$55:$C$76,C16,'Override Control Env3'!$L$55:$L$76,"Inadequate")</f>
        <v>0</v>
      </c>
    </row>
    <row r="17" spans="1:4" x14ac:dyDescent="0.3">
      <c r="A17" s="327"/>
      <c r="B17" s="141" t="s">
        <v>1159</v>
      </c>
      <c r="C17" s="63">
        <v>4</v>
      </c>
      <c r="D17" s="63">
        <f>COUNTIFS('Override Control Env3'!$C$55:$C$76,C17,'Override Control Env3'!$L$55:$L$76,"Inadequate")</f>
        <v>0</v>
      </c>
    </row>
    <row r="18" spans="1:4" x14ac:dyDescent="0.3">
      <c r="A18" s="327" t="s">
        <v>1143</v>
      </c>
      <c r="B18" s="141" t="s">
        <v>1156</v>
      </c>
      <c r="C18" s="63">
        <v>1</v>
      </c>
      <c r="D18" s="63">
        <f>COUNTIFS('Override Control Env3'!$C$77:$C$101,C18,'Override Control Env3'!$L$77:$L$101,"Inadequate")</f>
        <v>0</v>
      </c>
    </row>
    <row r="19" spans="1:4" x14ac:dyDescent="0.3">
      <c r="A19" s="327"/>
      <c r="B19" s="141" t="s">
        <v>1157</v>
      </c>
      <c r="C19" s="63">
        <v>2</v>
      </c>
      <c r="D19" s="63">
        <f>COUNTIFS('Override Control Env3'!$C$77:$C$101,C19,'Override Control Env3'!$L$77:$L$101,"Inadequate")</f>
        <v>0</v>
      </c>
    </row>
    <row r="20" spans="1:4" x14ac:dyDescent="0.3">
      <c r="A20" s="327"/>
      <c r="B20" s="141" t="s">
        <v>1158</v>
      </c>
      <c r="C20" s="63">
        <v>3</v>
      </c>
      <c r="D20" s="63">
        <f>COUNTIFS('Override Control Env3'!$C$77:$C$101,C20,'Override Control Env3'!$L$77:$L$101,"Inadequate")</f>
        <v>0</v>
      </c>
    </row>
    <row r="21" spans="1:4" x14ac:dyDescent="0.3">
      <c r="A21" s="327"/>
      <c r="B21" s="141" t="s">
        <v>1159</v>
      </c>
      <c r="C21" s="63">
        <v>4</v>
      </c>
      <c r="D21" s="63">
        <f>COUNTIFS('Override Control Env3'!$C$77:$C$101,C21,'Override Control Env3'!$L$77:$L$101,"Inadequate")</f>
        <v>0</v>
      </c>
    </row>
    <row r="22" spans="1:4" x14ac:dyDescent="0.3">
      <c r="A22" s="327" t="s">
        <v>504</v>
      </c>
      <c r="B22" s="141" t="s">
        <v>1156</v>
      </c>
      <c r="C22" s="63">
        <v>1</v>
      </c>
      <c r="D22" s="63">
        <f>COUNTIFS('Override Control Env3'!$C$104:$C$116,C22,'Override Control Env3'!$L$104:$L$116,"Inadequate")</f>
        <v>0</v>
      </c>
    </row>
    <row r="23" spans="1:4" x14ac:dyDescent="0.3">
      <c r="A23" s="327"/>
      <c r="B23" s="141" t="s">
        <v>1157</v>
      </c>
      <c r="C23" s="63">
        <v>2</v>
      </c>
      <c r="D23" s="63">
        <f>COUNTIFS('Override Control Env3'!$C$104:$C$116,C23,'Override Control Env3'!$L$104:$L$116,"Inadequate")</f>
        <v>0</v>
      </c>
    </row>
    <row r="24" spans="1:4" x14ac:dyDescent="0.3">
      <c r="A24" s="327"/>
      <c r="B24" s="141" t="s">
        <v>1158</v>
      </c>
      <c r="C24" s="63">
        <v>3</v>
      </c>
      <c r="D24" s="63">
        <f>COUNTIFS('Override Control Env3'!$C$104:$C$116,C24,'Override Control Env3'!$L$104:$L$116,"Inadequate")</f>
        <v>0</v>
      </c>
    </row>
    <row r="25" spans="1:4" x14ac:dyDescent="0.3">
      <c r="A25" s="327"/>
      <c r="B25" s="141" t="s">
        <v>1159</v>
      </c>
      <c r="C25" s="63">
        <v>4</v>
      </c>
      <c r="D25" s="63">
        <f>COUNTIFS('Override Control Env3'!$C$104:$C$116,C25,'Override Control Env3'!$L$104:$L$116,"Inadequate")</f>
        <v>0</v>
      </c>
    </row>
    <row r="26" spans="1:4" x14ac:dyDescent="0.3">
      <c r="A26" s="328" t="s">
        <v>1135</v>
      </c>
      <c r="B26" s="141" t="s">
        <v>1156</v>
      </c>
      <c r="C26" s="63">
        <v>1</v>
      </c>
      <c r="D26" s="63">
        <f>COUNTIFS('Override Control Env3'!$C$117:$C$135,C26,'Override Control Env3'!$L$117:$L$135,"Inadequate")</f>
        <v>0</v>
      </c>
    </row>
    <row r="27" spans="1:4" x14ac:dyDescent="0.3">
      <c r="A27" s="328"/>
      <c r="B27" s="141" t="s">
        <v>1157</v>
      </c>
      <c r="C27" s="63">
        <v>2</v>
      </c>
      <c r="D27" s="63">
        <f>COUNTIFS('Override Control Env3'!$C$117:$C$135,C27,'Override Control Env3'!$L$117:$L$135,"Inadequate")</f>
        <v>0</v>
      </c>
    </row>
    <row r="28" spans="1:4" x14ac:dyDescent="0.3">
      <c r="A28" s="328"/>
      <c r="B28" s="141" t="s">
        <v>1158</v>
      </c>
      <c r="C28" s="63">
        <v>3</v>
      </c>
      <c r="D28" s="63">
        <f>COUNTIFS('Override Control Env3'!$C$117:$C$135,C28,'Override Control Env3'!$L$117:$L$135,"Inadequate")</f>
        <v>0</v>
      </c>
    </row>
    <row r="29" spans="1:4" x14ac:dyDescent="0.3">
      <c r="A29" s="328"/>
      <c r="B29" s="141" t="s">
        <v>1159</v>
      </c>
      <c r="C29" s="63">
        <v>4</v>
      </c>
      <c r="D29" s="63">
        <f>COUNTIFS('Override Control Env3'!$C$117:$C$135,C29,'Override Control Env3'!$L$117:$L$135,"Inadequate")</f>
        <v>0</v>
      </c>
    </row>
    <row r="30" spans="1:4" x14ac:dyDescent="0.3">
      <c r="A30" s="327" t="s">
        <v>1136</v>
      </c>
      <c r="B30" s="141" t="s">
        <v>1156</v>
      </c>
      <c r="C30" s="63">
        <v>1</v>
      </c>
      <c r="D30" s="63">
        <f>COUNTIFS('Override Control Env3'!$C$136:$C$147,C30,'Override Control Env3'!$L$136:$L$147,"Inadequate")</f>
        <v>0</v>
      </c>
    </row>
    <row r="31" spans="1:4" x14ac:dyDescent="0.3">
      <c r="A31" s="327"/>
      <c r="B31" s="141" t="s">
        <v>1157</v>
      </c>
      <c r="C31" s="63">
        <v>2</v>
      </c>
      <c r="D31" s="63">
        <f>COUNTIFS('Override Control Env3'!$C$136:$C$147,C31,'Override Control Env3'!$L$136:$L$147,"Inadequate")</f>
        <v>0</v>
      </c>
    </row>
    <row r="32" spans="1:4" x14ac:dyDescent="0.3">
      <c r="A32" s="327"/>
      <c r="B32" s="141" t="s">
        <v>1158</v>
      </c>
      <c r="C32" s="63">
        <v>3</v>
      </c>
      <c r="D32" s="63">
        <f>COUNTIFS('Override Control Env3'!$C$136:$C$147,C32,'Override Control Env3'!$L$136:$L$147,"Inadequate")</f>
        <v>0</v>
      </c>
    </row>
    <row r="33" spans="1:4" x14ac:dyDescent="0.3">
      <c r="A33" s="327"/>
      <c r="B33" s="141" t="s">
        <v>1159</v>
      </c>
      <c r="C33" s="63">
        <v>4</v>
      </c>
      <c r="D33" s="63">
        <f>COUNTIFS('Override Control Env3'!$C$136:$C$147,C33,'Override Control Env3'!$L$136:$L$147,"Inadequate")</f>
        <v>0</v>
      </c>
    </row>
    <row r="34" spans="1:4" x14ac:dyDescent="0.3">
      <c r="A34" s="327" t="s">
        <v>661</v>
      </c>
      <c r="B34" s="141" t="s">
        <v>1156</v>
      </c>
      <c r="C34" s="63">
        <v>1</v>
      </c>
      <c r="D34" s="63">
        <f>COUNTIFS('Override Control Env3'!$C$148:$C$163,C34,'Override Control Env3'!$L$148:$L$163,"Inadequate")</f>
        <v>0</v>
      </c>
    </row>
    <row r="35" spans="1:4" x14ac:dyDescent="0.3">
      <c r="A35" s="327"/>
      <c r="B35" s="141" t="s">
        <v>1157</v>
      </c>
      <c r="C35" s="63">
        <v>2</v>
      </c>
      <c r="D35" s="63">
        <f>COUNTIFS('Override Control Env3'!$C$148:$C$163,C35,'Override Control Env3'!$L$148:$L$163,"Inadequate")</f>
        <v>0</v>
      </c>
    </row>
    <row r="36" spans="1:4" x14ac:dyDescent="0.3">
      <c r="A36" s="327"/>
      <c r="B36" s="141" t="s">
        <v>1158</v>
      </c>
      <c r="C36" s="63">
        <v>3</v>
      </c>
      <c r="D36" s="63">
        <f>COUNTIFS('Override Control Env3'!$C$148:$C$163,C36,'Override Control Env3'!$L$148:$L$163,"Inadequate")</f>
        <v>0</v>
      </c>
    </row>
    <row r="37" spans="1:4" x14ac:dyDescent="0.3">
      <c r="A37" s="327"/>
      <c r="B37" s="141" t="s">
        <v>1159</v>
      </c>
      <c r="C37" s="63">
        <v>4</v>
      </c>
      <c r="D37" s="63">
        <f>COUNTIFS('Override Control Env3'!$C$148:$C$163,C37,'Override Control Env3'!$L$148:$L$163,"Inadequate")</f>
        <v>0</v>
      </c>
    </row>
    <row r="38" spans="1:4" x14ac:dyDescent="0.3">
      <c r="A38" s="327" t="s">
        <v>706</v>
      </c>
      <c r="B38" s="141" t="s">
        <v>1156</v>
      </c>
      <c r="C38" s="63">
        <v>1</v>
      </c>
      <c r="D38" s="63">
        <f>COUNTIFS('Override Control Env3'!$C$164:$C$173,C38,'Override Control Env3'!$L$164:$L$173,"Inadequate")</f>
        <v>0</v>
      </c>
    </row>
    <row r="39" spans="1:4" x14ac:dyDescent="0.3">
      <c r="A39" s="327"/>
      <c r="B39" s="141" t="s">
        <v>1157</v>
      </c>
      <c r="C39" s="63">
        <v>2</v>
      </c>
      <c r="D39" s="63">
        <f>COUNTIFS('Override Control Env3'!$C$164:$C$173,C39,'Override Control Env3'!$L$164:$L$173,"Inadequate")</f>
        <v>0</v>
      </c>
    </row>
    <row r="40" spans="1:4" x14ac:dyDescent="0.3">
      <c r="A40" s="327"/>
      <c r="B40" s="141" t="s">
        <v>1158</v>
      </c>
      <c r="C40" s="63">
        <v>3</v>
      </c>
      <c r="D40" s="63">
        <f>COUNTIFS('Override Control Env3'!$C$164:$C$173,C40,'Override Control Env3'!$L$164:$L$173,"Inadequate")</f>
        <v>0</v>
      </c>
    </row>
    <row r="41" spans="1:4" x14ac:dyDescent="0.3">
      <c r="A41" s="327"/>
      <c r="B41" s="141" t="s">
        <v>1159</v>
      </c>
      <c r="C41" s="63">
        <v>4</v>
      </c>
      <c r="D41" s="63">
        <f>COUNTIFS('Override Control Env3'!$C$164:$C$173,C41,'Override Control Env3'!$L$164:$L$173,"Inadequate")</f>
        <v>0</v>
      </c>
    </row>
    <row r="42" spans="1:4" x14ac:dyDescent="0.3">
      <c r="A42" s="327" t="s">
        <v>1137</v>
      </c>
      <c r="B42" s="141" t="s">
        <v>1156</v>
      </c>
      <c r="C42" s="63">
        <v>1</v>
      </c>
      <c r="D42" s="63">
        <f>COUNTIFS('Override Control Env3'!$C$174:$C$200,C42,'Override Control Env3'!$L$174:$L$200,"Inadequate")</f>
        <v>0</v>
      </c>
    </row>
    <row r="43" spans="1:4" x14ac:dyDescent="0.3">
      <c r="A43" s="327"/>
      <c r="B43" s="141" t="s">
        <v>1157</v>
      </c>
      <c r="C43" s="63">
        <v>2</v>
      </c>
      <c r="D43" s="63">
        <f>COUNTIFS('Override Control Env3'!$C$174:$C$200,C43,'Override Control Env3'!$L$174:$L$200,"Inadequate")</f>
        <v>0</v>
      </c>
    </row>
    <row r="44" spans="1:4" x14ac:dyDescent="0.3">
      <c r="A44" s="327"/>
      <c r="B44" s="141" t="s">
        <v>1158</v>
      </c>
      <c r="C44" s="63">
        <v>3</v>
      </c>
      <c r="D44" s="63">
        <f>COUNTIFS('Override Control Env3'!$C$174:$C$200,C44,'Override Control Env3'!$L$174:$L$200,"Inadequate")</f>
        <v>0</v>
      </c>
    </row>
    <row r="45" spans="1:4" x14ac:dyDescent="0.3">
      <c r="A45" s="327"/>
      <c r="B45" s="141" t="s">
        <v>1159</v>
      </c>
      <c r="C45" s="63">
        <v>4</v>
      </c>
      <c r="D45" s="63">
        <f>COUNTIFS('Override Control Env3'!$C$174:$C$200,C45,'Override Control Env3'!$L$174:$L$200,"Inadequate")</f>
        <v>0</v>
      </c>
    </row>
    <row r="46" spans="1:4" x14ac:dyDescent="0.3">
      <c r="A46" s="327" t="s">
        <v>836</v>
      </c>
      <c r="B46" s="141" t="s">
        <v>1156</v>
      </c>
      <c r="C46" s="63">
        <v>1</v>
      </c>
      <c r="D46" s="63">
        <f>COUNTIFS('Override Control Env3'!$C$201:$C$213,C46,'Override Control Env3'!$L$201:$L$213,"Inadequate")</f>
        <v>0</v>
      </c>
    </row>
    <row r="47" spans="1:4" x14ac:dyDescent="0.3">
      <c r="A47" s="327"/>
      <c r="B47" s="141" t="s">
        <v>1157</v>
      </c>
      <c r="C47" s="63">
        <v>2</v>
      </c>
      <c r="D47" s="63">
        <f>COUNTIFS('Override Control Env3'!$C$201:$C$213,C47,'Override Control Env3'!$L$201:$L$213,"Inadequate")</f>
        <v>0</v>
      </c>
    </row>
    <row r="48" spans="1:4" x14ac:dyDescent="0.3">
      <c r="A48" s="327"/>
      <c r="B48" s="141" t="s">
        <v>1158</v>
      </c>
      <c r="C48" s="63">
        <v>3</v>
      </c>
      <c r="D48" s="63">
        <f>COUNTIFS('Override Control Env3'!$C$201:$C$213,C48,'Override Control Env3'!$L$201:$L$213,"Inadequate")</f>
        <v>0</v>
      </c>
    </row>
    <row r="49" spans="1:4" x14ac:dyDescent="0.3">
      <c r="A49" s="327"/>
      <c r="B49" s="141" t="s">
        <v>1159</v>
      </c>
      <c r="C49" s="63">
        <v>4</v>
      </c>
      <c r="D49" s="63">
        <f>COUNTIFS('Override Control Env3'!$C$201:$C$213,C49,'Override Control Env3'!$L$201:$L$213,"Inadequate")</f>
        <v>0</v>
      </c>
    </row>
    <row r="50" spans="1:4" x14ac:dyDescent="0.3">
      <c r="A50" s="327" t="s">
        <v>872</v>
      </c>
      <c r="B50" s="141" t="s">
        <v>1156</v>
      </c>
      <c r="C50" s="63">
        <v>1</v>
      </c>
      <c r="D50" s="63">
        <f>COUNTIFS('Override Control Env3'!$C$214:$C$224,C50,'Override Control Env3'!$L$214:$L$224,"Inadequate")</f>
        <v>0</v>
      </c>
    </row>
    <row r="51" spans="1:4" x14ac:dyDescent="0.3">
      <c r="A51" s="327"/>
      <c r="B51" s="141" t="s">
        <v>1157</v>
      </c>
      <c r="C51" s="63">
        <v>2</v>
      </c>
      <c r="D51" s="63">
        <f>COUNTIFS('Override Control Env3'!$C$214:$C$224,C51,'Override Control Env3'!$L$214:$L$224,"Inadequate")</f>
        <v>0</v>
      </c>
    </row>
    <row r="52" spans="1:4" x14ac:dyDescent="0.3">
      <c r="A52" s="327"/>
      <c r="B52" s="141" t="s">
        <v>1158</v>
      </c>
      <c r="C52" s="63">
        <v>3</v>
      </c>
      <c r="D52" s="63">
        <f>COUNTIFS('Override Control Env3'!$C$214:$C$224,C52,'Override Control Env3'!$L$214:$L$224,"Inadequate")</f>
        <v>0</v>
      </c>
    </row>
    <row r="53" spans="1:4" x14ac:dyDescent="0.3">
      <c r="A53" s="327"/>
      <c r="B53" s="141" t="s">
        <v>1159</v>
      </c>
      <c r="C53" s="63">
        <v>4</v>
      </c>
      <c r="D53" s="63">
        <f>COUNTIFS('Override Control Env3'!$C$214:$C$224,C53,'Override Control Env3'!$L$214:$L$224,"Inadequate")</f>
        <v>0</v>
      </c>
    </row>
    <row r="54" spans="1:4" x14ac:dyDescent="0.3">
      <c r="A54" s="327" t="s">
        <v>1138</v>
      </c>
      <c r="B54" s="141" t="s">
        <v>1156</v>
      </c>
      <c r="C54" s="63">
        <v>1</v>
      </c>
      <c r="D54" s="63">
        <f>COUNTIFS('Override Control Env3'!$C$225:$C$228,C54,'Override Control Env3'!$L$225:$L$228,"Inadequate")</f>
        <v>0</v>
      </c>
    </row>
    <row r="55" spans="1:4" x14ac:dyDescent="0.3">
      <c r="A55" s="327"/>
      <c r="B55" s="141" t="s">
        <v>1157</v>
      </c>
      <c r="C55" s="63">
        <v>2</v>
      </c>
      <c r="D55" s="63">
        <f>COUNTIFS('Override Control Env3'!$C$225:$C$228,C55,'Override Control Env3'!$L$225:$L$228,"Inadequate")</f>
        <v>0</v>
      </c>
    </row>
    <row r="56" spans="1:4" x14ac:dyDescent="0.3">
      <c r="A56" s="327"/>
      <c r="B56" s="141" t="s">
        <v>1158</v>
      </c>
      <c r="C56" s="63">
        <v>3</v>
      </c>
      <c r="D56" s="63">
        <f>COUNTIFS('Override Control Env3'!$C$225:$C$228,C56,'Override Control Env3'!$L$225:$L$228,"Inadequate")</f>
        <v>0</v>
      </c>
    </row>
    <row r="57" spans="1:4" x14ac:dyDescent="0.3">
      <c r="A57" s="327"/>
      <c r="B57" s="141" t="s">
        <v>1159</v>
      </c>
      <c r="C57" s="63">
        <v>4</v>
      </c>
      <c r="D57" s="63">
        <f>COUNTIFS('Override Control Env3'!$C$225:$C$228,C57,'Override Control Env3'!$L$225:$L$228,"Inadequate")</f>
        <v>0</v>
      </c>
    </row>
    <row r="58" spans="1:4" x14ac:dyDescent="0.3">
      <c r="A58" s="327" t="s">
        <v>1139</v>
      </c>
      <c r="B58" s="141" t="s">
        <v>1156</v>
      </c>
      <c r="C58" s="63">
        <v>1</v>
      </c>
      <c r="D58" s="63">
        <f>COUNTIFS('Override Control Env3'!$C$229:$C$241,C58,'Override Control Env3'!$L$229:$L$241,"Inadequate")</f>
        <v>0</v>
      </c>
    </row>
    <row r="59" spans="1:4" x14ac:dyDescent="0.3">
      <c r="A59" s="327"/>
      <c r="B59" s="141" t="s">
        <v>1157</v>
      </c>
      <c r="C59" s="63">
        <v>2</v>
      </c>
      <c r="D59" s="63">
        <f>COUNTIFS('Override Control Env3'!$C$229:$C$241,C59,'Override Control Env3'!$L$229:$L$241,"Inadequate")</f>
        <v>0</v>
      </c>
    </row>
    <row r="60" spans="1:4" x14ac:dyDescent="0.3">
      <c r="A60" s="327"/>
      <c r="B60" s="141" t="s">
        <v>1158</v>
      </c>
      <c r="C60" s="63">
        <v>3</v>
      </c>
      <c r="D60" s="63">
        <f>COUNTIFS('Override Control Env3'!$C$229:$C$241,C60,'Override Control Env3'!$L$229:$L$241,"Inadequate")</f>
        <v>0</v>
      </c>
    </row>
    <row r="61" spans="1:4" x14ac:dyDescent="0.3">
      <c r="A61" s="327"/>
      <c r="B61" s="141" t="s">
        <v>1159</v>
      </c>
      <c r="C61" s="63">
        <v>4</v>
      </c>
      <c r="D61" s="63">
        <f>COUNTIFS('Override Control Env3'!$C$229:$C$241,C61,'Override Control Env3'!$L$229:$L$241,"Inadequate")</f>
        <v>0</v>
      </c>
    </row>
    <row r="62" spans="1:4" x14ac:dyDescent="0.3">
      <c r="A62" s="327" t="s">
        <v>1140</v>
      </c>
      <c r="B62" s="141" t="s">
        <v>1156</v>
      </c>
      <c r="C62" s="63">
        <v>1</v>
      </c>
      <c r="D62" s="63">
        <f>COUNTIFS('Override Control Env3'!$C$242:$C$268,C62,'Override Control Env3'!$L$242:$L$268,"Inadequate")</f>
        <v>0</v>
      </c>
    </row>
    <row r="63" spans="1:4" x14ac:dyDescent="0.3">
      <c r="A63" s="327"/>
      <c r="B63" s="141" t="s">
        <v>1157</v>
      </c>
      <c r="C63" s="63">
        <v>2</v>
      </c>
      <c r="D63" s="63">
        <f>COUNTIFS('Override Control Env3'!$C$242:$C$268,C63,'Override Control Env3'!$L$242:$L$268,"Inadequate")</f>
        <v>0</v>
      </c>
    </row>
    <row r="64" spans="1:4" x14ac:dyDescent="0.3">
      <c r="A64" s="327"/>
      <c r="B64" s="141" t="s">
        <v>1158</v>
      </c>
      <c r="C64" s="63">
        <v>3</v>
      </c>
      <c r="D64" s="63">
        <f>COUNTIFS('Override Control Env3'!$C$242:$C$268,C64,'Override Control Env3'!$L$242:$L$268,"Inadequate")</f>
        <v>0</v>
      </c>
    </row>
    <row r="65" spans="1:4" x14ac:dyDescent="0.3">
      <c r="A65" s="327"/>
      <c r="B65" s="141" t="s">
        <v>1159</v>
      </c>
      <c r="C65" s="63">
        <v>4</v>
      </c>
      <c r="D65" s="63">
        <f>COUNTIFS('Override Control Env3'!$C$242:$C$268,C65,'Override Control Env3'!$L$242:$L$268,"Inadequate")</f>
        <v>0</v>
      </c>
    </row>
    <row r="66" spans="1:4" x14ac:dyDescent="0.3">
      <c r="A66" s="327" t="s">
        <v>1141</v>
      </c>
      <c r="B66" s="141" t="s">
        <v>1156</v>
      </c>
      <c r="C66" s="63">
        <v>1</v>
      </c>
      <c r="D66" s="63">
        <f>COUNTIFS('Override Control Env3'!$C$269:$C$282,C66,'Override Control Env3'!$L$269:$L$282,"Inadequate")</f>
        <v>0</v>
      </c>
    </row>
    <row r="67" spans="1:4" x14ac:dyDescent="0.3">
      <c r="A67" s="327"/>
      <c r="B67" s="141" t="s">
        <v>1157</v>
      </c>
      <c r="C67" s="63">
        <v>2</v>
      </c>
      <c r="D67" s="63">
        <f>COUNTIFS('Override Control Env3'!$C$269:$C$282,C67,'Override Control Env3'!$L$269:$L$282,"Inadequate")</f>
        <v>0</v>
      </c>
    </row>
    <row r="68" spans="1:4" x14ac:dyDescent="0.3">
      <c r="A68" s="327"/>
      <c r="B68" s="141" t="s">
        <v>1158</v>
      </c>
      <c r="C68" s="63">
        <v>3</v>
      </c>
      <c r="D68" s="63">
        <f>COUNTIFS('Override Control Env3'!$C$269:$C$282,C68,'Override Control Env3'!$L$269:$L$282,"Inadequate")</f>
        <v>0</v>
      </c>
    </row>
    <row r="69" spans="1:4" x14ac:dyDescent="0.3">
      <c r="A69" s="327"/>
      <c r="B69" s="141" t="s">
        <v>1159</v>
      </c>
      <c r="C69" s="63">
        <v>4</v>
      </c>
      <c r="D69" s="63">
        <f>COUNTIFS('Override Control Env3'!$C$269:$C$282,C69,'Override Control Env3'!$L$269:$L$282,"Inadequate")</f>
        <v>0</v>
      </c>
    </row>
  </sheetData>
  <mergeCells count="17">
    <mergeCell ref="A50:A53"/>
    <mergeCell ref="A54:A57"/>
    <mergeCell ref="A58:A61"/>
    <mergeCell ref="A62:A65"/>
    <mergeCell ref="A66:A69"/>
    <mergeCell ref="A46:A49"/>
    <mergeCell ref="A2:A5"/>
    <mergeCell ref="A6:A9"/>
    <mergeCell ref="A10:A13"/>
    <mergeCell ref="A14:A17"/>
    <mergeCell ref="A18:A21"/>
    <mergeCell ref="A22:A25"/>
    <mergeCell ref="A26:A29"/>
    <mergeCell ref="A30:A33"/>
    <mergeCell ref="A34:A37"/>
    <mergeCell ref="A38:A41"/>
    <mergeCell ref="A42:A4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C68"/>
  <sheetViews>
    <sheetView showGridLines="0" workbookViewId="0">
      <selection activeCell="C68" sqref="C68"/>
    </sheetView>
  </sheetViews>
  <sheetFormatPr defaultRowHeight="14.4" x14ac:dyDescent="0.3"/>
  <cols>
    <col min="1" max="1" width="29.33203125" style="14" bestFit="1" customWidth="1"/>
    <col min="2" max="2" width="11.109375" bestFit="1" customWidth="1"/>
  </cols>
  <sheetData>
    <row r="1" spans="1:3" x14ac:dyDescent="0.3">
      <c r="A1" s="327" t="s">
        <v>1128</v>
      </c>
      <c r="B1" s="63" t="s">
        <v>1132</v>
      </c>
      <c r="C1" s="63">
        <f>COUNTIF('Override Control Env1'!$L$9:$L$41,B1)</f>
        <v>0</v>
      </c>
    </row>
    <row r="2" spans="1:3" x14ac:dyDescent="0.3">
      <c r="A2" s="327"/>
      <c r="B2" s="63" t="s">
        <v>1133</v>
      </c>
      <c r="C2" s="63">
        <f>COUNTIF('Override Control Env1'!$L$9:$L$41,B2)</f>
        <v>0</v>
      </c>
    </row>
    <row r="3" spans="1:3" x14ac:dyDescent="0.3">
      <c r="A3" s="327"/>
      <c r="B3" s="63" t="s">
        <v>48</v>
      </c>
      <c r="C3" s="63">
        <f>COUNTIF('Override Control Env1'!$L$9:$L$41,B3)</f>
        <v>0</v>
      </c>
    </row>
    <row r="4" spans="1:3" x14ac:dyDescent="0.3">
      <c r="A4" s="327"/>
      <c r="B4" s="63" t="s">
        <v>1142</v>
      </c>
      <c r="C4" s="63">
        <f>COUNTIF('Override Control Env1'!$L$9:$L$41,B4)</f>
        <v>33</v>
      </c>
    </row>
    <row r="5" spans="1:3" x14ac:dyDescent="0.3">
      <c r="A5" s="327" t="s">
        <v>306</v>
      </c>
      <c r="B5" s="63" t="s">
        <v>1132</v>
      </c>
      <c r="C5" s="63">
        <f>COUNTIF('Override Control Env1'!$L$42:$L$46,B5)</f>
        <v>0</v>
      </c>
    </row>
    <row r="6" spans="1:3" x14ac:dyDescent="0.3">
      <c r="A6" s="327"/>
      <c r="B6" s="63" t="s">
        <v>1133</v>
      </c>
      <c r="C6" s="63">
        <f>COUNTIF('Override Control Env1'!$L$42:$L$46,B6)</f>
        <v>0</v>
      </c>
    </row>
    <row r="7" spans="1:3" x14ac:dyDescent="0.3">
      <c r="A7" s="327"/>
      <c r="B7" s="63" t="s">
        <v>48</v>
      </c>
      <c r="C7" s="63">
        <f>COUNTIF('Override Control Env1'!$L$42:$L$46,B7)</f>
        <v>0</v>
      </c>
    </row>
    <row r="8" spans="1:3" x14ac:dyDescent="0.3">
      <c r="A8" s="327"/>
      <c r="B8" s="63" t="s">
        <v>1142</v>
      </c>
      <c r="C8" s="63">
        <f>COUNTIF('Override Control Env1'!$L$42:$L$46,B8)</f>
        <v>5</v>
      </c>
    </row>
    <row r="9" spans="1:3" x14ac:dyDescent="0.3">
      <c r="A9" s="327" t="s">
        <v>327</v>
      </c>
      <c r="B9" s="63" t="s">
        <v>1132</v>
      </c>
      <c r="C9" s="63">
        <f>COUNTIF('Override Control Env1'!$L$47:$L$59,B9)</f>
        <v>0</v>
      </c>
    </row>
    <row r="10" spans="1:3" x14ac:dyDescent="0.3">
      <c r="A10" s="327"/>
      <c r="B10" s="63" t="s">
        <v>1133</v>
      </c>
      <c r="C10" s="63">
        <f>COUNTIF('Override Control Env1'!$L$47:$L$59,B10)</f>
        <v>0</v>
      </c>
    </row>
    <row r="11" spans="1:3" x14ac:dyDescent="0.3">
      <c r="A11" s="327"/>
      <c r="B11" s="63" t="s">
        <v>48</v>
      </c>
      <c r="C11" s="63">
        <f>COUNTIF('Override Control Env1'!$L$47:$L$59,B11)</f>
        <v>0</v>
      </c>
    </row>
    <row r="12" spans="1:3" x14ac:dyDescent="0.3">
      <c r="A12" s="327"/>
      <c r="B12" s="63" t="s">
        <v>1142</v>
      </c>
      <c r="C12" s="63">
        <f>COUNTIF('Override Control Env1'!$L$47:$L$59,B12)</f>
        <v>13</v>
      </c>
    </row>
    <row r="13" spans="1:3" x14ac:dyDescent="0.3">
      <c r="A13" s="327" t="s">
        <v>1134</v>
      </c>
      <c r="B13" s="63" t="s">
        <v>1132</v>
      </c>
      <c r="C13" s="63">
        <f>COUNTIF('Override Control Env1'!$L$60:$L$76,B13)</f>
        <v>0</v>
      </c>
    </row>
    <row r="14" spans="1:3" x14ac:dyDescent="0.3">
      <c r="A14" s="327"/>
      <c r="B14" s="63" t="s">
        <v>1133</v>
      </c>
      <c r="C14" s="63">
        <f>COUNTIF('Override Control Env1'!$L$60:$L$76,B14)</f>
        <v>0</v>
      </c>
    </row>
    <row r="15" spans="1:3" x14ac:dyDescent="0.3">
      <c r="A15" s="327"/>
      <c r="B15" s="63" t="s">
        <v>48</v>
      </c>
      <c r="C15" s="63">
        <f>COUNTIF('Override Control Env1'!$L$60:$L$76,B15)</f>
        <v>0</v>
      </c>
    </row>
    <row r="16" spans="1:3" x14ac:dyDescent="0.3">
      <c r="A16" s="327"/>
      <c r="B16" s="63" t="s">
        <v>1142</v>
      </c>
      <c r="C16" s="63">
        <f>COUNTIF('Override Control Env1'!$L$60:$L$76,B16)</f>
        <v>17</v>
      </c>
    </row>
    <row r="17" spans="1:3" x14ac:dyDescent="0.3">
      <c r="A17" s="327" t="s">
        <v>1143</v>
      </c>
      <c r="B17" s="63" t="s">
        <v>1132</v>
      </c>
      <c r="C17" s="63">
        <f>COUNTIF('Override Control Env1'!$L$77:$L$101,B17)</f>
        <v>0</v>
      </c>
    </row>
    <row r="18" spans="1:3" x14ac:dyDescent="0.3">
      <c r="A18" s="327"/>
      <c r="B18" s="63" t="s">
        <v>1133</v>
      </c>
      <c r="C18" s="63">
        <f>COUNTIF('Override Control Env1'!$L$77:$L$101,B18)</f>
        <v>0</v>
      </c>
    </row>
    <row r="19" spans="1:3" x14ac:dyDescent="0.3">
      <c r="A19" s="327"/>
      <c r="B19" s="63" t="s">
        <v>48</v>
      </c>
      <c r="C19" s="63">
        <f>COUNTIF('Override Control Env1'!$L$77:$L$101,B19)</f>
        <v>0</v>
      </c>
    </row>
    <row r="20" spans="1:3" x14ac:dyDescent="0.3">
      <c r="A20" s="327"/>
      <c r="B20" s="63" t="s">
        <v>1142</v>
      </c>
      <c r="C20" s="63">
        <f>COUNTIF('Override Control Env1'!$L$77:$L$101,B20)</f>
        <v>25</v>
      </c>
    </row>
    <row r="21" spans="1:3" x14ac:dyDescent="0.3">
      <c r="A21" s="327" t="s">
        <v>504</v>
      </c>
      <c r="B21" s="63" t="s">
        <v>1132</v>
      </c>
      <c r="C21" s="63">
        <f>COUNTIF('Override Control Env1'!$L$104:$L$116,B21)</f>
        <v>0</v>
      </c>
    </row>
    <row r="22" spans="1:3" x14ac:dyDescent="0.3">
      <c r="A22" s="327"/>
      <c r="B22" s="63" t="s">
        <v>1133</v>
      </c>
      <c r="C22" s="63">
        <f>COUNTIF('Override Control Env1'!$L$104:$L$116,B22)</f>
        <v>0</v>
      </c>
    </row>
    <row r="23" spans="1:3" x14ac:dyDescent="0.3">
      <c r="A23" s="327"/>
      <c r="B23" s="63" t="s">
        <v>48</v>
      </c>
      <c r="C23" s="63">
        <f>COUNTIF('Override Control Env1'!$L$104:$L$116,B23)</f>
        <v>0</v>
      </c>
    </row>
    <row r="24" spans="1:3" x14ac:dyDescent="0.3">
      <c r="A24" s="327"/>
      <c r="B24" s="63" t="s">
        <v>1142</v>
      </c>
      <c r="C24" s="63">
        <f>COUNTIF('Override Control Env1'!$L$104:$L$116,B24)</f>
        <v>13</v>
      </c>
    </row>
    <row r="25" spans="1:3" ht="15" customHeight="1" x14ac:dyDescent="0.3">
      <c r="A25" s="328" t="s">
        <v>1135</v>
      </c>
      <c r="B25" s="63" t="s">
        <v>1132</v>
      </c>
      <c r="C25" s="63">
        <f>COUNTIF('Override Control Env1'!$L$117:$L$135,B25)</f>
        <v>0</v>
      </c>
    </row>
    <row r="26" spans="1:3" x14ac:dyDescent="0.3">
      <c r="A26" s="328"/>
      <c r="B26" s="63" t="s">
        <v>1133</v>
      </c>
      <c r="C26" s="63">
        <f>COUNTIF('Override Control Env1'!$L$117:$L$135,B26)</f>
        <v>0</v>
      </c>
    </row>
    <row r="27" spans="1:3" x14ac:dyDescent="0.3">
      <c r="A27" s="328"/>
      <c r="B27" s="63" t="s">
        <v>48</v>
      </c>
      <c r="C27" s="63">
        <f>COUNTIF('Override Control Env1'!$L$117:$L$135,B27)</f>
        <v>0</v>
      </c>
    </row>
    <row r="28" spans="1:3" x14ac:dyDescent="0.3">
      <c r="A28" s="328"/>
      <c r="B28" s="63" t="s">
        <v>1142</v>
      </c>
      <c r="C28" s="63">
        <f>COUNTIF('Override Control Env1'!$L$117:$L$135,B28)</f>
        <v>19</v>
      </c>
    </row>
    <row r="29" spans="1:3" x14ac:dyDescent="0.3">
      <c r="A29" s="327" t="s">
        <v>1136</v>
      </c>
      <c r="B29" s="63" t="s">
        <v>1132</v>
      </c>
      <c r="C29" s="63">
        <f>COUNTIF('Override Control Env1'!$L$136:$L$147,B29)</f>
        <v>0</v>
      </c>
    </row>
    <row r="30" spans="1:3" x14ac:dyDescent="0.3">
      <c r="A30" s="327"/>
      <c r="B30" s="63" t="s">
        <v>1133</v>
      </c>
      <c r="C30" s="63">
        <f>COUNTIF('Override Control Env1'!$L$136:$L$147,B30)</f>
        <v>0</v>
      </c>
    </row>
    <row r="31" spans="1:3" x14ac:dyDescent="0.3">
      <c r="A31" s="327"/>
      <c r="B31" s="63" t="s">
        <v>48</v>
      </c>
      <c r="C31" s="63">
        <f>COUNTIF('Override Control Env1'!$L$136:$L$147,B31)</f>
        <v>0</v>
      </c>
    </row>
    <row r="32" spans="1:3" x14ac:dyDescent="0.3">
      <c r="A32" s="327"/>
      <c r="B32" s="63" t="s">
        <v>1142</v>
      </c>
      <c r="C32" s="63">
        <f>COUNTIF('Override Control Env1'!$L$136:$L$147,B32)</f>
        <v>12</v>
      </c>
    </row>
    <row r="33" spans="1:3" x14ac:dyDescent="0.3">
      <c r="A33" s="327" t="s">
        <v>661</v>
      </c>
      <c r="B33" s="63" t="s">
        <v>1132</v>
      </c>
      <c r="C33" s="63">
        <f>COUNTIF('Override Control Env1'!$L$148:$L$163,B33)</f>
        <v>0</v>
      </c>
    </row>
    <row r="34" spans="1:3" x14ac:dyDescent="0.3">
      <c r="A34" s="327"/>
      <c r="B34" s="63" t="s">
        <v>1133</v>
      </c>
      <c r="C34" s="63">
        <f>COUNTIF('Override Control Env1'!$L$148:$L$163,B34)</f>
        <v>0</v>
      </c>
    </row>
    <row r="35" spans="1:3" x14ac:dyDescent="0.3">
      <c r="A35" s="327"/>
      <c r="B35" s="63" t="s">
        <v>48</v>
      </c>
      <c r="C35" s="63">
        <f>COUNTIF('Override Control Env1'!$L$148:$L$163,B35)</f>
        <v>0</v>
      </c>
    </row>
    <row r="36" spans="1:3" x14ac:dyDescent="0.3">
      <c r="A36" s="327"/>
      <c r="B36" s="63" t="s">
        <v>1142</v>
      </c>
      <c r="C36" s="63">
        <f>COUNTIF('Override Control Env1'!$L$148:$L$163,B36)</f>
        <v>16</v>
      </c>
    </row>
    <row r="37" spans="1:3" x14ac:dyDescent="0.3">
      <c r="A37" s="327" t="s">
        <v>706</v>
      </c>
      <c r="B37" s="63" t="s">
        <v>1132</v>
      </c>
      <c r="C37" s="63">
        <f>COUNTIF('Override Control Env1'!$L$164:$L$173,B37)</f>
        <v>0</v>
      </c>
    </row>
    <row r="38" spans="1:3" x14ac:dyDescent="0.3">
      <c r="A38" s="327"/>
      <c r="B38" s="63" t="s">
        <v>1133</v>
      </c>
      <c r="C38" s="63">
        <f>COUNTIF('Override Control Env1'!$L$164:$L$173,B38)</f>
        <v>0</v>
      </c>
    </row>
    <row r="39" spans="1:3" x14ac:dyDescent="0.3">
      <c r="A39" s="327"/>
      <c r="B39" s="63" t="s">
        <v>48</v>
      </c>
      <c r="C39" s="63">
        <f>COUNTIF('Override Control Env1'!$L$164:$L$173,B39)</f>
        <v>0</v>
      </c>
    </row>
    <row r="40" spans="1:3" x14ac:dyDescent="0.3">
      <c r="A40" s="327"/>
      <c r="B40" s="63" t="s">
        <v>1142</v>
      </c>
      <c r="C40" s="63">
        <f>COUNTIF('Override Control Env1'!$L$164:$L$173,B40)</f>
        <v>10</v>
      </c>
    </row>
    <row r="41" spans="1:3" x14ac:dyDescent="0.3">
      <c r="A41" s="327" t="s">
        <v>1137</v>
      </c>
      <c r="B41" s="63" t="s">
        <v>1132</v>
      </c>
      <c r="C41" s="63">
        <f>COUNTIF('Override Control Env1'!$L$174:$L$200,B41)</f>
        <v>0</v>
      </c>
    </row>
    <row r="42" spans="1:3" x14ac:dyDescent="0.3">
      <c r="A42" s="327"/>
      <c r="B42" s="63" t="s">
        <v>1133</v>
      </c>
      <c r="C42" s="63">
        <f>COUNTIF('Override Control Env1'!$L$174:$L$200,B42)</f>
        <v>0</v>
      </c>
    </row>
    <row r="43" spans="1:3" x14ac:dyDescent="0.3">
      <c r="A43" s="327"/>
      <c r="B43" s="63" t="s">
        <v>48</v>
      </c>
      <c r="C43" s="63">
        <f>COUNTIF('Override Control Env1'!$L$174:$L$200,B43)</f>
        <v>0</v>
      </c>
    </row>
    <row r="44" spans="1:3" x14ac:dyDescent="0.3">
      <c r="A44" s="327"/>
      <c r="B44" s="63" t="s">
        <v>1142</v>
      </c>
      <c r="C44" s="63">
        <f>COUNTIF('Override Control Env1'!$L$174:$L$200,B44)</f>
        <v>27</v>
      </c>
    </row>
    <row r="45" spans="1:3" x14ac:dyDescent="0.3">
      <c r="A45" s="327" t="s">
        <v>836</v>
      </c>
      <c r="B45" s="63" t="s">
        <v>1132</v>
      </c>
      <c r="C45" s="63">
        <f>COUNTIF('Override Control Env1'!$L$201:$L$213,B45)</f>
        <v>0</v>
      </c>
    </row>
    <row r="46" spans="1:3" x14ac:dyDescent="0.3">
      <c r="A46" s="327"/>
      <c r="B46" s="63" t="s">
        <v>1133</v>
      </c>
      <c r="C46" s="63">
        <f>COUNTIF('Override Control Env1'!$L$201:$L$213,B46)</f>
        <v>0</v>
      </c>
    </row>
    <row r="47" spans="1:3" x14ac:dyDescent="0.3">
      <c r="A47" s="327"/>
      <c r="B47" s="63" t="s">
        <v>48</v>
      </c>
      <c r="C47" s="63">
        <f>COUNTIF('Override Control Env1'!$L$201:$L$213,B47)</f>
        <v>0</v>
      </c>
    </row>
    <row r="48" spans="1:3" x14ac:dyDescent="0.3">
      <c r="A48" s="327"/>
      <c r="B48" s="63" t="s">
        <v>1142</v>
      </c>
      <c r="C48" s="63">
        <f>COUNTIF('Override Control Env1'!$L$201:$L$213,B48)</f>
        <v>13</v>
      </c>
    </row>
    <row r="49" spans="1:3" x14ac:dyDescent="0.3">
      <c r="A49" s="327" t="s">
        <v>872</v>
      </c>
      <c r="B49" s="63" t="s">
        <v>1132</v>
      </c>
      <c r="C49" s="63">
        <f>COUNTIF('Override Control Env1'!$L$214:$L$224,B49)</f>
        <v>0</v>
      </c>
    </row>
    <row r="50" spans="1:3" x14ac:dyDescent="0.3">
      <c r="A50" s="327"/>
      <c r="B50" s="63" t="s">
        <v>1133</v>
      </c>
      <c r="C50" s="63">
        <f>COUNTIF('Override Control Env1'!$L$214:$L$224,B50)</f>
        <v>0</v>
      </c>
    </row>
    <row r="51" spans="1:3" x14ac:dyDescent="0.3">
      <c r="A51" s="327"/>
      <c r="B51" s="63" t="s">
        <v>48</v>
      </c>
      <c r="C51" s="63">
        <f>COUNTIF('Override Control Env1'!$L$214:$L$224,B51)</f>
        <v>0</v>
      </c>
    </row>
    <row r="52" spans="1:3" x14ac:dyDescent="0.3">
      <c r="A52" s="327"/>
      <c r="B52" s="63" t="s">
        <v>1142</v>
      </c>
      <c r="C52" s="63">
        <f>COUNTIF('Override Control Env1'!$L$214:$L$224,B52)</f>
        <v>11</v>
      </c>
    </row>
    <row r="53" spans="1:3" x14ac:dyDescent="0.3">
      <c r="A53" s="327" t="s">
        <v>1138</v>
      </c>
      <c r="B53" s="63" t="s">
        <v>1132</v>
      </c>
      <c r="C53" s="63">
        <f>COUNTIF('Override Control Env1'!$L$225:$L$228,B53)</f>
        <v>0</v>
      </c>
    </row>
    <row r="54" spans="1:3" x14ac:dyDescent="0.3">
      <c r="A54" s="327"/>
      <c r="B54" s="63" t="s">
        <v>1133</v>
      </c>
      <c r="C54" s="63">
        <f>COUNTIF('Override Control Env1'!$L$225:$L$228,B54)</f>
        <v>0</v>
      </c>
    </row>
    <row r="55" spans="1:3" x14ac:dyDescent="0.3">
      <c r="A55" s="327"/>
      <c r="B55" s="63" t="s">
        <v>48</v>
      </c>
      <c r="C55" s="63">
        <f>COUNTIF('Override Control Env1'!$L$225:$L$228,B55)</f>
        <v>0</v>
      </c>
    </row>
    <row r="56" spans="1:3" x14ac:dyDescent="0.3">
      <c r="A56" s="327"/>
      <c r="B56" s="63" t="s">
        <v>1142</v>
      </c>
      <c r="C56" s="63">
        <f>COUNTIF('Override Control Env1'!$L$225:$L$228,B56)</f>
        <v>4</v>
      </c>
    </row>
    <row r="57" spans="1:3" x14ac:dyDescent="0.3">
      <c r="A57" s="327" t="s">
        <v>1139</v>
      </c>
      <c r="B57" s="63" t="s">
        <v>1132</v>
      </c>
      <c r="C57" s="63">
        <f>COUNTIF('Override Control Env1'!$L$229:$L$241,B57)</f>
        <v>0</v>
      </c>
    </row>
    <row r="58" spans="1:3" x14ac:dyDescent="0.3">
      <c r="A58" s="327"/>
      <c r="B58" s="63" t="s">
        <v>1133</v>
      </c>
      <c r="C58" s="63">
        <f>COUNTIF('Override Control Env1'!$L$229:$L$241,B58)</f>
        <v>0</v>
      </c>
    </row>
    <row r="59" spans="1:3" x14ac:dyDescent="0.3">
      <c r="A59" s="327"/>
      <c r="B59" s="63" t="s">
        <v>48</v>
      </c>
      <c r="C59" s="63">
        <f>COUNTIF('Override Control Env1'!$L$229:$L$241,B59)</f>
        <v>0</v>
      </c>
    </row>
    <row r="60" spans="1:3" x14ac:dyDescent="0.3">
      <c r="A60" s="327"/>
      <c r="B60" s="63" t="s">
        <v>1142</v>
      </c>
      <c r="C60" s="63">
        <f>COUNTIF('Override Control Env1'!$L$229:$L$241,B60)</f>
        <v>13</v>
      </c>
    </row>
    <row r="61" spans="1:3" x14ac:dyDescent="0.3">
      <c r="A61" s="327" t="s">
        <v>1140</v>
      </c>
      <c r="B61" s="63" t="s">
        <v>1132</v>
      </c>
      <c r="C61" s="63">
        <f>COUNTIF('Override Control Env1'!$L$242:$L$268,B61)</f>
        <v>0</v>
      </c>
    </row>
    <row r="62" spans="1:3" x14ac:dyDescent="0.3">
      <c r="A62" s="327"/>
      <c r="B62" s="63" t="s">
        <v>1133</v>
      </c>
      <c r="C62" s="63">
        <f>COUNTIF('Override Control Env1'!$L$242:$L$268,B62)</f>
        <v>0</v>
      </c>
    </row>
    <row r="63" spans="1:3" x14ac:dyDescent="0.3">
      <c r="A63" s="327"/>
      <c r="B63" s="63" t="s">
        <v>48</v>
      </c>
      <c r="C63" s="63">
        <f>COUNTIF('Override Control Env1'!$L$242:$L$268,B63)</f>
        <v>0</v>
      </c>
    </row>
    <row r="64" spans="1:3" x14ac:dyDescent="0.3">
      <c r="A64" s="327"/>
      <c r="B64" s="63" t="s">
        <v>1142</v>
      </c>
      <c r="C64" s="63">
        <f>COUNTIF('Override Control Env1'!$L$242:$L$268,B64)</f>
        <v>27</v>
      </c>
    </row>
    <row r="65" spans="1:3" x14ac:dyDescent="0.3">
      <c r="A65" s="327" t="s">
        <v>1141</v>
      </c>
      <c r="B65" s="63" t="s">
        <v>1132</v>
      </c>
      <c r="C65" s="63">
        <f>COUNTIF('Override Control Env1'!$L$269:$L$282,B65)</f>
        <v>0</v>
      </c>
    </row>
    <row r="66" spans="1:3" x14ac:dyDescent="0.3">
      <c r="A66" s="327"/>
      <c r="B66" s="63" t="s">
        <v>1133</v>
      </c>
      <c r="C66" s="63">
        <f>COUNTIF('Override Control Env1'!$L$269:$L$282,B66)</f>
        <v>0</v>
      </c>
    </row>
    <row r="67" spans="1:3" x14ac:dyDescent="0.3">
      <c r="A67" s="327"/>
      <c r="B67" s="63" t="s">
        <v>48</v>
      </c>
      <c r="C67" s="63">
        <f>COUNTIF('Override Control Env1'!$L$269:$L$282,B67)</f>
        <v>0</v>
      </c>
    </row>
    <row r="68" spans="1:3" x14ac:dyDescent="0.3">
      <c r="A68" s="327"/>
      <c r="B68" s="63" t="s">
        <v>1142</v>
      </c>
      <c r="C68" s="63">
        <f>COUNTIF('Override Control Env1'!$L$269:$L$282,B68)</f>
        <v>14</v>
      </c>
    </row>
  </sheetData>
  <mergeCells count="17">
    <mergeCell ref="A49:A52"/>
    <mergeCell ref="A53:A56"/>
    <mergeCell ref="A57:A60"/>
    <mergeCell ref="A61:A64"/>
    <mergeCell ref="A65:A68"/>
    <mergeCell ref="A21:A24"/>
    <mergeCell ref="A25:A28"/>
    <mergeCell ref="A1:A4"/>
    <mergeCell ref="A5:A8"/>
    <mergeCell ref="A9:A12"/>
    <mergeCell ref="A13:A16"/>
    <mergeCell ref="A17:A20"/>
    <mergeCell ref="A45:A48"/>
    <mergeCell ref="A29:A32"/>
    <mergeCell ref="A33:A36"/>
    <mergeCell ref="A37:A40"/>
    <mergeCell ref="A41:A44"/>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C68"/>
  <sheetViews>
    <sheetView showGridLines="0" topLeftCell="A40" workbookViewId="0">
      <selection activeCell="C68" sqref="C68"/>
    </sheetView>
  </sheetViews>
  <sheetFormatPr defaultColWidth="9" defaultRowHeight="14.4" x14ac:dyDescent="0.3"/>
  <cols>
    <col min="1" max="1" width="29.33203125" style="14" bestFit="1" customWidth="1"/>
    <col min="2" max="2" width="11.109375" style="14" bestFit="1" customWidth="1"/>
    <col min="3" max="16384" width="9" style="14"/>
  </cols>
  <sheetData>
    <row r="1" spans="1:3" x14ac:dyDescent="0.3">
      <c r="A1" s="327" t="s">
        <v>1128</v>
      </c>
      <c r="B1" s="63" t="s">
        <v>1132</v>
      </c>
      <c r="C1" s="63">
        <f>COUNTIF('Override Control Env2'!$L$9:$L$41,B1)</f>
        <v>0</v>
      </c>
    </row>
    <row r="2" spans="1:3" x14ac:dyDescent="0.3">
      <c r="A2" s="327"/>
      <c r="B2" s="63" t="s">
        <v>1133</v>
      </c>
      <c r="C2" s="63">
        <f>COUNTIF('Override Control Env2'!$L$9:$L$41,B2)</f>
        <v>0</v>
      </c>
    </row>
    <row r="3" spans="1:3" x14ac:dyDescent="0.3">
      <c r="A3" s="327"/>
      <c r="B3" s="63" t="s">
        <v>48</v>
      </c>
      <c r="C3" s="63">
        <f>COUNTIF('Override Control Env2'!$L$9:$L$41,B3)</f>
        <v>0</v>
      </c>
    </row>
    <row r="4" spans="1:3" x14ac:dyDescent="0.3">
      <c r="A4" s="327"/>
      <c r="B4" s="63" t="s">
        <v>1142</v>
      </c>
      <c r="C4" s="63">
        <f>COUNTIF('Override Control Env2'!$L$9:$L$41,B4)</f>
        <v>33</v>
      </c>
    </row>
    <row r="5" spans="1:3" x14ac:dyDescent="0.3">
      <c r="A5" s="327" t="s">
        <v>306</v>
      </c>
      <c r="B5" s="63" t="s">
        <v>1132</v>
      </c>
      <c r="C5" s="63">
        <f>COUNTIF('Override Control Env2'!$L$42:$L$46,B5)</f>
        <v>0</v>
      </c>
    </row>
    <row r="6" spans="1:3" x14ac:dyDescent="0.3">
      <c r="A6" s="327"/>
      <c r="B6" s="63" t="s">
        <v>1133</v>
      </c>
      <c r="C6" s="63">
        <f>COUNTIF('Override Control Env2'!$L$42:$L$46,B6)</f>
        <v>0</v>
      </c>
    </row>
    <row r="7" spans="1:3" x14ac:dyDescent="0.3">
      <c r="A7" s="327"/>
      <c r="B7" s="63" t="s">
        <v>48</v>
      </c>
      <c r="C7" s="63">
        <f>COUNTIF('Override Control Env2'!$L$42:$L$46,B7)</f>
        <v>0</v>
      </c>
    </row>
    <row r="8" spans="1:3" x14ac:dyDescent="0.3">
      <c r="A8" s="327"/>
      <c r="B8" s="63" t="s">
        <v>1142</v>
      </c>
      <c r="C8" s="63">
        <f>COUNTIF('Override Control Env2'!$L$42:$L$46,B8)</f>
        <v>5</v>
      </c>
    </row>
    <row r="9" spans="1:3" x14ac:dyDescent="0.3">
      <c r="A9" s="327" t="s">
        <v>327</v>
      </c>
      <c r="B9" s="63" t="s">
        <v>1132</v>
      </c>
      <c r="C9" s="63">
        <f>COUNTIF('Override Control Env2'!$L$47:$L$59,B9)</f>
        <v>0</v>
      </c>
    </row>
    <row r="10" spans="1:3" x14ac:dyDescent="0.3">
      <c r="A10" s="327"/>
      <c r="B10" s="63" t="s">
        <v>1133</v>
      </c>
      <c r="C10" s="63">
        <f>COUNTIF('Override Control Env2'!$L$47:$L$59,B10)</f>
        <v>0</v>
      </c>
    </row>
    <row r="11" spans="1:3" x14ac:dyDescent="0.3">
      <c r="A11" s="327"/>
      <c r="B11" s="63" t="s">
        <v>48</v>
      </c>
      <c r="C11" s="63">
        <f>COUNTIF('Override Control Env2'!$L$47:$L$59,B11)</f>
        <v>0</v>
      </c>
    </row>
    <row r="12" spans="1:3" x14ac:dyDescent="0.3">
      <c r="A12" s="327"/>
      <c r="B12" s="63" t="s">
        <v>1142</v>
      </c>
      <c r="C12" s="63">
        <f>COUNTIF('Override Control Env2'!$L$47:$L$59,B12)</f>
        <v>13</v>
      </c>
    </row>
    <row r="13" spans="1:3" x14ac:dyDescent="0.3">
      <c r="A13" s="327" t="s">
        <v>1134</v>
      </c>
      <c r="B13" s="63" t="s">
        <v>1132</v>
      </c>
      <c r="C13" s="63">
        <f>COUNTIF('Override Control Env2'!$L$60:$L$76,B13)</f>
        <v>0</v>
      </c>
    </row>
    <row r="14" spans="1:3" x14ac:dyDescent="0.3">
      <c r="A14" s="327"/>
      <c r="B14" s="63" t="s">
        <v>1133</v>
      </c>
      <c r="C14" s="63">
        <f>COUNTIF('Override Control Env2'!$L$60:$L$76,B14)</f>
        <v>0</v>
      </c>
    </row>
    <row r="15" spans="1:3" x14ac:dyDescent="0.3">
      <c r="A15" s="327"/>
      <c r="B15" s="63" t="s">
        <v>48</v>
      </c>
      <c r="C15" s="63">
        <f>COUNTIF('Override Control Env2'!$L$60:$L$76,B15)</f>
        <v>0</v>
      </c>
    </row>
    <row r="16" spans="1:3" x14ac:dyDescent="0.3">
      <c r="A16" s="327"/>
      <c r="B16" s="63" t="s">
        <v>1142</v>
      </c>
      <c r="C16" s="63">
        <f>COUNTIF('Override Control Env2'!$L$60:$L$76,B16)</f>
        <v>17</v>
      </c>
    </row>
    <row r="17" spans="1:3" x14ac:dyDescent="0.3">
      <c r="A17" s="327" t="s">
        <v>1143</v>
      </c>
      <c r="B17" s="63" t="s">
        <v>1132</v>
      </c>
      <c r="C17" s="63">
        <f>COUNTIF('Override Control Env2'!$L$77:$L$101,B17)</f>
        <v>0</v>
      </c>
    </row>
    <row r="18" spans="1:3" x14ac:dyDescent="0.3">
      <c r="A18" s="327"/>
      <c r="B18" s="63" t="s">
        <v>1133</v>
      </c>
      <c r="C18" s="63">
        <f>COUNTIF('Override Control Env2'!$L$77:$L$101,B18)</f>
        <v>0</v>
      </c>
    </row>
    <row r="19" spans="1:3" x14ac:dyDescent="0.3">
      <c r="A19" s="327"/>
      <c r="B19" s="63" t="s">
        <v>48</v>
      </c>
      <c r="C19" s="63">
        <f>COUNTIF('Override Control Env2'!$L$77:$L$101,B19)</f>
        <v>0</v>
      </c>
    </row>
    <row r="20" spans="1:3" x14ac:dyDescent="0.3">
      <c r="A20" s="327"/>
      <c r="B20" s="63" t="s">
        <v>1142</v>
      </c>
      <c r="C20" s="63">
        <f>COUNTIF('Override Control Env2'!$L$77:$L$101,B20)</f>
        <v>25</v>
      </c>
    </row>
    <row r="21" spans="1:3" x14ac:dyDescent="0.3">
      <c r="A21" s="327" t="s">
        <v>504</v>
      </c>
      <c r="B21" s="63" t="s">
        <v>1132</v>
      </c>
      <c r="C21" s="63">
        <f>COUNTIF('Override Control Env2'!$L$104:$L$116,B21)</f>
        <v>0</v>
      </c>
    </row>
    <row r="22" spans="1:3" x14ac:dyDescent="0.3">
      <c r="A22" s="327"/>
      <c r="B22" s="63" t="s">
        <v>1133</v>
      </c>
      <c r="C22" s="63">
        <f>COUNTIF('Override Control Env2'!$L$104:$L$116,B22)</f>
        <v>0</v>
      </c>
    </row>
    <row r="23" spans="1:3" x14ac:dyDescent="0.3">
      <c r="A23" s="327"/>
      <c r="B23" s="63" t="s">
        <v>48</v>
      </c>
      <c r="C23" s="63">
        <f>COUNTIF('Override Control Env2'!$L$104:$L$116,B23)</f>
        <v>0</v>
      </c>
    </row>
    <row r="24" spans="1:3" x14ac:dyDescent="0.3">
      <c r="A24" s="327"/>
      <c r="B24" s="63" t="s">
        <v>1142</v>
      </c>
      <c r="C24" s="63">
        <f>COUNTIF('Override Control Env2'!$L$104:$L$116,B24)</f>
        <v>13</v>
      </c>
    </row>
    <row r="25" spans="1:3" ht="15" customHeight="1" x14ac:dyDescent="0.3">
      <c r="A25" s="328" t="s">
        <v>1135</v>
      </c>
      <c r="B25" s="63" t="s">
        <v>1132</v>
      </c>
      <c r="C25" s="63">
        <f>COUNTIF('Override Control Env2'!$L$117:$L$135,B25)</f>
        <v>0</v>
      </c>
    </row>
    <row r="26" spans="1:3" x14ac:dyDescent="0.3">
      <c r="A26" s="328"/>
      <c r="B26" s="63" t="s">
        <v>1133</v>
      </c>
      <c r="C26" s="63">
        <f>COUNTIF('Override Control Env2'!$L$117:$L$135,B26)</f>
        <v>0</v>
      </c>
    </row>
    <row r="27" spans="1:3" x14ac:dyDescent="0.3">
      <c r="A27" s="328"/>
      <c r="B27" s="63" t="s">
        <v>48</v>
      </c>
      <c r="C27" s="63">
        <f>COUNTIF('Override Control Env2'!$L$117:$L$135,B27)</f>
        <v>0</v>
      </c>
    </row>
    <row r="28" spans="1:3" x14ac:dyDescent="0.3">
      <c r="A28" s="328"/>
      <c r="B28" s="63" t="s">
        <v>1142</v>
      </c>
      <c r="C28" s="63">
        <f>COUNTIF('Override Control Env2'!$L$117:$L$135,B28)</f>
        <v>19</v>
      </c>
    </row>
    <row r="29" spans="1:3" x14ac:dyDescent="0.3">
      <c r="A29" s="327" t="s">
        <v>1136</v>
      </c>
      <c r="B29" s="63" t="s">
        <v>1132</v>
      </c>
      <c r="C29" s="63">
        <f>COUNTIF('Override Control Env2'!$L$136:$L$147,B29)</f>
        <v>0</v>
      </c>
    </row>
    <row r="30" spans="1:3" x14ac:dyDescent="0.3">
      <c r="A30" s="327"/>
      <c r="B30" s="63" t="s">
        <v>1133</v>
      </c>
      <c r="C30" s="63">
        <f>COUNTIF('Override Control Env2'!$L$136:$L$147,B30)</f>
        <v>0</v>
      </c>
    </row>
    <row r="31" spans="1:3" x14ac:dyDescent="0.3">
      <c r="A31" s="327"/>
      <c r="B31" s="63" t="s">
        <v>48</v>
      </c>
      <c r="C31" s="63">
        <f>COUNTIF('Override Control Env2'!$L$136:$L$147,B31)</f>
        <v>0</v>
      </c>
    </row>
    <row r="32" spans="1:3" x14ac:dyDescent="0.3">
      <c r="A32" s="327"/>
      <c r="B32" s="63" t="s">
        <v>1142</v>
      </c>
      <c r="C32" s="63">
        <f>COUNTIF('Override Control Env2'!$L$136:$L$147,B32)</f>
        <v>12</v>
      </c>
    </row>
    <row r="33" spans="1:3" x14ac:dyDescent="0.3">
      <c r="A33" s="327" t="s">
        <v>661</v>
      </c>
      <c r="B33" s="63" t="s">
        <v>1132</v>
      </c>
      <c r="C33" s="63">
        <f>COUNTIF('Override Control Env2'!$L$148:$L$163,B33)</f>
        <v>0</v>
      </c>
    </row>
    <row r="34" spans="1:3" x14ac:dyDescent="0.3">
      <c r="A34" s="327"/>
      <c r="B34" s="63" t="s">
        <v>1133</v>
      </c>
      <c r="C34" s="63">
        <f>COUNTIF('Override Control Env2'!$L$148:$L$163,B34)</f>
        <v>0</v>
      </c>
    </row>
    <row r="35" spans="1:3" x14ac:dyDescent="0.3">
      <c r="A35" s="327"/>
      <c r="B35" s="63" t="s">
        <v>48</v>
      </c>
      <c r="C35" s="63">
        <f>COUNTIF('Override Control Env2'!$L$148:$L$163,B35)</f>
        <v>0</v>
      </c>
    </row>
    <row r="36" spans="1:3" x14ac:dyDescent="0.3">
      <c r="A36" s="327"/>
      <c r="B36" s="63" t="s">
        <v>1142</v>
      </c>
      <c r="C36" s="63">
        <f>COUNTIF('Override Control Env2'!$L$148:$L$163,B36)</f>
        <v>16</v>
      </c>
    </row>
    <row r="37" spans="1:3" x14ac:dyDescent="0.3">
      <c r="A37" s="327" t="s">
        <v>706</v>
      </c>
      <c r="B37" s="63" t="s">
        <v>1132</v>
      </c>
      <c r="C37" s="63">
        <f>COUNTIF('Override Control Env2'!$L$164:$L$173,B37)</f>
        <v>0</v>
      </c>
    </row>
    <row r="38" spans="1:3" x14ac:dyDescent="0.3">
      <c r="A38" s="327"/>
      <c r="B38" s="63" t="s">
        <v>1133</v>
      </c>
      <c r="C38" s="63">
        <f>COUNTIF('Override Control Env2'!$L$164:$L$173,B38)</f>
        <v>0</v>
      </c>
    </row>
    <row r="39" spans="1:3" x14ac:dyDescent="0.3">
      <c r="A39" s="327"/>
      <c r="B39" s="63" t="s">
        <v>48</v>
      </c>
      <c r="C39" s="63">
        <f>COUNTIF('Override Control Env2'!$L$164:$L$173,B39)</f>
        <v>0</v>
      </c>
    </row>
    <row r="40" spans="1:3" x14ac:dyDescent="0.3">
      <c r="A40" s="327"/>
      <c r="B40" s="63" t="s">
        <v>1142</v>
      </c>
      <c r="C40" s="63">
        <f>COUNTIF('Override Control Env2'!$L$164:$L$173,B40)</f>
        <v>10</v>
      </c>
    </row>
    <row r="41" spans="1:3" x14ac:dyDescent="0.3">
      <c r="A41" s="327" t="s">
        <v>1137</v>
      </c>
      <c r="B41" s="63" t="s">
        <v>1132</v>
      </c>
      <c r="C41" s="63">
        <f>COUNTIF('Override Control Env2'!$L$174:$L$200,B41)</f>
        <v>0</v>
      </c>
    </row>
    <row r="42" spans="1:3" x14ac:dyDescent="0.3">
      <c r="A42" s="327"/>
      <c r="B42" s="63" t="s">
        <v>1133</v>
      </c>
      <c r="C42" s="63">
        <f>COUNTIF('Override Control Env2'!$L$174:$L$200,B42)</f>
        <v>0</v>
      </c>
    </row>
    <row r="43" spans="1:3" x14ac:dyDescent="0.3">
      <c r="A43" s="327"/>
      <c r="B43" s="63" t="s">
        <v>48</v>
      </c>
      <c r="C43" s="63">
        <f>COUNTIF('Override Control Env2'!$L$174:$L$200,B43)</f>
        <v>0</v>
      </c>
    </row>
    <row r="44" spans="1:3" x14ac:dyDescent="0.3">
      <c r="A44" s="327"/>
      <c r="B44" s="63" t="s">
        <v>1142</v>
      </c>
      <c r="C44" s="63">
        <f>COUNTIF('Override Control Env2'!$L$174:$L$200,B44)</f>
        <v>27</v>
      </c>
    </row>
    <row r="45" spans="1:3" x14ac:dyDescent="0.3">
      <c r="A45" s="327" t="s">
        <v>836</v>
      </c>
      <c r="B45" s="63" t="s">
        <v>1132</v>
      </c>
      <c r="C45" s="63">
        <f>COUNTIF('Override Control Env2'!$L$201:$L$213,B45)</f>
        <v>0</v>
      </c>
    </row>
    <row r="46" spans="1:3" x14ac:dyDescent="0.3">
      <c r="A46" s="327"/>
      <c r="B46" s="63" t="s">
        <v>1133</v>
      </c>
      <c r="C46" s="63">
        <f>COUNTIF('Override Control Env2'!$L$201:$L$213,B46)</f>
        <v>0</v>
      </c>
    </row>
    <row r="47" spans="1:3" x14ac:dyDescent="0.3">
      <c r="A47" s="327"/>
      <c r="B47" s="63" t="s">
        <v>48</v>
      </c>
      <c r="C47" s="63">
        <f>COUNTIF('Override Control Env2'!$L$201:$L$213,B47)</f>
        <v>0</v>
      </c>
    </row>
    <row r="48" spans="1:3" x14ac:dyDescent="0.3">
      <c r="A48" s="327"/>
      <c r="B48" s="63" t="s">
        <v>1142</v>
      </c>
      <c r="C48" s="63">
        <f>COUNTIF('Override Control Env2'!$L$201:$L$213,B48)</f>
        <v>13</v>
      </c>
    </row>
    <row r="49" spans="1:3" x14ac:dyDescent="0.3">
      <c r="A49" s="327" t="s">
        <v>872</v>
      </c>
      <c r="B49" s="63" t="s">
        <v>1132</v>
      </c>
      <c r="C49" s="63">
        <f>COUNTIF('Override Control Env2'!$L$214:$L$224,B49)</f>
        <v>0</v>
      </c>
    </row>
    <row r="50" spans="1:3" x14ac:dyDescent="0.3">
      <c r="A50" s="327"/>
      <c r="B50" s="63" t="s">
        <v>1133</v>
      </c>
      <c r="C50" s="63">
        <f>COUNTIF('Override Control Env2'!$L$214:$L$224,B50)</f>
        <v>0</v>
      </c>
    </row>
    <row r="51" spans="1:3" x14ac:dyDescent="0.3">
      <c r="A51" s="327"/>
      <c r="B51" s="63" t="s">
        <v>48</v>
      </c>
      <c r="C51" s="63">
        <f>COUNTIF('Override Control Env2'!$L$214:$L$224,B51)</f>
        <v>0</v>
      </c>
    </row>
    <row r="52" spans="1:3" x14ac:dyDescent="0.3">
      <c r="A52" s="327"/>
      <c r="B52" s="63" t="s">
        <v>1142</v>
      </c>
      <c r="C52" s="63">
        <f>COUNTIF('Override Control Env2'!$L$214:$L$224,B52)</f>
        <v>11</v>
      </c>
    </row>
    <row r="53" spans="1:3" x14ac:dyDescent="0.3">
      <c r="A53" s="327" t="s">
        <v>1138</v>
      </c>
      <c r="B53" s="63" t="s">
        <v>1132</v>
      </c>
      <c r="C53" s="63">
        <f>COUNTIF('Override Control Env2'!$L$225:$L$228,B53)</f>
        <v>0</v>
      </c>
    </row>
    <row r="54" spans="1:3" x14ac:dyDescent="0.3">
      <c r="A54" s="327"/>
      <c r="B54" s="63" t="s">
        <v>1133</v>
      </c>
      <c r="C54" s="63">
        <f>COUNTIF('Override Control Env2'!$L$225:$L$228,B54)</f>
        <v>0</v>
      </c>
    </row>
    <row r="55" spans="1:3" x14ac:dyDescent="0.3">
      <c r="A55" s="327"/>
      <c r="B55" s="63" t="s">
        <v>48</v>
      </c>
      <c r="C55" s="63">
        <f>COUNTIF('Override Control Env2'!$L$225:$L$228,B55)</f>
        <v>0</v>
      </c>
    </row>
    <row r="56" spans="1:3" x14ac:dyDescent="0.3">
      <c r="A56" s="327"/>
      <c r="B56" s="63" t="s">
        <v>1142</v>
      </c>
      <c r="C56" s="63">
        <f>COUNTIF('Override Control Env2'!$L$225:$L$228,B56)</f>
        <v>4</v>
      </c>
    </row>
    <row r="57" spans="1:3" x14ac:dyDescent="0.3">
      <c r="A57" s="327" t="s">
        <v>1139</v>
      </c>
      <c r="B57" s="63" t="s">
        <v>1132</v>
      </c>
      <c r="C57" s="63">
        <f>COUNTIF('Override Control Env2'!$L$229:$L$241,B57)</f>
        <v>0</v>
      </c>
    </row>
    <row r="58" spans="1:3" x14ac:dyDescent="0.3">
      <c r="A58" s="327"/>
      <c r="B58" s="63" t="s">
        <v>1133</v>
      </c>
      <c r="C58" s="63">
        <f>COUNTIF('Override Control Env2'!$L$229:$L$241,B58)</f>
        <v>0</v>
      </c>
    </row>
    <row r="59" spans="1:3" x14ac:dyDescent="0.3">
      <c r="A59" s="327"/>
      <c r="B59" s="63" t="s">
        <v>48</v>
      </c>
      <c r="C59" s="63">
        <f>COUNTIF('Override Control Env2'!$L$229:$L$241,B59)</f>
        <v>0</v>
      </c>
    </row>
    <row r="60" spans="1:3" x14ac:dyDescent="0.3">
      <c r="A60" s="327"/>
      <c r="B60" s="63" t="s">
        <v>1142</v>
      </c>
      <c r="C60" s="63">
        <f>COUNTIF('Override Control Env2'!$L$229:$L$241,B60)</f>
        <v>13</v>
      </c>
    </row>
    <row r="61" spans="1:3" x14ac:dyDescent="0.3">
      <c r="A61" s="327" t="s">
        <v>1140</v>
      </c>
      <c r="B61" s="63" t="s">
        <v>1132</v>
      </c>
      <c r="C61" s="63">
        <f>COUNTIF('Override Control Env2'!$L$242:$L$268,B61)</f>
        <v>0</v>
      </c>
    </row>
    <row r="62" spans="1:3" x14ac:dyDescent="0.3">
      <c r="A62" s="327"/>
      <c r="B62" s="63" t="s">
        <v>1133</v>
      </c>
      <c r="C62" s="63">
        <f>COUNTIF('Override Control Env2'!$L$242:$L$268,B62)</f>
        <v>0</v>
      </c>
    </row>
    <row r="63" spans="1:3" x14ac:dyDescent="0.3">
      <c r="A63" s="327"/>
      <c r="B63" s="63" t="s">
        <v>48</v>
      </c>
      <c r="C63" s="63">
        <f>COUNTIF('Override Control Env2'!$L$242:$L$268,B63)</f>
        <v>0</v>
      </c>
    </row>
    <row r="64" spans="1:3" x14ac:dyDescent="0.3">
      <c r="A64" s="327"/>
      <c r="B64" s="63" t="s">
        <v>1142</v>
      </c>
      <c r="C64" s="63">
        <f>COUNTIF('Override Control Env2'!$L$242:$L$268,B64)</f>
        <v>27</v>
      </c>
    </row>
    <row r="65" spans="1:3" x14ac:dyDescent="0.3">
      <c r="A65" s="327" t="s">
        <v>1141</v>
      </c>
      <c r="B65" s="63" t="s">
        <v>1132</v>
      </c>
      <c r="C65" s="63">
        <f>COUNTIF('Override Control Env2'!$L$269:$L$282,B65)</f>
        <v>0</v>
      </c>
    </row>
    <row r="66" spans="1:3" x14ac:dyDescent="0.3">
      <c r="A66" s="327"/>
      <c r="B66" s="63" t="s">
        <v>1133</v>
      </c>
      <c r="C66" s="63">
        <f>COUNTIF('Override Control Env2'!$L$269:$L$282,B66)</f>
        <v>0</v>
      </c>
    </row>
    <row r="67" spans="1:3" x14ac:dyDescent="0.3">
      <c r="A67" s="327"/>
      <c r="B67" s="63" t="s">
        <v>48</v>
      </c>
      <c r="C67" s="63">
        <f>COUNTIF('Override Control Env2'!$L$269:$L$282,B67)</f>
        <v>0</v>
      </c>
    </row>
    <row r="68" spans="1:3" x14ac:dyDescent="0.3">
      <c r="A68" s="327"/>
      <c r="B68" s="63" t="s">
        <v>1142</v>
      </c>
      <c r="C68" s="63">
        <f>COUNTIF('Override Control Env2'!$L$269:$L$282,B68)</f>
        <v>14</v>
      </c>
    </row>
  </sheetData>
  <mergeCells count="17">
    <mergeCell ref="A49:A52"/>
    <mergeCell ref="A53:A56"/>
    <mergeCell ref="A57:A60"/>
    <mergeCell ref="A61:A64"/>
    <mergeCell ref="A65:A68"/>
    <mergeCell ref="A45:A48"/>
    <mergeCell ref="A1:A4"/>
    <mergeCell ref="A5:A8"/>
    <mergeCell ref="A9:A12"/>
    <mergeCell ref="A13:A16"/>
    <mergeCell ref="A17:A20"/>
    <mergeCell ref="A21:A24"/>
    <mergeCell ref="A25:A28"/>
    <mergeCell ref="A29:A32"/>
    <mergeCell ref="A33:A36"/>
    <mergeCell ref="A37:A40"/>
    <mergeCell ref="A41:A44"/>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C68"/>
  <sheetViews>
    <sheetView showGridLines="0" topLeftCell="A34" workbookViewId="0">
      <selection activeCell="C68" sqref="C68"/>
    </sheetView>
  </sheetViews>
  <sheetFormatPr defaultColWidth="9" defaultRowHeight="14.4" x14ac:dyDescent="0.3"/>
  <cols>
    <col min="1" max="1" width="29.33203125" style="14" bestFit="1" customWidth="1"/>
    <col min="2" max="2" width="11.109375" style="14" bestFit="1" customWidth="1"/>
    <col min="3" max="16384" width="9" style="14"/>
  </cols>
  <sheetData>
    <row r="1" spans="1:3" x14ac:dyDescent="0.3">
      <c r="A1" s="327" t="s">
        <v>1128</v>
      </c>
      <c r="B1" s="63" t="s">
        <v>1132</v>
      </c>
      <c r="C1" s="63">
        <f>COUNTIF('Override Control Env3'!$L$9:$L$41,B1)</f>
        <v>0</v>
      </c>
    </row>
    <row r="2" spans="1:3" x14ac:dyDescent="0.3">
      <c r="A2" s="327"/>
      <c r="B2" s="63" t="s">
        <v>1133</v>
      </c>
      <c r="C2" s="63">
        <f>COUNTIF('Override Control Env3'!$L$9:$L$41,B2)</f>
        <v>0</v>
      </c>
    </row>
    <row r="3" spans="1:3" x14ac:dyDescent="0.3">
      <c r="A3" s="327"/>
      <c r="B3" s="63" t="s">
        <v>48</v>
      </c>
      <c r="C3" s="63">
        <f>COUNTIF('Override Control Env3'!$L$9:$L$41,B3)</f>
        <v>0</v>
      </c>
    </row>
    <row r="4" spans="1:3" x14ac:dyDescent="0.3">
      <c r="A4" s="327"/>
      <c r="B4" s="63" t="s">
        <v>1142</v>
      </c>
      <c r="C4" s="63">
        <f>COUNTIF('Override Control Env3'!$L$9:$L$41,B4)</f>
        <v>33</v>
      </c>
    </row>
    <row r="5" spans="1:3" x14ac:dyDescent="0.3">
      <c r="A5" s="327" t="s">
        <v>306</v>
      </c>
      <c r="B5" s="63" t="s">
        <v>1132</v>
      </c>
      <c r="C5" s="63">
        <f>COUNTIF('Override Control Env3'!$L$42:$L$46,B5)</f>
        <v>0</v>
      </c>
    </row>
    <row r="6" spans="1:3" x14ac:dyDescent="0.3">
      <c r="A6" s="327"/>
      <c r="B6" s="63" t="s">
        <v>1133</v>
      </c>
      <c r="C6" s="63">
        <f>COUNTIF('Override Control Env3'!$L$42:$L$46,B6)</f>
        <v>0</v>
      </c>
    </row>
    <row r="7" spans="1:3" x14ac:dyDescent="0.3">
      <c r="A7" s="327"/>
      <c r="B7" s="63" t="s">
        <v>48</v>
      </c>
      <c r="C7" s="63">
        <f>COUNTIF('Override Control Env3'!$L$42:$L$46,B7)</f>
        <v>0</v>
      </c>
    </row>
    <row r="8" spans="1:3" x14ac:dyDescent="0.3">
      <c r="A8" s="327"/>
      <c r="B8" s="63" t="s">
        <v>1142</v>
      </c>
      <c r="C8" s="63">
        <f>COUNTIF('Override Control Env3'!$L$42:$L$46,B8)</f>
        <v>5</v>
      </c>
    </row>
    <row r="9" spans="1:3" x14ac:dyDescent="0.3">
      <c r="A9" s="327" t="s">
        <v>327</v>
      </c>
      <c r="B9" s="63" t="s">
        <v>1132</v>
      </c>
      <c r="C9" s="63">
        <f>COUNTIF('Override Control Env3'!$L$47:$L$59,B9)</f>
        <v>0</v>
      </c>
    </row>
    <row r="10" spans="1:3" x14ac:dyDescent="0.3">
      <c r="A10" s="327"/>
      <c r="B10" s="63" t="s">
        <v>1133</v>
      </c>
      <c r="C10" s="63">
        <f>COUNTIF('Override Control Env3'!$L$47:$L$59,B10)</f>
        <v>0</v>
      </c>
    </row>
    <row r="11" spans="1:3" x14ac:dyDescent="0.3">
      <c r="A11" s="327"/>
      <c r="B11" s="63" t="s">
        <v>48</v>
      </c>
      <c r="C11" s="63">
        <f>COUNTIF('Override Control Env3'!$L$47:$L$59,B11)</f>
        <v>0</v>
      </c>
    </row>
    <row r="12" spans="1:3" x14ac:dyDescent="0.3">
      <c r="A12" s="327"/>
      <c r="B12" s="63" t="s">
        <v>1142</v>
      </c>
      <c r="C12" s="63">
        <f>COUNTIF('Override Control Env3'!$L$47:$L$59,B12)</f>
        <v>13</v>
      </c>
    </row>
    <row r="13" spans="1:3" x14ac:dyDescent="0.3">
      <c r="A13" s="327" t="s">
        <v>1134</v>
      </c>
      <c r="B13" s="63" t="s">
        <v>1132</v>
      </c>
      <c r="C13" s="63">
        <f>COUNTIF('Override Control Env3'!$L$60:$L$76,B13)</f>
        <v>0</v>
      </c>
    </row>
    <row r="14" spans="1:3" x14ac:dyDescent="0.3">
      <c r="A14" s="327"/>
      <c r="B14" s="63" t="s">
        <v>1133</v>
      </c>
      <c r="C14" s="63">
        <f>COUNTIF('Override Control Env3'!$L$60:$L$76,B14)</f>
        <v>0</v>
      </c>
    </row>
    <row r="15" spans="1:3" x14ac:dyDescent="0.3">
      <c r="A15" s="327"/>
      <c r="B15" s="63" t="s">
        <v>48</v>
      </c>
      <c r="C15" s="63">
        <f>COUNTIF('Override Control Env3'!$L$60:$L$76,B15)</f>
        <v>0</v>
      </c>
    </row>
    <row r="16" spans="1:3" x14ac:dyDescent="0.3">
      <c r="A16" s="327"/>
      <c r="B16" s="63" t="s">
        <v>1142</v>
      </c>
      <c r="C16" s="63">
        <f>COUNTIF('Override Control Env3'!$L$60:$L$76,B16)</f>
        <v>17</v>
      </c>
    </row>
    <row r="17" spans="1:3" x14ac:dyDescent="0.3">
      <c r="A17" s="327" t="s">
        <v>1143</v>
      </c>
      <c r="B17" s="63" t="s">
        <v>1132</v>
      </c>
      <c r="C17" s="63">
        <f>COUNTIF('Override Control Env3'!$L$77:$L$101,B17)</f>
        <v>0</v>
      </c>
    </row>
    <row r="18" spans="1:3" x14ac:dyDescent="0.3">
      <c r="A18" s="327"/>
      <c r="B18" s="63" t="s">
        <v>1133</v>
      </c>
      <c r="C18" s="63">
        <f>COUNTIF('Override Control Env3'!$L$77:$L$101,B18)</f>
        <v>0</v>
      </c>
    </row>
    <row r="19" spans="1:3" x14ac:dyDescent="0.3">
      <c r="A19" s="327"/>
      <c r="B19" s="63" t="s">
        <v>48</v>
      </c>
      <c r="C19" s="63">
        <f>COUNTIF('Override Control Env3'!$L$77:$L$101,B19)</f>
        <v>0</v>
      </c>
    </row>
    <row r="20" spans="1:3" x14ac:dyDescent="0.3">
      <c r="A20" s="327"/>
      <c r="B20" s="63" t="s">
        <v>1142</v>
      </c>
      <c r="C20" s="63">
        <f>COUNTIF('Override Control Env3'!$L$77:$L$101,B20)</f>
        <v>25</v>
      </c>
    </row>
    <row r="21" spans="1:3" x14ac:dyDescent="0.3">
      <c r="A21" s="327" t="s">
        <v>504</v>
      </c>
      <c r="B21" s="63" t="s">
        <v>1132</v>
      </c>
      <c r="C21" s="63">
        <f>COUNTIF('Override Control Env3'!$L$104:$L$116,B21)</f>
        <v>0</v>
      </c>
    </row>
    <row r="22" spans="1:3" x14ac:dyDescent="0.3">
      <c r="A22" s="327"/>
      <c r="B22" s="63" t="s">
        <v>1133</v>
      </c>
      <c r="C22" s="63">
        <f>COUNTIF('Override Control Env3'!$L$104:$L$116,B22)</f>
        <v>0</v>
      </c>
    </row>
    <row r="23" spans="1:3" x14ac:dyDescent="0.3">
      <c r="A23" s="327"/>
      <c r="B23" s="63" t="s">
        <v>48</v>
      </c>
      <c r="C23" s="63">
        <f>COUNTIF('Override Control Env3'!$L$104:$L$116,B23)</f>
        <v>0</v>
      </c>
    </row>
    <row r="24" spans="1:3" x14ac:dyDescent="0.3">
      <c r="A24" s="327"/>
      <c r="B24" s="63" t="s">
        <v>1142</v>
      </c>
      <c r="C24" s="63">
        <f>COUNTIF('Override Control Env3'!$L$104:$L$116,B24)</f>
        <v>13</v>
      </c>
    </row>
    <row r="25" spans="1:3" ht="15" customHeight="1" x14ac:dyDescent="0.3">
      <c r="A25" s="328" t="s">
        <v>1135</v>
      </c>
      <c r="B25" s="63" t="s">
        <v>1132</v>
      </c>
      <c r="C25" s="63">
        <f>COUNTIF('Override Control Env3'!$L$117:$L$135,B25)</f>
        <v>0</v>
      </c>
    </row>
    <row r="26" spans="1:3" x14ac:dyDescent="0.3">
      <c r="A26" s="328"/>
      <c r="B26" s="63" t="s">
        <v>1133</v>
      </c>
      <c r="C26" s="63">
        <f>COUNTIF('Override Control Env3'!$L$117:$L$135,B26)</f>
        <v>0</v>
      </c>
    </row>
    <row r="27" spans="1:3" x14ac:dyDescent="0.3">
      <c r="A27" s="328"/>
      <c r="B27" s="63" t="s">
        <v>48</v>
      </c>
      <c r="C27" s="63">
        <f>COUNTIF('Override Control Env3'!$L$117:$L$135,B27)</f>
        <v>0</v>
      </c>
    </row>
    <row r="28" spans="1:3" x14ac:dyDescent="0.3">
      <c r="A28" s="328"/>
      <c r="B28" s="63" t="s">
        <v>1142</v>
      </c>
      <c r="C28" s="63">
        <f>COUNTIF('Override Control Env3'!$L$117:$L$135,B28)</f>
        <v>19</v>
      </c>
    </row>
    <row r="29" spans="1:3" x14ac:dyDescent="0.3">
      <c r="A29" s="327" t="s">
        <v>1136</v>
      </c>
      <c r="B29" s="63" t="s">
        <v>1132</v>
      </c>
      <c r="C29" s="63">
        <f>COUNTIF('Override Control Env3'!$L$136:$L$147,B29)</f>
        <v>0</v>
      </c>
    </row>
    <row r="30" spans="1:3" x14ac:dyDescent="0.3">
      <c r="A30" s="327"/>
      <c r="B30" s="63" t="s">
        <v>1133</v>
      </c>
      <c r="C30" s="63">
        <f>COUNTIF('Override Control Env3'!$L$136:$L$147,B30)</f>
        <v>0</v>
      </c>
    </row>
    <row r="31" spans="1:3" x14ac:dyDescent="0.3">
      <c r="A31" s="327"/>
      <c r="B31" s="63" t="s">
        <v>48</v>
      </c>
      <c r="C31" s="63">
        <f>COUNTIF('Override Control Env3'!$L$136:$L$147,B31)</f>
        <v>0</v>
      </c>
    </row>
    <row r="32" spans="1:3" x14ac:dyDescent="0.3">
      <c r="A32" s="327"/>
      <c r="B32" s="63" t="s">
        <v>1142</v>
      </c>
      <c r="C32" s="63">
        <f>COUNTIF('Override Control Env3'!$L$136:$L$147,B32)</f>
        <v>12</v>
      </c>
    </row>
    <row r="33" spans="1:3" x14ac:dyDescent="0.3">
      <c r="A33" s="327" t="s">
        <v>661</v>
      </c>
      <c r="B33" s="63" t="s">
        <v>1132</v>
      </c>
      <c r="C33" s="63">
        <f>COUNTIF('Override Control Env3'!$L$148:$L$163,B33)</f>
        <v>0</v>
      </c>
    </row>
    <row r="34" spans="1:3" x14ac:dyDescent="0.3">
      <c r="A34" s="327"/>
      <c r="B34" s="63" t="s">
        <v>1133</v>
      </c>
      <c r="C34" s="63">
        <f>COUNTIF('Override Control Env3'!$L$148:$L$163,B34)</f>
        <v>0</v>
      </c>
    </row>
    <row r="35" spans="1:3" x14ac:dyDescent="0.3">
      <c r="A35" s="327"/>
      <c r="B35" s="63" t="s">
        <v>48</v>
      </c>
      <c r="C35" s="63">
        <f>COUNTIF('Override Control Env3'!$L$148:$L$163,B35)</f>
        <v>0</v>
      </c>
    </row>
    <row r="36" spans="1:3" x14ac:dyDescent="0.3">
      <c r="A36" s="327"/>
      <c r="B36" s="63" t="s">
        <v>1142</v>
      </c>
      <c r="C36" s="63">
        <f>COUNTIF('Override Control Env3'!$L$148:$L$163,B36)</f>
        <v>16</v>
      </c>
    </row>
    <row r="37" spans="1:3" x14ac:dyDescent="0.3">
      <c r="A37" s="327" t="s">
        <v>706</v>
      </c>
      <c r="B37" s="63" t="s">
        <v>1132</v>
      </c>
      <c r="C37" s="63">
        <f>COUNTIF('Override Control Env3'!$L$164:$L$173,B37)</f>
        <v>0</v>
      </c>
    </row>
    <row r="38" spans="1:3" x14ac:dyDescent="0.3">
      <c r="A38" s="327"/>
      <c r="B38" s="63" t="s">
        <v>1133</v>
      </c>
      <c r="C38" s="63">
        <f>COUNTIF('Override Control Env3'!$L$164:$L$173,B38)</f>
        <v>0</v>
      </c>
    </row>
    <row r="39" spans="1:3" x14ac:dyDescent="0.3">
      <c r="A39" s="327"/>
      <c r="B39" s="63" t="s">
        <v>48</v>
      </c>
      <c r="C39" s="63">
        <f>COUNTIF('Override Control Env3'!$L$164:$L$173,B39)</f>
        <v>0</v>
      </c>
    </row>
    <row r="40" spans="1:3" x14ac:dyDescent="0.3">
      <c r="A40" s="327"/>
      <c r="B40" s="63" t="s">
        <v>1142</v>
      </c>
      <c r="C40" s="63">
        <f>COUNTIF('Override Control Env3'!$L$164:$L$173,B40)</f>
        <v>10</v>
      </c>
    </row>
    <row r="41" spans="1:3" x14ac:dyDescent="0.3">
      <c r="A41" s="327" t="s">
        <v>1137</v>
      </c>
      <c r="B41" s="63" t="s">
        <v>1132</v>
      </c>
      <c r="C41" s="63">
        <f>COUNTIF('Override Control Env3'!$L$174:$L$200,B41)</f>
        <v>0</v>
      </c>
    </row>
    <row r="42" spans="1:3" x14ac:dyDescent="0.3">
      <c r="A42" s="327"/>
      <c r="B42" s="63" t="s">
        <v>1133</v>
      </c>
      <c r="C42" s="63">
        <f>COUNTIF('Override Control Env3'!$L$174:$L$200,B42)</f>
        <v>0</v>
      </c>
    </row>
    <row r="43" spans="1:3" x14ac:dyDescent="0.3">
      <c r="A43" s="327"/>
      <c r="B43" s="63" t="s">
        <v>48</v>
      </c>
      <c r="C43" s="63">
        <f>COUNTIF('Override Control Env3'!$L$174:$L$200,B43)</f>
        <v>0</v>
      </c>
    </row>
    <row r="44" spans="1:3" x14ac:dyDescent="0.3">
      <c r="A44" s="327"/>
      <c r="B44" s="63" t="s">
        <v>1142</v>
      </c>
      <c r="C44" s="63">
        <f>COUNTIF('Override Control Env3'!$L$174:$L$200,B44)</f>
        <v>27</v>
      </c>
    </row>
    <row r="45" spans="1:3" x14ac:dyDescent="0.3">
      <c r="A45" s="327" t="s">
        <v>836</v>
      </c>
      <c r="B45" s="63" t="s">
        <v>1132</v>
      </c>
      <c r="C45" s="63">
        <f>COUNTIF('Override Control Env3'!$L$201:$L$213,B45)</f>
        <v>0</v>
      </c>
    </row>
    <row r="46" spans="1:3" x14ac:dyDescent="0.3">
      <c r="A46" s="327"/>
      <c r="B46" s="63" t="s">
        <v>1133</v>
      </c>
      <c r="C46" s="63">
        <f>COUNTIF('Override Control Env3'!$L$201:$L$213,B46)</f>
        <v>0</v>
      </c>
    </row>
    <row r="47" spans="1:3" x14ac:dyDescent="0.3">
      <c r="A47" s="327"/>
      <c r="B47" s="63" t="s">
        <v>48</v>
      </c>
      <c r="C47" s="63">
        <f>COUNTIF('Override Control Env3'!$L$201:$L$213,B47)</f>
        <v>0</v>
      </c>
    </row>
    <row r="48" spans="1:3" x14ac:dyDescent="0.3">
      <c r="A48" s="327"/>
      <c r="B48" s="63" t="s">
        <v>1142</v>
      </c>
      <c r="C48" s="63">
        <f>COUNTIF('Override Control Env3'!$L$201:$L$213,B48)</f>
        <v>13</v>
      </c>
    </row>
    <row r="49" spans="1:3" x14ac:dyDescent="0.3">
      <c r="A49" s="327" t="s">
        <v>872</v>
      </c>
      <c r="B49" s="63" t="s">
        <v>1132</v>
      </c>
      <c r="C49" s="63">
        <f>COUNTIF('Override Control Env3'!$L$214:$L$224,B49)</f>
        <v>0</v>
      </c>
    </row>
    <row r="50" spans="1:3" x14ac:dyDescent="0.3">
      <c r="A50" s="327"/>
      <c r="B50" s="63" t="s">
        <v>1133</v>
      </c>
      <c r="C50" s="63">
        <f>COUNTIF('Override Control Env3'!$L$214:$L$224,B50)</f>
        <v>0</v>
      </c>
    </row>
    <row r="51" spans="1:3" x14ac:dyDescent="0.3">
      <c r="A51" s="327"/>
      <c r="B51" s="63" t="s">
        <v>48</v>
      </c>
      <c r="C51" s="63">
        <f>COUNTIF('Override Control Env3'!$L$214:$L$224,B51)</f>
        <v>0</v>
      </c>
    </row>
    <row r="52" spans="1:3" x14ac:dyDescent="0.3">
      <c r="A52" s="327"/>
      <c r="B52" s="63" t="s">
        <v>1142</v>
      </c>
      <c r="C52" s="63">
        <f>COUNTIF('Override Control Env3'!$L$214:$L$224,B52)</f>
        <v>11</v>
      </c>
    </row>
    <row r="53" spans="1:3" x14ac:dyDescent="0.3">
      <c r="A53" s="327" t="s">
        <v>1138</v>
      </c>
      <c r="B53" s="63" t="s">
        <v>1132</v>
      </c>
      <c r="C53" s="63">
        <f>COUNTIF('Override Control Env3'!$L$225:$L$228,B53)</f>
        <v>0</v>
      </c>
    </row>
    <row r="54" spans="1:3" x14ac:dyDescent="0.3">
      <c r="A54" s="327"/>
      <c r="B54" s="63" t="s">
        <v>1133</v>
      </c>
      <c r="C54" s="63">
        <f>COUNTIF('Override Control Env3'!$L$225:$L$228,B54)</f>
        <v>0</v>
      </c>
    </row>
    <row r="55" spans="1:3" x14ac:dyDescent="0.3">
      <c r="A55" s="327"/>
      <c r="B55" s="63" t="s">
        <v>48</v>
      </c>
      <c r="C55" s="63">
        <f>COUNTIF('Override Control Env3'!$L$225:$L$228,B55)</f>
        <v>0</v>
      </c>
    </row>
    <row r="56" spans="1:3" x14ac:dyDescent="0.3">
      <c r="A56" s="327"/>
      <c r="B56" s="63" t="s">
        <v>1142</v>
      </c>
      <c r="C56" s="63">
        <f>COUNTIF('Override Control Env3'!$L$225:$L$228,B56)</f>
        <v>4</v>
      </c>
    </row>
    <row r="57" spans="1:3" x14ac:dyDescent="0.3">
      <c r="A57" s="327" t="s">
        <v>1139</v>
      </c>
      <c r="B57" s="63" t="s">
        <v>1132</v>
      </c>
      <c r="C57" s="63">
        <f>COUNTIF('Override Control Env3'!$L$229:$L$241,B57)</f>
        <v>0</v>
      </c>
    </row>
    <row r="58" spans="1:3" x14ac:dyDescent="0.3">
      <c r="A58" s="327"/>
      <c r="B58" s="63" t="s">
        <v>1133</v>
      </c>
      <c r="C58" s="63">
        <f>COUNTIF('Override Control Env3'!$L$229:$L$241,B58)</f>
        <v>0</v>
      </c>
    </row>
    <row r="59" spans="1:3" x14ac:dyDescent="0.3">
      <c r="A59" s="327"/>
      <c r="B59" s="63" t="s">
        <v>48</v>
      </c>
      <c r="C59" s="63">
        <f>COUNTIF('Override Control Env3'!$L$229:$L$241,B59)</f>
        <v>0</v>
      </c>
    </row>
    <row r="60" spans="1:3" x14ac:dyDescent="0.3">
      <c r="A60" s="327"/>
      <c r="B60" s="63" t="s">
        <v>1142</v>
      </c>
      <c r="C60" s="63">
        <f>COUNTIF('Override Control Env3'!$L$229:$L$241,B60)</f>
        <v>13</v>
      </c>
    </row>
    <row r="61" spans="1:3" x14ac:dyDescent="0.3">
      <c r="A61" s="327" t="s">
        <v>1140</v>
      </c>
      <c r="B61" s="63" t="s">
        <v>1132</v>
      </c>
      <c r="C61" s="63">
        <f>COUNTIF('Override Control Env3'!$L$242:$L$268,B61)</f>
        <v>0</v>
      </c>
    </row>
    <row r="62" spans="1:3" x14ac:dyDescent="0.3">
      <c r="A62" s="327"/>
      <c r="B62" s="63" t="s">
        <v>1133</v>
      </c>
      <c r="C62" s="63">
        <f>COUNTIF('Override Control Env3'!$L$242:$L$268,B62)</f>
        <v>0</v>
      </c>
    </row>
    <row r="63" spans="1:3" x14ac:dyDescent="0.3">
      <c r="A63" s="327"/>
      <c r="B63" s="63" t="s">
        <v>48</v>
      </c>
      <c r="C63" s="63">
        <f>COUNTIF('Override Control Env3'!$L$242:$L$268,B63)</f>
        <v>0</v>
      </c>
    </row>
    <row r="64" spans="1:3" x14ac:dyDescent="0.3">
      <c r="A64" s="327"/>
      <c r="B64" s="63" t="s">
        <v>1142</v>
      </c>
      <c r="C64" s="63">
        <f>COUNTIF('Override Control Env3'!$L$242:$L$268,B64)</f>
        <v>27</v>
      </c>
    </row>
    <row r="65" spans="1:3" x14ac:dyDescent="0.3">
      <c r="A65" s="327" t="s">
        <v>1141</v>
      </c>
      <c r="B65" s="63" t="s">
        <v>1132</v>
      </c>
      <c r="C65" s="63">
        <f>COUNTIF('Override Control Env3'!$L$269:$L$282,B65)</f>
        <v>0</v>
      </c>
    </row>
    <row r="66" spans="1:3" x14ac:dyDescent="0.3">
      <c r="A66" s="327"/>
      <c r="B66" s="63" t="s">
        <v>1133</v>
      </c>
      <c r="C66" s="63">
        <f>COUNTIF('Override Control Env3'!$L$269:$L$282,B66)</f>
        <v>0</v>
      </c>
    </row>
    <row r="67" spans="1:3" x14ac:dyDescent="0.3">
      <c r="A67" s="327"/>
      <c r="B67" s="63" t="s">
        <v>48</v>
      </c>
      <c r="C67" s="63">
        <f>COUNTIF('Override Control Env3'!$L$269:$L$282,B67)</f>
        <v>0</v>
      </c>
    </row>
    <row r="68" spans="1:3" x14ac:dyDescent="0.3">
      <c r="A68" s="327"/>
      <c r="B68" s="63" t="s">
        <v>1142</v>
      </c>
      <c r="C68" s="63">
        <f>COUNTIF('Override Control Env3'!$L$269:$L$282,B68)</f>
        <v>14</v>
      </c>
    </row>
  </sheetData>
  <mergeCells count="17">
    <mergeCell ref="A49:A52"/>
    <mergeCell ref="A53:A56"/>
    <mergeCell ref="A57:A60"/>
    <mergeCell ref="A61:A64"/>
    <mergeCell ref="A65:A68"/>
    <mergeCell ref="A45:A48"/>
    <mergeCell ref="A1:A4"/>
    <mergeCell ref="A5:A8"/>
    <mergeCell ref="A9:A12"/>
    <mergeCell ref="A13:A16"/>
    <mergeCell ref="A17:A20"/>
    <mergeCell ref="A21:A24"/>
    <mergeCell ref="A25:A28"/>
    <mergeCell ref="A29:A32"/>
    <mergeCell ref="A33:A36"/>
    <mergeCell ref="A37:A40"/>
    <mergeCell ref="A41:A44"/>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b327aa5cbb4463b86ddd3c0134a48b24">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10316a474f1fa08fc83a6fea57267d65"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DCDateModified xmlns="http://schemas.microsoft.com/sharepoint/v3/fields" xsi:nil="true"/>
    <_Status xmlns="http://schemas.microsoft.com/sharepoint/v3/fields">Not Started</_Status>
    <_Revision xmlns="http://schemas.microsoft.com/sharepoint/v3/fields" xsi:nil="true"/>
    <lcf76f155ced4ddcb4097134ff3c332f xmlns="e6c7cf81-12fe-425f-a5c0-d82f8a821745">
      <Terms xmlns="http://schemas.microsoft.com/office/infopath/2007/PartnerControls"/>
    </lcf76f155ced4ddcb4097134ff3c332f>
    <TaxCatchAll xmlns="7cc12636-eeb3-4ff6-886f-4dcac8dddb7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235AAC47-925A-4FEA-B30B-EDB3C2F3C549}"/>
</file>

<file path=customXml/itemProps2.xml><?xml version="1.0" encoding="utf-8"?>
<ds:datastoreItem xmlns:ds="http://schemas.openxmlformats.org/officeDocument/2006/customXml" ds:itemID="{4E5E0526-B32C-402F-8FC5-B8007E55E7AE}">
  <ds:schemaRefs>
    <ds:schemaRef ds:uri="http://schemas.openxmlformats.org/package/2006/metadata/core-properties"/>
    <ds:schemaRef ds:uri="http://schemas.microsoft.com/office/2006/metadata/properties"/>
    <ds:schemaRef ds:uri="14c339db-4fcb-4cbd-8633-1201a6f0e19b"/>
    <ds:schemaRef ds:uri="http://schemas.microsoft.com/office/2006/documentManagement/types"/>
    <ds:schemaRef ds:uri="http://www.w3.org/XML/1998/namespace"/>
    <ds:schemaRef ds:uri="http://purl.org/dc/dcmitype/"/>
    <ds:schemaRef ds:uri="http://purl.org/dc/elements/1.1/"/>
    <ds:schemaRef ds:uri="http://purl.org/dc/terms/"/>
    <ds:schemaRef ds:uri="http://schemas.microsoft.com/office/infopath/2007/PartnerControls"/>
    <ds:schemaRef ds:uri="63a6c59b-4122-478b-aef6-4fc0178e5f33"/>
    <ds:schemaRef ds:uri="http://schemas.microsoft.com/sharepoint/v3/fields"/>
  </ds:schemaRefs>
</ds:datastoreItem>
</file>

<file path=customXml/itemProps3.xml><?xml version="1.0" encoding="utf-8"?>
<ds:datastoreItem xmlns:ds="http://schemas.openxmlformats.org/officeDocument/2006/customXml" ds:itemID="{D081B91C-BC72-46C1-BBDE-30FB0895CC62}">
  <ds:schemaRefs>
    <ds:schemaRef ds:uri="http://schemas.microsoft.com/sharepoint/v3/contenttype/forms"/>
  </ds:schemaRefs>
</ds:datastoreItem>
</file>

<file path=customXml/itemProps4.xml><?xml version="1.0" encoding="utf-8"?>
<ds:datastoreItem xmlns:ds="http://schemas.openxmlformats.org/officeDocument/2006/customXml" ds:itemID="{CDA631CE-BC6A-41E3-B42D-373F255F511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40</vt:i4>
      </vt:variant>
    </vt:vector>
  </HeadingPairs>
  <TitlesOfParts>
    <vt:vector size="40" baseType="lpstr">
      <vt:lpstr>Cover Page</vt:lpstr>
      <vt:lpstr>Instructions</vt:lpstr>
      <vt:lpstr>Data Validation Key</vt:lpstr>
      <vt:lpstr>IVPQ</vt:lpstr>
      <vt:lpstr>IRQ</vt:lpstr>
      <vt:lpstr>Vendor Profile Questionnaire</vt:lpstr>
      <vt:lpstr>Scope</vt:lpstr>
      <vt:lpstr>Network_Architecture_Diagrams</vt:lpstr>
      <vt:lpstr>Connectivity Mapping</vt:lpstr>
      <vt:lpstr>Required Evidence</vt:lpstr>
      <vt:lpstr>1. Access Controls</vt:lpstr>
      <vt:lpstr>2. Awareness and Training</vt:lpstr>
      <vt:lpstr>3. Audit and Accountability</vt:lpstr>
      <vt:lpstr>4. Security Assessment</vt:lpstr>
      <vt:lpstr>5. Configuration</vt:lpstr>
      <vt:lpstr>6. Contingency Planning</vt:lpstr>
      <vt:lpstr>7. Authentication&amp;Authorization</vt:lpstr>
      <vt:lpstr>8. Incident Response</vt:lpstr>
      <vt:lpstr>9. Maintenance</vt:lpstr>
      <vt:lpstr>10. Media Protection</vt:lpstr>
      <vt:lpstr>11. Physical Security</vt:lpstr>
      <vt:lpstr>12. Planning</vt:lpstr>
      <vt:lpstr>13. Personnel Security</vt:lpstr>
      <vt:lpstr>14. Risk Assessments</vt:lpstr>
      <vt:lpstr>15. System Acquisition</vt:lpstr>
      <vt:lpstr>16. System Data Protection</vt:lpstr>
      <vt:lpstr>17. System Data Integrity</vt:lpstr>
      <vt:lpstr>Override Control Env1</vt:lpstr>
      <vt:lpstr>Override Control Env2</vt:lpstr>
      <vt:lpstr>Override Control Env3</vt:lpstr>
      <vt:lpstr>Grading</vt:lpstr>
      <vt:lpstr>Distribution Env1</vt:lpstr>
      <vt:lpstr>Distribution Env2</vt:lpstr>
      <vt:lpstr>Distribution Env3</vt:lpstr>
      <vt:lpstr>Inadequacy Distribution Env1</vt:lpstr>
      <vt:lpstr>Inadequacy Distribution Env2</vt:lpstr>
      <vt:lpstr>Inadequacy Distribution Env3</vt:lpstr>
      <vt:lpstr>Adequacy Distribution Env1</vt:lpstr>
      <vt:lpstr>Adequacy Distribution Env2</vt:lpstr>
      <vt:lpstr>Adequacy Distribution Env3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Masten</dc:creator>
  <cp:keywords/>
  <dc:description/>
  <cp:lastModifiedBy>Bruno Bendavid</cp:lastModifiedBy>
  <cp:revision/>
  <dcterms:created xsi:type="dcterms:W3CDTF">2015-10-31T15:56:41Z</dcterms:created>
  <dcterms:modified xsi:type="dcterms:W3CDTF">2018-11-14T16:51:14Z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0x010100EF004842037BA44F801E7D78EFF2BDA7</vt:lpwstr>
  </property>
  <property fmtid="{D5CDD505-2E9C-101B-9397-08002B2CF9AE}" pid="3" name="_dlc_DocIdItemGuid">
    <vt:lpwstr>a48afc98-50ea-40d3-a63e-2c35d3638998</vt:lpwstr>
  </property>
  <property fmtid="{D5CDD505-2E9C-101B-9397-08002B2CF9AE}" pid="4" name="Order">
    <vt:r8>28000</vt:r8>
  </property>
  <property fmtid="{D5CDD505-2E9C-101B-9397-08002B2CF9AE}" pid="5" name="_ExtendedDescription">
    <vt:lpwstr/>
  </property>
</Properties>
</file>